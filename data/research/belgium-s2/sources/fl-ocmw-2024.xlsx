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an_coudron_vlaanderen_be/Documents/Bureaublad/cevi_export-resultaten-vlaanderen_2024-10-15_1755/Publiek/"/>
    </mc:Choice>
  </mc:AlternateContent>
  <xr:revisionPtr revIDLastSave="46" documentId="11_F25DC773A252ABDACC104829695F5A845ADE58EF" xr6:coauthVersionLast="47" xr6:coauthVersionMax="47" xr10:uidLastSave="{037D1A28-8699-4846-B63C-616701D8C5AA}"/>
  <bookViews>
    <workbookView xWindow="-28920" yWindow="-120" windowWidth="29040" windowHeight="15840" activeTab="2" xr2:uid="{00000000-000D-0000-FFFF-FFFF00000000}"/>
  </bookViews>
  <sheets>
    <sheet name="algemeen" sheetId="2" r:id="rId1"/>
    <sheet name="lijsten" sheetId="3" r:id="rId2"/>
    <sheet name="kandidaten" sheetId="4" r:id="rId3"/>
  </sheets>
  <definedNames>
    <definedName name="_xlnm._FilterDatabase" localSheetId="2" hidden="1">kandidaten!$A$1:$S$194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3" l="1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C2" i="4"/>
  <c r="E2" i="4"/>
  <c r="I2" i="4"/>
  <c r="J2" i="4"/>
  <c r="O2" i="4"/>
  <c r="P2" i="4"/>
  <c r="C3" i="4"/>
  <c r="E3" i="4"/>
  <c r="I3" i="4"/>
  <c r="J3" i="4"/>
  <c r="O3" i="4"/>
  <c r="P3" i="4"/>
  <c r="C4" i="4"/>
  <c r="E4" i="4"/>
  <c r="I4" i="4"/>
  <c r="J4" i="4"/>
  <c r="O4" i="4"/>
  <c r="P4" i="4"/>
  <c r="C5" i="4"/>
  <c r="E5" i="4"/>
  <c r="I5" i="4"/>
  <c r="J5" i="4"/>
  <c r="O5" i="4"/>
  <c r="P5" i="4"/>
  <c r="C6" i="4"/>
  <c r="E6" i="4"/>
  <c r="I6" i="4"/>
  <c r="J6" i="4"/>
  <c r="O6" i="4"/>
  <c r="P6" i="4"/>
  <c r="C7" i="4"/>
  <c r="E7" i="4"/>
  <c r="I7" i="4"/>
  <c r="J7" i="4"/>
  <c r="O7" i="4"/>
  <c r="P7" i="4"/>
  <c r="C8" i="4"/>
  <c r="E8" i="4"/>
  <c r="I8" i="4"/>
  <c r="J8" i="4"/>
  <c r="O8" i="4"/>
  <c r="P8" i="4"/>
  <c r="C9" i="4"/>
  <c r="E9" i="4"/>
  <c r="I9" i="4"/>
  <c r="J9" i="4"/>
  <c r="O9" i="4"/>
  <c r="P9" i="4"/>
  <c r="C10" i="4"/>
  <c r="E10" i="4"/>
  <c r="I10" i="4"/>
  <c r="J10" i="4"/>
  <c r="O10" i="4"/>
  <c r="P10" i="4"/>
  <c r="C11" i="4"/>
  <c r="E11" i="4"/>
  <c r="I11" i="4"/>
  <c r="J11" i="4"/>
  <c r="O11" i="4"/>
  <c r="P11" i="4"/>
  <c r="C12" i="4"/>
  <c r="E12" i="4"/>
  <c r="I12" i="4"/>
  <c r="J12" i="4"/>
  <c r="O12" i="4"/>
  <c r="P12" i="4"/>
  <c r="C13" i="4"/>
  <c r="E13" i="4"/>
  <c r="I13" i="4"/>
  <c r="J13" i="4"/>
  <c r="O13" i="4"/>
  <c r="P13" i="4"/>
  <c r="C14" i="4"/>
  <c r="E14" i="4"/>
  <c r="I14" i="4"/>
  <c r="J14" i="4"/>
  <c r="O14" i="4"/>
  <c r="P14" i="4"/>
  <c r="C15" i="4"/>
  <c r="E15" i="4"/>
  <c r="I15" i="4"/>
  <c r="J15" i="4"/>
  <c r="O15" i="4"/>
  <c r="P15" i="4"/>
  <c r="C16" i="4"/>
  <c r="E16" i="4"/>
  <c r="I16" i="4"/>
  <c r="J16" i="4"/>
  <c r="O16" i="4"/>
  <c r="P16" i="4"/>
  <c r="C17" i="4"/>
  <c r="E17" i="4"/>
  <c r="I17" i="4"/>
  <c r="J17" i="4"/>
  <c r="O17" i="4"/>
  <c r="P17" i="4"/>
  <c r="C18" i="4"/>
  <c r="E18" i="4"/>
  <c r="I18" i="4"/>
  <c r="J18" i="4"/>
  <c r="O18" i="4"/>
  <c r="P18" i="4"/>
  <c r="C19" i="4"/>
  <c r="E19" i="4"/>
  <c r="I19" i="4"/>
  <c r="J19" i="4"/>
  <c r="O19" i="4"/>
  <c r="P19" i="4"/>
  <c r="C20" i="4"/>
  <c r="E20" i="4"/>
  <c r="I20" i="4"/>
  <c r="J20" i="4"/>
  <c r="O20" i="4"/>
  <c r="P20" i="4"/>
  <c r="C21" i="4"/>
  <c r="E21" i="4"/>
  <c r="I21" i="4"/>
  <c r="J21" i="4"/>
  <c r="O21" i="4"/>
  <c r="P21" i="4"/>
  <c r="C22" i="4"/>
  <c r="E22" i="4"/>
  <c r="I22" i="4"/>
  <c r="J22" i="4"/>
  <c r="O22" i="4"/>
  <c r="P22" i="4"/>
  <c r="C23" i="4"/>
  <c r="E23" i="4"/>
  <c r="I23" i="4"/>
  <c r="J23" i="4"/>
  <c r="O23" i="4"/>
  <c r="P23" i="4"/>
  <c r="C24" i="4"/>
  <c r="E24" i="4"/>
  <c r="I24" i="4"/>
  <c r="J24" i="4"/>
  <c r="O24" i="4"/>
  <c r="P24" i="4"/>
  <c r="C25" i="4"/>
  <c r="E25" i="4"/>
  <c r="I25" i="4"/>
  <c r="J25" i="4"/>
  <c r="O25" i="4"/>
  <c r="P25" i="4"/>
  <c r="C26" i="4"/>
  <c r="E26" i="4"/>
  <c r="I26" i="4"/>
  <c r="J26" i="4"/>
  <c r="O26" i="4"/>
  <c r="P26" i="4"/>
  <c r="C27" i="4"/>
  <c r="E27" i="4"/>
  <c r="I27" i="4"/>
  <c r="J27" i="4"/>
  <c r="O27" i="4"/>
  <c r="P27" i="4"/>
  <c r="C28" i="4"/>
  <c r="E28" i="4"/>
  <c r="I28" i="4"/>
  <c r="J28" i="4"/>
  <c r="O28" i="4"/>
  <c r="P28" i="4"/>
  <c r="C29" i="4"/>
  <c r="E29" i="4"/>
  <c r="I29" i="4"/>
  <c r="J29" i="4"/>
  <c r="O29" i="4"/>
  <c r="P29" i="4"/>
  <c r="C30" i="4"/>
  <c r="E30" i="4"/>
  <c r="I30" i="4"/>
  <c r="J30" i="4"/>
  <c r="O30" i="4"/>
  <c r="P30" i="4"/>
  <c r="C31" i="4"/>
  <c r="E31" i="4"/>
  <c r="I31" i="4"/>
  <c r="J31" i="4"/>
  <c r="O31" i="4"/>
  <c r="P31" i="4"/>
  <c r="C32" i="4"/>
  <c r="E32" i="4"/>
  <c r="I32" i="4"/>
  <c r="J32" i="4"/>
  <c r="O32" i="4"/>
  <c r="P32" i="4"/>
  <c r="C33" i="4"/>
  <c r="E33" i="4"/>
  <c r="I33" i="4"/>
  <c r="J33" i="4"/>
  <c r="O33" i="4"/>
  <c r="P33" i="4"/>
  <c r="C34" i="4"/>
  <c r="E34" i="4"/>
  <c r="I34" i="4"/>
  <c r="J34" i="4"/>
  <c r="O34" i="4"/>
  <c r="P34" i="4"/>
  <c r="C35" i="4"/>
  <c r="E35" i="4"/>
  <c r="I35" i="4"/>
  <c r="J35" i="4"/>
  <c r="O35" i="4"/>
  <c r="P35" i="4"/>
  <c r="C36" i="4"/>
  <c r="E36" i="4"/>
  <c r="I36" i="4"/>
  <c r="J36" i="4"/>
  <c r="O36" i="4"/>
  <c r="P36" i="4"/>
  <c r="C37" i="4"/>
  <c r="E37" i="4"/>
  <c r="I37" i="4"/>
  <c r="J37" i="4"/>
  <c r="O37" i="4"/>
  <c r="P37" i="4"/>
  <c r="C38" i="4"/>
  <c r="E38" i="4"/>
  <c r="I38" i="4"/>
  <c r="J38" i="4"/>
  <c r="O38" i="4"/>
  <c r="P38" i="4"/>
  <c r="C39" i="4"/>
  <c r="E39" i="4"/>
  <c r="I39" i="4"/>
  <c r="J39" i="4"/>
  <c r="O39" i="4"/>
  <c r="P39" i="4"/>
  <c r="C40" i="4"/>
  <c r="E40" i="4"/>
  <c r="I40" i="4"/>
  <c r="J40" i="4"/>
  <c r="O40" i="4"/>
  <c r="P40" i="4"/>
  <c r="C41" i="4"/>
  <c r="E41" i="4"/>
  <c r="I41" i="4"/>
  <c r="J41" i="4"/>
  <c r="O41" i="4"/>
  <c r="P41" i="4"/>
  <c r="C42" i="4"/>
  <c r="E42" i="4"/>
  <c r="I42" i="4"/>
  <c r="J42" i="4"/>
  <c r="O42" i="4"/>
  <c r="P42" i="4"/>
  <c r="C43" i="4"/>
  <c r="E43" i="4"/>
  <c r="I43" i="4"/>
  <c r="J43" i="4"/>
  <c r="O43" i="4"/>
  <c r="P43" i="4"/>
  <c r="C44" i="4"/>
  <c r="E44" i="4"/>
  <c r="I44" i="4"/>
  <c r="J44" i="4"/>
  <c r="O44" i="4"/>
  <c r="P44" i="4"/>
  <c r="C45" i="4"/>
  <c r="E45" i="4"/>
  <c r="I45" i="4"/>
  <c r="J45" i="4"/>
  <c r="O45" i="4"/>
  <c r="P45" i="4"/>
  <c r="C46" i="4"/>
  <c r="E46" i="4"/>
  <c r="I46" i="4"/>
  <c r="J46" i="4"/>
  <c r="O46" i="4"/>
  <c r="P46" i="4"/>
  <c r="C47" i="4"/>
  <c r="E47" i="4"/>
  <c r="I47" i="4"/>
  <c r="J47" i="4"/>
  <c r="O47" i="4"/>
  <c r="P47" i="4"/>
  <c r="C48" i="4"/>
  <c r="E48" i="4"/>
  <c r="I48" i="4"/>
  <c r="J48" i="4"/>
  <c r="O48" i="4"/>
  <c r="P48" i="4"/>
  <c r="C49" i="4"/>
  <c r="E49" i="4"/>
  <c r="I49" i="4"/>
  <c r="J49" i="4"/>
  <c r="O49" i="4"/>
  <c r="P49" i="4"/>
  <c r="C50" i="4"/>
  <c r="E50" i="4"/>
  <c r="I50" i="4"/>
  <c r="J50" i="4"/>
  <c r="O50" i="4"/>
  <c r="P50" i="4"/>
  <c r="C51" i="4"/>
  <c r="E51" i="4"/>
  <c r="I51" i="4"/>
  <c r="J51" i="4"/>
  <c r="O51" i="4"/>
  <c r="P51" i="4"/>
  <c r="C52" i="4"/>
  <c r="E52" i="4"/>
  <c r="I52" i="4"/>
  <c r="J52" i="4"/>
  <c r="O52" i="4"/>
  <c r="P52" i="4"/>
  <c r="C53" i="4"/>
  <c r="E53" i="4"/>
  <c r="I53" i="4"/>
  <c r="J53" i="4"/>
  <c r="O53" i="4"/>
  <c r="P53" i="4"/>
  <c r="C54" i="4"/>
  <c r="E54" i="4"/>
  <c r="I54" i="4"/>
  <c r="J54" i="4"/>
  <c r="O54" i="4"/>
  <c r="P54" i="4"/>
  <c r="C55" i="4"/>
  <c r="E55" i="4"/>
  <c r="I55" i="4"/>
  <c r="J55" i="4"/>
  <c r="O55" i="4"/>
  <c r="P55" i="4"/>
  <c r="C56" i="4"/>
  <c r="E56" i="4"/>
  <c r="I56" i="4"/>
  <c r="J56" i="4"/>
  <c r="O56" i="4"/>
  <c r="P56" i="4"/>
  <c r="C57" i="4"/>
  <c r="E57" i="4"/>
  <c r="I57" i="4"/>
  <c r="J57" i="4"/>
  <c r="O57" i="4"/>
  <c r="P57" i="4"/>
  <c r="C58" i="4"/>
  <c r="E58" i="4"/>
  <c r="I58" i="4"/>
  <c r="J58" i="4"/>
  <c r="O58" i="4"/>
  <c r="P58" i="4"/>
  <c r="C59" i="4"/>
  <c r="E59" i="4"/>
  <c r="I59" i="4"/>
  <c r="J59" i="4"/>
  <c r="O59" i="4"/>
  <c r="P59" i="4"/>
  <c r="C60" i="4"/>
  <c r="E60" i="4"/>
  <c r="I60" i="4"/>
  <c r="J60" i="4"/>
  <c r="O60" i="4"/>
  <c r="P60" i="4"/>
  <c r="C61" i="4"/>
  <c r="E61" i="4"/>
  <c r="I61" i="4"/>
  <c r="J61" i="4"/>
  <c r="O61" i="4"/>
  <c r="P61" i="4"/>
  <c r="C62" i="4"/>
  <c r="E62" i="4"/>
  <c r="I62" i="4"/>
  <c r="J62" i="4"/>
  <c r="O62" i="4"/>
  <c r="P62" i="4"/>
  <c r="C63" i="4"/>
  <c r="E63" i="4"/>
  <c r="I63" i="4"/>
  <c r="J63" i="4"/>
  <c r="O63" i="4"/>
  <c r="P63" i="4"/>
  <c r="C64" i="4"/>
  <c r="E64" i="4"/>
  <c r="I64" i="4"/>
  <c r="J64" i="4"/>
  <c r="O64" i="4"/>
  <c r="P64" i="4"/>
  <c r="C65" i="4"/>
  <c r="E65" i="4"/>
  <c r="I65" i="4"/>
  <c r="J65" i="4"/>
  <c r="O65" i="4"/>
  <c r="P65" i="4"/>
  <c r="C66" i="4"/>
  <c r="E66" i="4"/>
  <c r="I66" i="4"/>
  <c r="J66" i="4"/>
  <c r="O66" i="4"/>
  <c r="P66" i="4"/>
  <c r="C67" i="4"/>
  <c r="E67" i="4"/>
  <c r="I67" i="4"/>
  <c r="J67" i="4"/>
  <c r="O67" i="4"/>
  <c r="P67" i="4"/>
  <c r="C68" i="4"/>
  <c r="E68" i="4"/>
  <c r="I68" i="4"/>
  <c r="J68" i="4"/>
  <c r="O68" i="4"/>
  <c r="P68" i="4"/>
  <c r="C69" i="4"/>
  <c r="E69" i="4"/>
  <c r="I69" i="4"/>
  <c r="J69" i="4"/>
  <c r="O69" i="4"/>
  <c r="P69" i="4"/>
  <c r="C70" i="4"/>
  <c r="E70" i="4"/>
  <c r="I70" i="4"/>
  <c r="J70" i="4"/>
  <c r="O70" i="4"/>
  <c r="P70" i="4"/>
  <c r="C71" i="4"/>
  <c r="E71" i="4"/>
  <c r="I71" i="4"/>
  <c r="J71" i="4"/>
  <c r="O71" i="4"/>
  <c r="P71" i="4"/>
  <c r="C72" i="4"/>
  <c r="E72" i="4"/>
  <c r="I72" i="4"/>
  <c r="J72" i="4"/>
  <c r="O72" i="4"/>
  <c r="P72" i="4"/>
  <c r="C73" i="4"/>
  <c r="E73" i="4"/>
  <c r="I73" i="4"/>
  <c r="J73" i="4"/>
  <c r="O73" i="4"/>
  <c r="P73" i="4"/>
  <c r="C74" i="4"/>
  <c r="E74" i="4"/>
  <c r="I74" i="4"/>
  <c r="J74" i="4"/>
  <c r="O74" i="4"/>
  <c r="P74" i="4"/>
  <c r="C75" i="4"/>
  <c r="E75" i="4"/>
  <c r="I75" i="4"/>
  <c r="J75" i="4"/>
  <c r="O75" i="4"/>
  <c r="P75" i="4"/>
  <c r="C76" i="4"/>
  <c r="E76" i="4"/>
  <c r="I76" i="4"/>
  <c r="J76" i="4"/>
  <c r="O76" i="4"/>
  <c r="P76" i="4"/>
  <c r="C77" i="4"/>
  <c r="E77" i="4"/>
  <c r="I77" i="4"/>
  <c r="J77" i="4"/>
  <c r="O77" i="4"/>
  <c r="P77" i="4"/>
  <c r="C78" i="4"/>
  <c r="E78" i="4"/>
  <c r="I78" i="4"/>
  <c r="J78" i="4"/>
  <c r="O78" i="4"/>
  <c r="P78" i="4"/>
  <c r="C79" i="4"/>
  <c r="E79" i="4"/>
  <c r="I79" i="4"/>
  <c r="J79" i="4"/>
  <c r="O79" i="4"/>
  <c r="P79" i="4"/>
  <c r="C80" i="4"/>
  <c r="E80" i="4"/>
  <c r="I80" i="4"/>
  <c r="J80" i="4"/>
  <c r="O80" i="4"/>
  <c r="P80" i="4"/>
  <c r="C81" i="4"/>
  <c r="E81" i="4"/>
  <c r="I81" i="4"/>
  <c r="J81" i="4"/>
  <c r="O81" i="4"/>
  <c r="P81" i="4"/>
  <c r="C82" i="4"/>
  <c r="E82" i="4"/>
  <c r="I82" i="4"/>
  <c r="J82" i="4"/>
  <c r="O82" i="4"/>
  <c r="P82" i="4"/>
  <c r="C83" i="4"/>
  <c r="E83" i="4"/>
  <c r="I83" i="4"/>
  <c r="J83" i="4"/>
  <c r="O83" i="4"/>
  <c r="P83" i="4"/>
  <c r="C84" i="4"/>
  <c r="E84" i="4"/>
  <c r="I84" i="4"/>
  <c r="J84" i="4"/>
  <c r="O84" i="4"/>
  <c r="P84" i="4"/>
  <c r="C85" i="4"/>
  <c r="E85" i="4"/>
  <c r="I85" i="4"/>
  <c r="J85" i="4"/>
  <c r="O85" i="4"/>
  <c r="P85" i="4"/>
  <c r="C86" i="4"/>
  <c r="E86" i="4"/>
  <c r="I86" i="4"/>
  <c r="J86" i="4"/>
  <c r="O86" i="4"/>
  <c r="P86" i="4"/>
  <c r="C87" i="4"/>
  <c r="E87" i="4"/>
  <c r="I87" i="4"/>
  <c r="J87" i="4"/>
  <c r="O87" i="4"/>
  <c r="P87" i="4"/>
  <c r="C88" i="4"/>
  <c r="E88" i="4"/>
  <c r="I88" i="4"/>
  <c r="J88" i="4"/>
  <c r="O88" i="4"/>
  <c r="P88" i="4"/>
  <c r="C89" i="4"/>
  <c r="E89" i="4"/>
  <c r="I89" i="4"/>
  <c r="J89" i="4"/>
  <c r="O89" i="4"/>
  <c r="P89" i="4"/>
  <c r="C90" i="4"/>
  <c r="E90" i="4"/>
  <c r="I90" i="4"/>
  <c r="J90" i="4"/>
  <c r="O90" i="4"/>
  <c r="P90" i="4"/>
  <c r="C91" i="4"/>
  <c r="E91" i="4"/>
  <c r="I91" i="4"/>
  <c r="J91" i="4"/>
  <c r="O91" i="4"/>
  <c r="P91" i="4"/>
  <c r="C92" i="4"/>
  <c r="E92" i="4"/>
  <c r="I92" i="4"/>
  <c r="J92" i="4"/>
  <c r="O92" i="4"/>
  <c r="P92" i="4"/>
  <c r="C93" i="4"/>
  <c r="E93" i="4"/>
  <c r="I93" i="4"/>
  <c r="J93" i="4"/>
  <c r="O93" i="4"/>
  <c r="P93" i="4"/>
  <c r="C94" i="4"/>
  <c r="E94" i="4"/>
  <c r="I94" i="4"/>
  <c r="J94" i="4"/>
  <c r="O94" i="4"/>
  <c r="P94" i="4"/>
  <c r="C95" i="4"/>
  <c r="E95" i="4"/>
  <c r="I95" i="4"/>
  <c r="J95" i="4"/>
  <c r="O95" i="4"/>
  <c r="P95" i="4"/>
  <c r="C96" i="4"/>
  <c r="E96" i="4"/>
  <c r="I96" i="4"/>
  <c r="J96" i="4"/>
  <c r="O96" i="4"/>
  <c r="P96" i="4"/>
  <c r="C97" i="4"/>
  <c r="E97" i="4"/>
  <c r="I97" i="4"/>
  <c r="J97" i="4"/>
  <c r="O97" i="4"/>
  <c r="P97" i="4"/>
  <c r="C98" i="4"/>
  <c r="E98" i="4"/>
  <c r="I98" i="4"/>
  <c r="J98" i="4"/>
  <c r="O98" i="4"/>
  <c r="P98" i="4"/>
  <c r="C99" i="4"/>
  <c r="E99" i="4"/>
  <c r="I99" i="4"/>
  <c r="J99" i="4"/>
  <c r="O99" i="4"/>
  <c r="P99" i="4"/>
  <c r="C100" i="4"/>
  <c r="E100" i="4"/>
  <c r="I100" i="4"/>
  <c r="J100" i="4"/>
  <c r="O100" i="4"/>
  <c r="P100" i="4"/>
  <c r="C101" i="4"/>
  <c r="E101" i="4"/>
  <c r="I101" i="4"/>
  <c r="J101" i="4"/>
  <c r="O101" i="4"/>
  <c r="P101" i="4"/>
  <c r="C102" i="4"/>
  <c r="E102" i="4"/>
  <c r="I102" i="4"/>
  <c r="J102" i="4"/>
  <c r="O102" i="4"/>
  <c r="P102" i="4"/>
  <c r="C103" i="4"/>
  <c r="E103" i="4"/>
  <c r="I103" i="4"/>
  <c r="J103" i="4"/>
  <c r="O103" i="4"/>
  <c r="P103" i="4"/>
  <c r="C104" i="4"/>
  <c r="E104" i="4"/>
  <c r="I104" i="4"/>
  <c r="J104" i="4"/>
  <c r="O104" i="4"/>
  <c r="P104" i="4"/>
  <c r="C105" i="4"/>
  <c r="E105" i="4"/>
  <c r="I105" i="4"/>
  <c r="J105" i="4"/>
  <c r="O105" i="4"/>
  <c r="P105" i="4"/>
  <c r="C106" i="4"/>
  <c r="E106" i="4"/>
  <c r="I106" i="4"/>
  <c r="J106" i="4"/>
  <c r="O106" i="4"/>
  <c r="P106" i="4"/>
  <c r="C107" i="4"/>
  <c r="E107" i="4"/>
  <c r="I107" i="4"/>
  <c r="J107" i="4"/>
  <c r="O107" i="4"/>
  <c r="P107" i="4"/>
  <c r="C108" i="4"/>
  <c r="E108" i="4"/>
  <c r="I108" i="4"/>
  <c r="J108" i="4"/>
  <c r="O108" i="4"/>
  <c r="P108" i="4"/>
  <c r="C109" i="4"/>
  <c r="E109" i="4"/>
  <c r="I109" i="4"/>
  <c r="J109" i="4"/>
  <c r="O109" i="4"/>
  <c r="P109" i="4"/>
  <c r="C110" i="4"/>
  <c r="E110" i="4"/>
  <c r="I110" i="4"/>
  <c r="J110" i="4"/>
  <c r="O110" i="4"/>
  <c r="P110" i="4"/>
  <c r="C111" i="4"/>
  <c r="E111" i="4"/>
  <c r="I111" i="4"/>
  <c r="J111" i="4"/>
  <c r="O111" i="4"/>
  <c r="P111" i="4"/>
  <c r="C112" i="4"/>
  <c r="E112" i="4"/>
  <c r="I112" i="4"/>
  <c r="J112" i="4"/>
  <c r="O112" i="4"/>
  <c r="P112" i="4"/>
  <c r="C113" i="4"/>
  <c r="E113" i="4"/>
  <c r="I113" i="4"/>
  <c r="J113" i="4"/>
  <c r="O113" i="4"/>
  <c r="P113" i="4"/>
  <c r="C114" i="4"/>
  <c r="E114" i="4"/>
  <c r="I114" i="4"/>
  <c r="J114" i="4"/>
  <c r="O114" i="4"/>
  <c r="P114" i="4"/>
  <c r="C115" i="4"/>
  <c r="E115" i="4"/>
  <c r="I115" i="4"/>
  <c r="J115" i="4"/>
  <c r="O115" i="4"/>
  <c r="P115" i="4"/>
  <c r="C116" i="4"/>
  <c r="E116" i="4"/>
  <c r="I116" i="4"/>
  <c r="J116" i="4"/>
  <c r="O116" i="4"/>
  <c r="P116" i="4"/>
  <c r="C117" i="4"/>
  <c r="E117" i="4"/>
  <c r="I117" i="4"/>
  <c r="J117" i="4"/>
  <c r="O117" i="4"/>
  <c r="P117" i="4"/>
  <c r="C118" i="4"/>
  <c r="E118" i="4"/>
  <c r="I118" i="4"/>
  <c r="J118" i="4"/>
  <c r="O118" i="4"/>
  <c r="P118" i="4"/>
  <c r="C119" i="4"/>
  <c r="E119" i="4"/>
  <c r="I119" i="4"/>
  <c r="J119" i="4"/>
  <c r="O119" i="4"/>
  <c r="P119" i="4"/>
  <c r="C120" i="4"/>
  <c r="E120" i="4"/>
  <c r="I120" i="4"/>
  <c r="J120" i="4"/>
  <c r="O120" i="4"/>
  <c r="P120" i="4"/>
  <c r="C121" i="4"/>
  <c r="E121" i="4"/>
  <c r="I121" i="4"/>
  <c r="J121" i="4"/>
  <c r="O121" i="4"/>
  <c r="P121" i="4"/>
  <c r="C122" i="4"/>
  <c r="E122" i="4"/>
  <c r="I122" i="4"/>
  <c r="J122" i="4"/>
  <c r="O122" i="4"/>
  <c r="P122" i="4"/>
  <c r="C123" i="4"/>
  <c r="E123" i="4"/>
  <c r="I123" i="4"/>
  <c r="J123" i="4"/>
  <c r="O123" i="4"/>
  <c r="P123" i="4"/>
  <c r="C124" i="4"/>
  <c r="E124" i="4"/>
  <c r="I124" i="4"/>
  <c r="J124" i="4"/>
  <c r="O124" i="4"/>
  <c r="P124" i="4"/>
  <c r="C125" i="4"/>
  <c r="E125" i="4"/>
  <c r="I125" i="4"/>
  <c r="J125" i="4"/>
  <c r="O125" i="4"/>
  <c r="P125" i="4"/>
  <c r="C126" i="4"/>
  <c r="E126" i="4"/>
  <c r="I126" i="4"/>
  <c r="J126" i="4"/>
  <c r="O126" i="4"/>
  <c r="P126" i="4"/>
  <c r="C127" i="4"/>
  <c r="E127" i="4"/>
  <c r="I127" i="4"/>
  <c r="J127" i="4"/>
  <c r="O127" i="4"/>
  <c r="P127" i="4"/>
  <c r="C128" i="4"/>
  <c r="E128" i="4"/>
  <c r="I128" i="4"/>
  <c r="J128" i="4"/>
  <c r="O128" i="4"/>
  <c r="P128" i="4"/>
  <c r="C129" i="4"/>
  <c r="E129" i="4"/>
  <c r="I129" i="4"/>
  <c r="J129" i="4"/>
  <c r="O129" i="4"/>
  <c r="P129" i="4"/>
  <c r="C130" i="4"/>
  <c r="E130" i="4"/>
  <c r="I130" i="4"/>
  <c r="J130" i="4"/>
  <c r="O130" i="4"/>
  <c r="P130" i="4"/>
  <c r="C131" i="4"/>
  <c r="E131" i="4"/>
  <c r="I131" i="4"/>
  <c r="J131" i="4"/>
  <c r="O131" i="4"/>
  <c r="P131" i="4"/>
  <c r="C132" i="4"/>
  <c r="E132" i="4"/>
  <c r="I132" i="4"/>
  <c r="J132" i="4"/>
  <c r="O132" i="4"/>
  <c r="P132" i="4"/>
  <c r="C133" i="4"/>
  <c r="E133" i="4"/>
  <c r="I133" i="4"/>
  <c r="J133" i="4"/>
  <c r="O133" i="4"/>
  <c r="P133" i="4"/>
  <c r="C134" i="4"/>
  <c r="E134" i="4"/>
  <c r="I134" i="4"/>
  <c r="J134" i="4"/>
  <c r="O134" i="4"/>
  <c r="P134" i="4"/>
  <c r="C135" i="4"/>
  <c r="E135" i="4"/>
  <c r="I135" i="4"/>
  <c r="J135" i="4"/>
  <c r="O135" i="4"/>
  <c r="P135" i="4"/>
  <c r="C136" i="4"/>
  <c r="E136" i="4"/>
  <c r="I136" i="4"/>
  <c r="J136" i="4"/>
  <c r="O136" i="4"/>
  <c r="P136" i="4"/>
  <c r="C137" i="4"/>
  <c r="E137" i="4"/>
  <c r="I137" i="4"/>
  <c r="J137" i="4"/>
  <c r="O137" i="4"/>
  <c r="P137" i="4"/>
  <c r="C138" i="4"/>
  <c r="E138" i="4"/>
  <c r="I138" i="4"/>
  <c r="J138" i="4"/>
  <c r="O138" i="4"/>
  <c r="P138" i="4"/>
  <c r="C139" i="4"/>
  <c r="E139" i="4"/>
  <c r="I139" i="4"/>
  <c r="J139" i="4"/>
  <c r="O139" i="4"/>
  <c r="P139" i="4"/>
  <c r="C140" i="4"/>
  <c r="E140" i="4"/>
  <c r="I140" i="4"/>
  <c r="J140" i="4"/>
  <c r="O140" i="4"/>
  <c r="P140" i="4"/>
  <c r="C141" i="4"/>
  <c r="E141" i="4"/>
  <c r="I141" i="4"/>
  <c r="J141" i="4"/>
  <c r="O141" i="4"/>
  <c r="P141" i="4"/>
  <c r="C142" i="4"/>
  <c r="E142" i="4"/>
  <c r="I142" i="4"/>
  <c r="J142" i="4"/>
  <c r="O142" i="4"/>
  <c r="P142" i="4"/>
  <c r="C143" i="4"/>
  <c r="E143" i="4"/>
  <c r="I143" i="4"/>
  <c r="J143" i="4"/>
  <c r="O143" i="4"/>
  <c r="P143" i="4"/>
  <c r="C144" i="4"/>
  <c r="E144" i="4"/>
  <c r="I144" i="4"/>
  <c r="J144" i="4"/>
  <c r="O144" i="4"/>
  <c r="P144" i="4"/>
  <c r="C145" i="4"/>
  <c r="E145" i="4"/>
  <c r="I145" i="4"/>
  <c r="J145" i="4"/>
  <c r="O145" i="4"/>
  <c r="P145" i="4"/>
  <c r="C146" i="4"/>
  <c r="E146" i="4"/>
  <c r="I146" i="4"/>
  <c r="J146" i="4"/>
  <c r="O146" i="4"/>
  <c r="P146" i="4"/>
  <c r="C147" i="4"/>
  <c r="E147" i="4"/>
  <c r="I147" i="4"/>
  <c r="J147" i="4"/>
  <c r="O147" i="4"/>
  <c r="P147" i="4"/>
  <c r="C148" i="4"/>
  <c r="E148" i="4"/>
  <c r="I148" i="4"/>
  <c r="J148" i="4"/>
  <c r="O148" i="4"/>
  <c r="P148" i="4"/>
  <c r="C149" i="4"/>
  <c r="E149" i="4"/>
  <c r="I149" i="4"/>
  <c r="J149" i="4"/>
  <c r="O149" i="4"/>
  <c r="P149" i="4"/>
  <c r="C150" i="4"/>
  <c r="E150" i="4"/>
  <c r="I150" i="4"/>
  <c r="J150" i="4"/>
  <c r="O150" i="4"/>
  <c r="P150" i="4"/>
  <c r="C151" i="4"/>
  <c r="E151" i="4"/>
  <c r="I151" i="4"/>
  <c r="J151" i="4"/>
  <c r="O151" i="4"/>
  <c r="P151" i="4"/>
  <c r="C152" i="4"/>
  <c r="E152" i="4"/>
  <c r="I152" i="4"/>
  <c r="J152" i="4"/>
  <c r="O152" i="4"/>
  <c r="P152" i="4"/>
  <c r="C153" i="4"/>
  <c r="E153" i="4"/>
  <c r="I153" i="4"/>
  <c r="J153" i="4"/>
  <c r="O153" i="4"/>
  <c r="P153" i="4"/>
  <c r="C154" i="4"/>
  <c r="E154" i="4"/>
  <c r="I154" i="4"/>
  <c r="J154" i="4"/>
  <c r="O154" i="4"/>
  <c r="P154" i="4"/>
  <c r="C155" i="4"/>
  <c r="E155" i="4"/>
  <c r="I155" i="4"/>
  <c r="J155" i="4"/>
  <c r="O155" i="4"/>
  <c r="P155" i="4"/>
  <c r="C156" i="4"/>
  <c r="E156" i="4"/>
  <c r="I156" i="4"/>
  <c r="J156" i="4"/>
  <c r="O156" i="4"/>
  <c r="P156" i="4"/>
  <c r="C157" i="4"/>
  <c r="E157" i="4"/>
  <c r="I157" i="4"/>
  <c r="J157" i="4"/>
  <c r="O157" i="4"/>
  <c r="P157" i="4"/>
  <c r="C158" i="4"/>
  <c r="E158" i="4"/>
  <c r="I158" i="4"/>
  <c r="J158" i="4"/>
  <c r="O158" i="4"/>
  <c r="P158" i="4"/>
  <c r="C159" i="4"/>
  <c r="E159" i="4"/>
  <c r="I159" i="4"/>
  <c r="J159" i="4"/>
  <c r="O159" i="4"/>
  <c r="P159" i="4"/>
  <c r="C160" i="4"/>
  <c r="E160" i="4"/>
  <c r="I160" i="4"/>
  <c r="J160" i="4"/>
  <c r="O160" i="4"/>
  <c r="P160" i="4"/>
  <c r="C161" i="4"/>
  <c r="E161" i="4"/>
  <c r="I161" i="4"/>
  <c r="J161" i="4"/>
  <c r="O161" i="4"/>
  <c r="P161" i="4"/>
  <c r="C162" i="4"/>
  <c r="E162" i="4"/>
  <c r="I162" i="4"/>
  <c r="J162" i="4"/>
  <c r="O162" i="4"/>
  <c r="P162" i="4"/>
  <c r="C163" i="4"/>
  <c r="E163" i="4"/>
  <c r="I163" i="4"/>
  <c r="J163" i="4"/>
  <c r="O163" i="4"/>
  <c r="P163" i="4"/>
  <c r="C164" i="4"/>
  <c r="E164" i="4"/>
  <c r="I164" i="4"/>
  <c r="J164" i="4"/>
  <c r="O164" i="4"/>
  <c r="P164" i="4"/>
  <c r="C165" i="4"/>
  <c r="E165" i="4"/>
  <c r="I165" i="4"/>
  <c r="J165" i="4"/>
  <c r="O165" i="4"/>
  <c r="P165" i="4"/>
  <c r="C166" i="4"/>
  <c r="E166" i="4"/>
  <c r="I166" i="4"/>
  <c r="J166" i="4"/>
  <c r="O166" i="4"/>
  <c r="P166" i="4"/>
  <c r="C167" i="4"/>
  <c r="E167" i="4"/>
  <c r="I167" i="4"/>
  <c r="J167" i="4"/>
  <c r="O167" i="4"/>
  <c r="P167" i="4"/>
  <c r="C168" i="4"/>
  <c r="E168" i="4"/>
  <c r="I168" i="4"/>
  <c r="J168" i="4"/>
  <c r="O168" i="4"/>
  <c r="P168" i="4"/>
  <c r="C169" i="4"/>
  <c r="E169" i="4"/>
  <c r="I169" i="4"/>
  <c r="J169" i="4"/>
  <c r="O169" i="4"/>
  <c r="P169" i="4"/>
  <c r="C170" i="4"/>
  <c r="E170" i="4"/>
  <c r="I170" i="4"/>
  <c r="J170" i="4"/>
  <c r="O170" i="4"/>
  <c r="P170" i="4"/>
  <c r="C171" i="4"/>
  <c r="E171" i="4"/>
  <c r="I171" i="4"/>
  <c r="J171" i="4"/>
  <c r="O171" i="4"/>
  <c r="P171" i="4"/>
  <c r="C172" i="4"/>
  <c r="E172" i="4"/>
  <c r="I172" i="4"/>
  <c r="J172" i="4"/>
  <c r="O172" i="4"/>
  <c r="P172" i="4"/>
  <c r="C173" i="4"/>
  <c r="E173" i="4"/>
  <c r="I173" i="4"/>
  <c r="J173" i="4"/>
  <c r="O173" i="4"/>
  <c r="P173" i="4"/>
  <c r="C174" i="4"/>
  <c r="E174" i="4"/>
  <c r="I174" i="4"/>
  <c r="J174" i="4"/>
  <c r="O174" i="4"/>
  <c r="P174" i="4"/>
  <c r="C175" i="4"/>
  <c r="E175" i="4"/>
  <c r="I175" i="4"/>
  <c r="J175" i="4"/>
  <c r="O175" i="4"/>
  <c r="P175" i="4"/>
  <c r="C176" i="4"/>
  <c r="E176" i="4"/>
  <c r="I176" i="4"/>
  <c r="J176" i="4"/>
  <c r="O176" i="4"/>
  <c r="P176" i="4"/>
  <c r="C177" i="4"/>
  <c r="E177" i="4"/>
  <c r="I177" i="4"/>
  <c r="J177" i="4"/>
  <c r="O177" i="4"/>
  <c r="P177" i="4"/>
  <c r="C178" i="4"/>
  <c r="E178" i="4"/>
  <c r="I178" i="4"/>
  <c r="J178" i="4"/>
  <c r="O178" i="4"/>
  <c r="P178" i="4"/>
  <c r="C179" i="4"/>
  <c r="E179" i="4"/>
  <c r="I179" i="4"/>
  <c r="J179" i="4"/>
  <c r="O179" i="4"/>
  <c r="P179" i="4"/>
  <c r="C180" i="4"/>
  <c r="E180" i="4"/>
  <c r="I180" i="4"/>
  <c r="J180" i="4"/>
  <c r="O180" i="4"/>
  <c r="P180" i="4"/>
  <c r="C181" i="4"/>
  <c r="E181" i="4"/>
  <c r="I181" i="4"/>
  <c r="J181" i="4"/>
  <c r="O181" i="4"/>
  <c r="P181" i="4"/>
  <c r="C182" i="4"/>
  <c r="E182" i="4"/>
  <c r="I182" i="4"/>
  <c r="J182" i="4"/>
  <c r="O182" i="4"/>
  <c r="P182" i="4"/>
  <c r="C183" i="4"/>
  <c r="E183" i="4"/>
  <c r="I183" i="4"/>
  <c r="J183" i="4"/>
  <c r="O183" i="4"/>
  <c r="P183" i="4"/>
  <c r="C184" i="4"/>
  <c r="E184" i="4"/>
  <c r="I184" i="4"/>
  <c r="J184" i="4"/>
  <c r="O184" i="4"/>
  <c r="P184" i="4"/>
  <c r="C185" i="4"/>
  <c r="E185" i="4"/>
  <c r="I185" i="4"/>
  <c r="J185" i="4"/>
  <c r="O185" i="4"/>
  <c r="P185" i="4"/>
  <c r="C186" i="4"/>
  <c r="E186" i="4"/>
  <c r="I186" i="4"/>
  <c r="J186" i="4"/>
  <c r="O186" i="4"/>
  <c r="P186" i="4"/>
  <c r="C187" i="4"/>
  <c r="E187" i="4"/>
  <c r="I187" i="4"/>
  <c r="J187" i="4"/>
  <c r="O187" i="4"/>
  <c r="P187" i="4"/>
  <c r="C188" i="4"/>
  <c r="E188" i="4"/>
  <c r="I188" i="4"/>
  <c r="J188" i="4"/>
  <c r="O188" i="4"/>
  <c r="P188" i="4"/>
  <c r="C189" i="4"/>
  <c r="E189" i="4"/>
  <c r="I189" i="4"/>
  <c r="J189" i="4"/>
  <c r="O189" i="4"/>
  <c r="P189" i="4"/>
  <c r="C190" i="4"/>
  <c r="E190" i="4"/>
  <c r="I190" i="4"/>
  <c r="J190" i="4"/>
  <c r="O190" i="4"/>
  <c r="P190" i="4"/>
  <c r="C191" i="4"/>
  <c r="E191" i="4"/>
  <c r="I191" i="4"/>
  <c r="J191" i="4"/>
  <c r="O191" i="4"/>
  <c r="P191" i="4"/>
  <c r="C192" i="4"/>
  <c r="E192" i="4"/>
  <c r="I192" i="4"/>
  <c r="J192" i="4"/>
  <c r="O192" i="4"/>
  <c r="P192" i="4"/>
  <c r="C193" i="4"/>
  <c r="E193" i="4"/>
  <c r="I193" i="4"/>
  <c r="J193" i="4"/>
  <c r="O193" i="4"/>
  <c r="P193" i="4"/>
  <c r="C194" i="4"/>
  <c r="E194" i="4"/>
  <c r="I194" i="4"/>
  <c r="J194" i="4"/>
  <c r="O194" i="4"/>
  <c r="P194" i="4"/>
  <c r="C2" i="3"/>
  <c r="E2" i="3"/>
  <c r="I2" i="3"/>
  <c r="J2" i="3"/>
  <c r="C3" i="3"/>
  <c r="E3" i="3"/>
  <c r="I3" i="3"/>
  <c r="J3" i="3"/>
  <c r="C4" i="3"/>
  <c r="E4" i="3"/>
  <c r="I4" i="3"/>
  <c r="J4" i="3"/>
  <c r="C5" i="3"/>
  <c r="E5" i="3"/>
  <c r="I5" i="3"/>
  <c r="J5" i="3"/>
  <c r="C6" i="3"/>
  <c r="E6" i="3"/>
  <c r="I6" i="3"/>
  <c r="J6" i="3"/>
  <c r="C7" i="3"/>
  <c r="E7" i="3"/>
  <c r="I7" i="3"/>
  <c r="J7" i="3"/>
  <c r="C8" i="3"/>
  <c r="E8" i="3"/>
  <c r="I8" i="3"/>
  <c r="J8" i="3"/>
  <c r="C9" i="3"/>
  <c r="E9" i="3"/>
  <c r="I9" i="3"/>
  <c r="J9" i="3"/>
  <c r="C10" i="3"/>
  <c r="E10" i="3"/>
  <c r="I10" i="3"/>
  <c r="J10" i="3"/>
  <c r="C11" i="3"/>
  <c r="E11" i="3"/>
  <c r="I11" i="3"/>
  <c r="J11" i="3"/>
  <c r="C12" i="3"/>
  <c r="E12" i="3"/>
  <c r="I12" i="3"/>
  <c r="J12" i="3"/>
  <c r="C13" i="3"/>
  <c r="E13" i="3"/>
  <c r="I13" i="3"/>
  <c r="J13" i="3"/>
  <c r="C14" i="3"/>
  <c r="E14" i="3"/>
  <c r="I14" i="3"/>
  <c r="J14" i="3"/>
  <c r="C15" i="3"/>
  <c r="E15" i="3"/>
  <c r="I15" i="3"/>
  <c r="J15" i="3"/>
  <c r="C16" i="3"/>
  <c r="E16" i="3"/>
  <c r="I16" i="3"/>
  <c r="J16" i="3"/>
  <c r="C17" i="3"/>
  <c r="E17" i="3"/>
  <c r="I17" i="3"/>
  <c r="J17" i="3"/>
  <c r="C18" i="3"/>
  <c r="E18" i="3"/>
  <c r="I18" i="3"/>
  <c r="J18" i="3"/>
  <c r="C19" i="3"/>
  <c r="E19" i="3"/>
  <c r="I19" i="3"/>
  <c r="J19" i="3"/>
  <c r="C20" i="3"/>
  <c r="E20" i="3"/>
  <c r="I20" i="3"/>
  <c r="J20" i="3"/>
  <c r="C21" i="3"/>
  <c r="E21" i="3"/>
  <c r="I21" i="3"/>
  <c r="J21" i="3"/>
  <c r="C22" i="3"/>
  <c r="E22" i="3"/>
  <c r="I22" i="3"/>
  <c r="J22" i="3"/>
  <c r="C2" i="2"/>
  <c r="E2" i="2"/>
  <c r="C3" i="2"/>
  <c r="E3" i="2"/>
  <c r="C4" i="2"/>
  <c r="E4" i="2"/>
  <c r="C5" i="2"/>
  <c r="E5" i="2"/>
  <c r="C6" i="2"/>
  <c r="E6" i="2"/>
  <c r="C7" i="2"/>
  <c r="E7" i="2"/>
  <c r="C8" i="2"/>
  <c r="E8" i="2"/>
</calcChain>
</file>

<file path=xl/sharedStrings.xml><?xml version="1.0" encoding="utf-8"?>
<sst xmlns="http://schemas.openxmlformats.org/spreadsheetml/2006/main" count="484" uniqueCount="30">
  <si>
    <t>Wezembeek-Oppem</t>
  </si>
  <si>
    <t>CS</t>
  </si>
  <si>
    <t>Wemmel</t>
  </si>
  <si>
    <t>Voeren</t>
  </si>
  <si>
    <t>Sint-Genesius-Rode</t>
  </si>
  <si>
    <t>Linkebeek</t>
  </si>
  <si>
    <t>Kraainem</t>
  </si>
  <si>
    <t>Drogenbos</t>
  </si>
  <si>
    <t>blanco&amp;ongeldig</t>
  </si>
  <si>
    <t>totaal stembiljetten</t>
  </si>
  <si>
    <t>ingeschreven kiezers</t>
  </si>
  <si>
    <t>mandaten</t>
  </si>
  <si>
    <t>kieskring</t>
  </si>
  <si>
    <t>NIS</t>
  </si>
  <si>
    <t>datum</t>
  </si>
  <si>
    <t>type</t>
  </si>
  <si>
    <t>verkregen zetels</t>
  </si>
  <si>
    <t>stemcijfer</t>
  </si>
  <si>
    <t>lijst</t>
  </si>
  <si>
    <t>lijstnr</t>
  </si>
  <si>
    <t>totaal
stembiljetten</t>
  </si>
  <si>
    <t>ingeschreven
kiezers</t>
  </si>
  <si>
    <t>opvolger</t>
  </si>
  <si>
    <t>verkozen</t>
  </si>
  <si>
    <t>naamstemmen</t>
  </si>
  <si>
    <t>naam stembiljet</t>
  </si>
  <si>
    <t>volgnr</t>
  </si>
  <si>
    <t>aantal
kandidaten</t>
  </si>
  <si>
    <t>stembiljetten cat.1</t>
  </si>
  <si>
    <t>stembiljetten cat.2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</si>
</sst>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EFC9-A75C-41F8-BA70-DBDDA2C5FA37}">
  <dimension ref="A1:H8"/>
  <sheetViews>
    <sheetView workbookViewId="0">
      <selection activeCell="M13" sqref="M13"/>
    </sheetView>
  </sheetViews>
  <sheetFormatPr defaultColWidth="11.5546875" defaultRowHeight="14.4" x14ac:dyDescent="0.3"/>
  <sheetData>
    <row r="1" spans="1:8" x14ac:dyDescent="0.3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t="s">
        <v>9</v>
      </c>
      <c r="H1" t="s">
        <v>8</v>
      </c>
    </row>
    <row r="2" spans="1:8" x14ac:dyDescent="0.3">
      <c r="A2" t="s">
        <v>1</v>
      </c>
      <c r="B2" s="1">
        <v>45578</v>
      </c>
      <c r="C2" t="str">
        <f>("23098")</f>
        <v>23098</v>
      </c>
      <c r="D2" t="s">
        <v>7</v>
      </c>
      <c r="E2" t="str">
        <f>("9")</f>
        <v>9</v>
      </c>
      <c r="F2">
        <v>3625</v>
      </c>
      <c r="G2">
        <v>2099</v>
      </c>
      <c r="H2">
        <v>143</v>
      </c>
    </row>
    <row r="3" spans="1:8" x14ac:dyDescent="0.3">
      <c r="A3" t="s">
        <v>1</v>
      </c>
      <c r="B3" s="1">
        <v>45578</v>
      </c>
      <c r="C3" t="str">
        <f>("23099")</f>
        <v>23099</v>
      </c>
      <c r="D3" t="s">
        <v>6</v>
      </c>
      <c r="E3" t="str">
        <f>("9")</f>
        <v>9</v>
      </c>
      <c r="F3">
        <v>7893</v>
      </c>
      <c r="G3">
        <v>4823</v>
      </c>
      <c r="H3">
        <v>154</v>
      </c>
    </row>
    <row r="4" spans="1:8" x14ac:dyDescent="0.3">
      <c r="A4" t="s">
        <v>1</v>
      </c>
      <c r="B4" s="1">
        <v>45578</v>
      </c>
      <c r="C4" t="str">
        <f>("23100")</f>
        <v>23100</v>
      </c>
      <c r="D4" t="s">
        <v>5</v>
      </c>
      <c r="E4" t="str">
        <f>("9")</f>
        <v>9</v>
      </c>
      <c r="F4">
        <v>3234</v>
      </c>
      <c r="G4">
        <v>2197</v>
      </c>
      <c r="H4">
        <v>99</v>
      </c>
    </row>
    <row r="5" spans="1:8" x14ac:dyDescent="0.3">
      <c r="A5" t="s">
        <v>1</v>
      </c>
      <c r="B5" s="1">
        <v>45578</v>
      </c>
      <c r="C5" t="str">
        <f>("23101")</f>
        <v>23101</v>
      </c>
      <c r="D5" t="s">
        <v>4</v>
      </c>
      <c r="E5" t="str">
        <f>("11")</f>
        <v>11</v>
      </c>
      <c r="F5">
        <v>12435</v>
      </c>
      <c r="G5">
        <v>8124</v>
      </c>
      <c r="H5">
        <v>525</v>
      </c>
    </row>
    <row r="6" spans="1:8" x14ac:dyDescent="0.3">
      <c r="A6" t="s">
        <v>1</v>
      </c>
      <c r="B6" s="1">
        <v>45578</v>
      </c>
      <c r="C6" t="str">
        <f>("73109")</f>
        <v>73109</v>
      </c>
      <c r="D6" t="s">
        <v>3</v>
      </c>
      <c r="E6" t="str">
        <f>("9")</f>
        <v>9</v>
      </c>
      <c r="F6">
        <v>3297</v>
      </c>
      <c r="G6">
        <v>2042</v>
      </c>
      <c r="H6">
        <v>80</v>
      </c>
    </row>
    <row r="7" spans="1:8" x14ac:dyDescent="0.3">
      <c r="A7" t="s">
        <v>1</v>
      </c>
      <c r="B7" s="1">
        <v>45578</v>
      </c>
      <c r="C7" t="str">
        <f>("23102")</f>
        <v>23102</v>
      </c>
      <c r="D7" t="s">
        <v>2</v>
      </c>
      <c r="E7" t="str">
        <f>("11")</f>
        <v>11</v>
      </c>
      <c r="F7">
        <v>11547</v>
      </c>
      <c r="G7">
        <v>6252</v>
      </c>
      <c r="H7">
        <v>462</v>
      </c>
    </row>
    <row r="8" spans="1:8" x14ac:dyDescent="0.3">
      <c r="A8" t="s">
        <v>1</v>
      </c>
      <c r="B8" s="1">
        <v>45578</v>
      </c>
      <c r="C8" t="str">
        <f>("23103")</f>
        <v>23103</v>
      </c>
      <c r="D8" t="s">
        <v>0</v>
      </c>
      <c r="E8" t="str">
        <f>("9")</f>
        <v>9</v>
      </c>
      <c r="F8">
        <v>9092</v>
      </c>
      <c r="G8">
        <v>5973</v>
      </c>
      <c r="H8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F6E8C-37DA-41B6-B296-39DDFD308797}">
  <dimension ref="A1:O22"/>
  <sheetViews>
    <sheetView workbookViewId="0">
      <selection activeCell="M6" sqref="M6"/>
    </sheetView>
  </sheetViews>
  <sheetFormatPr defaultColWidth="11.5546875" defaultRowHeight="14.4" x14ac:dyDescent="0.3"/>
  <cols>
    <col min="8" max="8" width="15.6640625" bestFit="1" customWidth="1"/>
    <col min="11" max="12" width="16.6640625" customWidth="1"/>
    <col min="13" max="13" width="16.109375" customWidth="1"/>
    <col min="15" max="15" width="15.44140625" customWidth="1"/>
  </cols>
  <sheetData>
    <row r="1" spans="1:15" ht="43.2" x14ac:dyDescent="0.3">
      <c r="A1" t="s">
        <v>15</v>
      </c>
      <c r="B1" t="s">
        <v>14</v>
      </c>
      <c r="C1" t="s">
        <v>13</v>
      </c>
      <c r="D1" t="s">
        <v>12</v>
      </c>
      <c r="E1" t="s">
        <v>11</v>
      </c>
      <c r="F1" s="3" t="s">
        <v>21</v>
      </c>
      <c r="G1" s="3" t="s">
        <v>20</v>
      </c>
      <c r="H1" s="2" t="s">
        <v>8</v>
      </c>
      <c r="I1" s="4" t="s">
        <v>19</v>
      </c>
      <c r="J1" s="4" t="s">
        <v>18</v>
      </c>
      <c r="K1" s="3" t="s">
        <v>27</v>
      </c>
      <c r="L1" s="2" t="s">
        <v>28</v>
      </c>
      <c r="M1" s="2" t="s">
        <v>29</v>
      </c>
      <c r="N1" s="2" t="s">
        <v>17</v>
      </c>
      <c r="O1" s="2" t="s">
        <v>16</v>
      </c>
    </row>
    <row r="2" spans="1:15" x14ac:dyDescent="0.3">
      <c r="A2" t="s">
        <v>1</v>
      </c>
      <c r="B2" s="1">
        <v>45578</v>
      </c>
      <c r="C2" t="str">
        <f>("23098")</f>
        <v>23098</v>
      </c>
      <c r="D2" t="s">
        <v>7</v>
      </c>
      <c r="E2" t="str">
        <f t="shared" ref="E2:E11" si="0">("9")</f>
        <v>9</v>
      </c>
      <c r="F2">
        <v>3625</v>
      </c>
      <c r="G2">
        <v>2099</v>
      </c>
      <c r="H2">
        <v>143</v>
      </c>
      <c r="I2" t="str">
        <f>("8")</f>
        <v>8</v>
      </c>
      <c r="J2" t="str">
        <f>("LB DROGENBOS +")</f>
        <v>LB DROGENBOS +</v>
      </c>
      <c r="K2" t="str">
        <f>("9")</f>
        <v>9</v>
      </c>
      <c r="L2">
        <v>375</v>
      </c>
      <c r="M2">
        <v>513</v>
      </c>
      <c r="N2">
        <v>888</v>
      </c>
      <c r="O2">
        <v>5</v>
      </c>
    </row>
    <row r="3" spans="1:15" x14ac:dyDescent="0.3">
      <c r="A3" t="s">
        <v>1</v>
      </c>
      <c r="B3" s="1">
        <v>45578</v>
      </c>
      <c r="C3" t="str">
        <f>("23098")</f>
        <v>23098</v>
      </c>
      <c r="D3" t="s">
        <v>7</v>
      </c>
      <c r="E3" t="str">
        <f t="shared" si="0"/>
        <v>9</v>
      </c>
      <c r="F3">
        <v>3625</v>
      </c>
      <c r="G3">
        <v>2099</v>
      </c>
      <c r="H3">
        <v>143</v>
      </c>
      <c r="I3" t="str">
        <f>("9")</f>
        <v>9</v>
      </c>
      <c r="J3" t="str">
        <f>("go1620")</f>
        <v>go1620</v>
      </c>
      <c r="K3" t="str">
        <f>("9")</f>
        <v>9</v>
      </c>
      <c r="L3">
        <v>135</v>
      </c>
      <c r="M3">
        <v>223</v>
      </c>
      <c r="N3">
        <v>358</v>
      </c>
      <c r="O3">
        <v>1</v>
      </c>
    </row>
    <row r="4" spans="1:15" x14ac:dyDescent="0.3">
      <c r="A4" t="s">
        <v>1</v>
      </c>
      <c r="B4" s="1">
        <v>45578</v>
      </c>
      <c r="C4" t="str">
        <f>("23098")</f>
        <v>23098</v>
      </c>
      <c r="D4" t="s">
        <v>7</v>
      </c>
      <c r="E4" t="str">
        <f t="shared" si="0"/>
        <v>9</v>
      </c>
      <c r="F4">
        <v>3625</v>
      </c>
      <c r="G4">
        <v>2099</v>
      </c>
      <c r="H4">
        <v>143</v>
      </c>
      <c r="I4" t="str">
        <f>("10")</f>
        <v>10</v>
      </c>
      <c r="J4" t="str">
        <f>("UNION FRANCOPHONE")</f>
        <v>UNION FRANCOPHONE</v>
      </c>
      <c r="K4" t="str">
        <f>("9")</f>
        <v>9</v>
      </c>
      <c r="L4">
        <v>219</v>
      </c>
      <c r="M4">
        <v>178</v>
      </c>
      <c r="N4">
        <v>397</v>
      </c>
      <c r="O4">
        <v>2</v>
      </c>
    </row>
    <row r="5" spans="1:15" x14ac:dyDescent="0.3">
      <c r="A5" t="s">
        <v>1</v>
      </c>
      <c r="B5" s="1">
        <v>45578</v>
      </c>
      <c r="C5" t="str">
        <f>("23098")</f>
        <v>23098</v>
      </c>
      <c r="D5" t="s">
        <v>7</v>
      </c>
      <c r="E5" t="str">
        <f t="shared" si="0"/>
        <v>9</v>
      </c>
      <c r="F5">
        <v>3625</v>
      </c>
      <c r="G5">
        <v>2099</v>
      </c>
      <c r="H5">
        <v>143</v>
      </c>
      <c r="I5" t="str">
        <f>("11")</f>
        <v>11</v>
      </c>
      <c r="J5" t="str">
        <f>("ALLIANCE FRANCOPHONE")</f>
        <v>ALLIANCE FRANCOPHONE</v>
      </c>
      <c r="K5" t="str">
        <f>("9")</f>
        <v>9</v>
      </c>
      <c r="L5">
        <v>126</v>
      </c>
      <c r="M5">
        <v>187</v>
      </c>
      <c r="N5">
        <v>313</v>
      </c>
      <c r="O5">
        <v>1</v>
      </c>
    </row>
    <row r="6" spans="1:15" x14ac:dyDescent="0.3">
      <c r="A6" t="s">
        <v>1</v>
      </c>
      <c r="B6" s="1">
        <v>45578</v>
      </c>
      <c r="C6" t="str">
        <f>("23099")</f>
        <v>23099</v>
      </c>
      <c r="D6" t="s">
        <v>6</v>
      </c>
      <c r="E6" t="str">
        <f t="shared" si="0"/>
        <v>9</v>
      </c>
      <c r="F6">
        <v>7893</v>
      </c>
      <c r="G6">
        <v>4823</v>
      </c>
      <c r="H6">
        <v>154</v>
      </c>
      <c r="I6" t="str">
        <f>("5")</f>
        <v>5</v>
      </c>
      <c r="J6" t="str">
        <f>("N-VA")</f>
        <v>N-VA</v>
      </c>
      <c r="K6" t="str">
        <f>("1")</f>
        <v>1</v>
      </c>
      <c r="L6">
        <v>41</v>
      </c>
      <c r="M6">
        <v>62</v>
      </c>
      <c r="N6">
        <v>103</v>
      </c>
      <c r="O6">
        <v>0</v>
      </c>
    </row>
    <row r="7" spans="1:15" x14ac:dyDescent="0.3">
      <c r="A7" t="s">
        <v>1</v>
      </c>
      <c r="B7" s="1">
        <v>45578</v>
      </c>
      <c r="C7" t="str">
        <f>("23099")</f>
        <v>23099</v>
      </c>
      <c r="D7" t="s">
        <v>6</v>
      </c>
      <c r="E7" t="str">
        <f t="shared" si="0"/>
        <v>9</v>
      </c>
      <c r="F7">
        <v>7893</v>
      </c>
      <c r="G7">
        <v>4823</v>
      </c>
      <c r="H7">
        <v>154</v>
      </c>
      <c r="I7" t="str">
        <f>("8")</f>
        <v>8</v>
      </c>
      <c r="J7" t="str">
        <f>("LB KRAAINEM-UNIE")</f>
        <v>LB KRAAINEM-UNIE</v>
      </c>
      <c r="K7" t="str">
        <f>("9")</f>
        <v>9</v>
      </c>
      <c r="L7">
        <v>875</v>
      </c>
      <c r="M7">
        <v>1226</v>
      </c>
      <c r="N7">
        <v>2101</v>
      </c>
      <c r="O7">
        <v>5</v>
      </c>
    </row>
    <row r="8" spans="1:15" x14ac:dyDescent="0.3">
      <c r="A8" t="s">
        <v>1</v>
      </c>
      <c r="B8" s="1">
        <v>45578</v>
      </c>
      <c r="C8" t="str">
        <f>("23099")</f>
        <v>23099</v>
      </c>
      <c r="D8" t="s">
        <v>6</v>
      </c>
      <c r="E8" t="str">
        <f t="shared" si="0"/>
        <v>9</v>
      </c>
      <c r="F8">
        <v>7893</v>
      </c>
      <c r="G8">
        <v>4823</v>
      </c>
      <c r="H8">
        <v>154</v>
      </c>
      <c r="I8" t="str">
        <f>("9")</f>
        <v>9</v>
      </c>
      <c r="J8" t="str">
        <f>("MR-DéFI-IND")</f>
        <v>MR-DéFI-IND</v>
      </c>
      <c r="K8" t="str">
        <f>("9")</f>
        <v>9</v>
      </c>
      <c r="L8">
        <v>490</v>
      </c>
      <c r="M8">
        <v>1344</v>
      </c>
      <c r="N8">
        <v>1834</v>
      </c>
      <c r="O8">
        <v>4</v>
      </c>
    </row>
    <row r="9" spans="1:15" x14ac:dyDescent="0.3">
      <c r="A9" t="s">
        <v>1</v>
      </c>
      <c r="B9" s="1">
        <v>45578</v>
      </c>
      <c r="C9" t="str">
        <f>("23099")</f>
        <v>23099</v>
      </c>
      <c r="D9" t="s">
        <v>6</v>
      </c>
      <c r="E9" t="str">
        <f t="shared" si="0"/>
        <v>9</v>
      </c>
      <c r="F9">
        <v>7893</v>
      </c>
      <c r="G9">
        <v>4823</v>
      </c>
      <c r="H9">
        <v>154</v>
      </c>
      <c r="I9" t="str">
        <f>("10")</f>
        <v>10</v>
      </c>
      <c r="J9" t="str">
        <f>("PRO Kraainem")</f>
        <v>PRO Kraainem</v>
      </c>
      <c r="K9" t="str">
        <f>("9")</f>
        <v>9</v>
      </c>
      <c r="L9">
        <v>165</v>
      </c>
      <c r="M9">
        <v>466</v>
      </c>
      <c r="N9">
        <v>631</v>
      </c>
      <c r="O9">
        <v>0</v>
      </c>
    </row>
    <row r="10" spans="1:15" x14ac:dyDescent="0.3">
      <c r="A10" t="s">
        <v>1</v>
      </c>
      <c r="B10" s="1">
        <v>45578</v>
      </c>
      <c r="C10" t="str">
        <f>("23100")</f>
        <v>23100</v>
      </c>
      <c r="D10" t="s">
        <v>5</v>
      </c>
      <c r="E10" t="str">
        <f t="shared" si="0"/>
        <v>9</v>
      </c>
      <c r="F10">
        <v>3234</v>
      </c>
      <c r="G10">
        <v>2197</v>
      </c>
      <c r="H10">
        <v>99</v>
      </c>
      <c r="I10" t="str">
        <f>("8")</f>
        <v>8</v>
      </c>
      <c r="J10" t="str">
        <f>("LB")</f>
        <v>LB</v>
      </c>
      <c r="K10" t="str">
        <f>("9")</f>
        <v>9</v>
      </c>
      <c r="L10">
        <v>450</v>
      </c>
      <c r="M10">
        <v>772</v>
      </c>
      <c r="N10">
        <v>1222</v>
      </c>
      <c r="O10">
        <v>5</v>
      </c>
    </row>
    <row r="11" spans="1:15" x14ac:dyDescent="0.3">
      <c r="A11" t="s">
        <v>1</v>
      </c>
      <c r="B11" s="1">
        <v>45578</v>
      </c>
      <c r="C11" t="str">
        <f>("23100")</f>
        <v>23100</v>
      </c>
      <c r="D11" t="s">
        <v>5</v>
      </c>
      <c r="E11" t="str">
        <f t="shared" si="0"/>
        <v>9</v>
      </c>
      <c r="F11">
        <v>3234</v>
      </c>
      <c r="G11">
        <v>2197</v>
      </c>
      <c r="H11">
        <v>99</v>
      </c>
      <c r="I11" t="str">
        <f>("9")</f>
        <v>9</v>
      </c>
      <c r="J11" t="str">
        <f>("1630LKB")</f>
        <v>1630LKB</v>
      </c>
      <c r="K11" t="str">
        <f>("9")</f>
        <v>9</v>
      </c>
      <c r="L11">
        <v>308</v>
      </c>
      <c r="M11">
        <v>568</v>
      </c>
      <c r="N11">
        <v>876</v>
      </c>
      <c r="O11">
        <v>4</v>
      </c>
    </row>
    <row r="12" spans="1:15" x14ac:dyDescent="0.3">
      <c r="A12" t="s">
        <v>1</v>
      </c>
      <c r="B12" s="1">
        <v>45578</v>
      </c>
      <c r="C12" t="str">
        <f>("23101")</f>
        <v>23101</v>
      </c>
      <c r="D12" t="s">
        <v>4</v>
      </c>
      <c r="E12" t="str">
        <f>("11")</f>
        <v>11</v>
      </c>
      <c r="F12">
        <v>12435</v>
      </c>
      <c r="G12">
        <v>8124</v>
      </c>
      <c r="H12">
        <v>525</v>
      </c>
      <c r="I12" t="str">
        <f>("8")</f>
        <v>8</v>
      </c>
      <c r="J12" t="str">
        <f>("Accent 1640")</f>
        <v>Accent 1640</v>
      </c>
      <c r="K12" t="str">
        <f>("11")</f>
        <v>11</v>
      </c>
      <c r="L12">
        <v>460</v>
      </c>
      <c r="M12">
        <v>1083</v>
      </c>
      <c r="N12">
        <v>1543</v>
      </c>
      <c r="O12">
        <v>2</v>
      </c>
    </row>
    <row r="13" spans="1:15" x14ac:dyDescent="0.3">
      <c r="A13" t="s">
        <v>1</v>
      </c>
      <c r="B13" s="1">
        <v>45578</v>
      </c>
      <c r="C13" t="str">
        <f>("23101")</f>
        <v>23101</v>
      </c>
      <c r="D13" t="s">
        <v>4</v>
      </c>
      <c r="E13" t="str">
        <f>("11")</f>
        <v>11</v>
      </c>
      <c r="F13">
        <v>12435</v>
      </c>
      <c r="G13">
        <v>8124</v>
      </c>
      <c r="H13">
        <v>525</v>
      </c>
      <c r="I13" t="str">
        <f>("9")</f>
        <v>9</v>
      </c>
      <c r="J13" t="str">
        <f>("L.Bourgmestre/Burgem")</f>
        <v>L.Bourgmestre/Burgem</v>
      </c>
      <c r="K13" t="str">
        <f>("11")</f>
        <v>11</v>
      </c>
      <c r="L13">
        <v>2002</v>
      </c>
      <c r="M13">
        <v>3252</v>
      </c>
      <c r="N13">
        <v>5254</v>
      </c>
      <c r="O13">
        <v>9</v>
      </c>
    </row>
    <row r="14" spans="1:15" x14ac:dyDescent="0.3">
      <c r="A14" t="s">
        <v>1</v>
      </c>
      <c r="B14" s="1">
        <v>45578</v>
      </c>
      <c r="C14" t="str">
        <f>("23101")</f>
        <v>23101</v>
      </c>
      <c r="D14" t="s">
        <v>4</v>
      </c>
      <c r="E14" t="str">
        <f>("11")</f>
        <v>11</v>
      </c>
      <c r="F14">
        <v>12435</v>
      </c>
      <c r="G14">
        <v>8124</v>
      </c>
      <c r="H14">
        <v>525</v>
      </c>
      <c r="I14" t="str">
        <f>("10")</f>
        <v>10</v>
      </c>
      <c r="J14" t="str">
        <f>("VOOR RODE")</f>
        <v>VOOR RODE</v>
      </c>
      <c r="K14" t="str">
        <f>("11")</f>
        <v>11</v>
      </c>
      <c r="L14">
        <v>242</v>
      </c>
      <c r="M14">
        <v>560</v>
      </c>
      <c r="N14">
        <v>802</v>
      </c>
      <c r="O14">
        <v>0</v>
      </c>
    </row>
    <row r="15" spans="1:15" x14ac:dyDescent="0.3">
      <c r="A15" t="s">
        <v>1</v>
      </c>
      <c r="B15" s="1">
        <v>45578</v>
      </c>
      <c r="C15" t="str">
        <f>("73109")</f>
        <v>73109</v>
      </c>
      <c r="D15" t="s">
        <v>3</v>
      </c>
      <c r="E15" t="str">
        <f>("9")</f>
        <v>9</v>
      </c>
      <c r="F15">
        <v>3297</v>
      </c>
      <c r="G15">
        <v>2042</v>
      </c>
      <c r="H15">
        <v>80</v>
      </c>
      <c r="I15" t="str">
        <f>("8")</f>
        <v>8</v>
      </c>
      <c r="J15" t="str">
        <f>("R.A.L.")</f>
        <v>R.A.L.</v>
      </c>
      <c r="K15" t="str">
        <f>("9")</f>
        <v>9</v>
      </c>
      <c r="L15">
        <v>177</v>
      </c>
      <c r="M15">
        <v>748</v>
      </c>
      <c r="N15">
        <v>925</v>
      </c>
      <c r="O15">
        <v>4</v>
      </c>
    </row>
    <row r="16" spans="1:15" x14ac:dyDescent="0.3">
      <c r="A16" t="s">
        <v>1</v>
      </c>
      <c r="B16" s="1">
        <v>45578</v>
      </c>
      <c r="C16" t="str">
        <f>("73109")</f>
        <v>73109</v>
      </c>
      <c r="D16" t="s">
        <v>3</v>
      </c>
      <c r="E16" t="str">
        <f>("9")</f>
        <v>9</v>
      </c>
      <c r="F16">
        <v>3297</v>
      </c>
      <c r="G16">
        <v>2042</v>
      </c>
      <c r="H16">
        <v>80</v>
      </c>
      <c r="I16" t="str">
        <f>("9")</f>
        <v>9</v>
      </c>
      <c r="J16" t="str">
        <f>("Voerbelangen")</f>
        <v>Voerbelangen</v>
      </c>
      <c r="K16" t="str">
        <f>("9")</f>
        <v>9</v>
      </c>
      <c r="L16">
        <v>111</v>
      </c>
      <c r="M16">
        <v>926</v>
      </c>
      <c r="N16">
        <v>1037</v>
      </c>
      <c r="O16">
        <v>5</v>
      </c>
    </row>
    <row r="17" spans="1:15" x14ac:dyDescent="0.3">
      <c r="A17" t="s">
        <v>1</v>
      </c>
      <c r="B17" s="1">
        <v>45578</v>
      </c>
      <c r="C17" t="str">
        <f>("23102")</f>
        <v>23102</v>
      </c>
      <c r="D17" t="s">
        <v>2</v>
      </c>
      <c r="E17" t="str">
        <f>("11")</f>
        <v>11</v>
      </c>
      <c r="F17">
        <v>11547</v>
      </c>
      <c r="G17">
        <v>6252</v>
      </c>
      <c r="H17">
        <v>462</v>
      </c>
      <c r="I17" t="str">
        <f>("8")</f>
        <v>8</v>
      </c>
      <c r="J17" t="str">
        <f>("LB Wemmel")</f>
        <v>LB Wemmel</v>
      </c>
      <c r="K17" t="str">
        <f>("11")</f>
        <v>11</v>
      </c>
      <c r="L17">
        <v>569</v>
      </c>
      <c r="M17">
        <v>1919</v>
      </c>
      <c r="N17">
        <v>2488</v>
      </c>
      <c r="O17">
        <v>5</v>
      </c>
    </row>
    <row r="18" spans="1:15" x14ac:dyDescent="0.3">
      <c r="A18" t="s">
        <v>1</v>
      </c>
      <c r="B18" s="1">
        <v>45578</v>
      </c>
      <c r="C18" t="str">
        <f>("23102")</f>
        <v>23102</v>
      </c>
      <c r="D18" t="s">
        <v>2</v>
      </c>
      <c r="E18" t="str">
        <f>("11")</f>
        <v>11</v>
      </c>
      <c r="F18">
        <v>11547</v>
      </c>
      <c r="G18">
        <v>6252</v>
      </c>
      <c r="H18">
        <v>462</v>
      </c>
      <c r="I18" t="str">
        <f>("9")</f>
        <v>9</v>
      </c>
      <c r="J18" t="str">
        <f>("WEMMEL PLUS!")</f>
        <v>WEMMEL PLUS!</v>
      </c>
      <c r="K18" t="str">
        <f>("11")</f>
        <v>11</v>
      </c>
      <c r="L18">
        <v>462</v>
      </c>
      <c r="M18">
        <v>1162</v>
      </c>
      <c r="N18">
        <v>1624</v>
      </c>
      <c r="O18">
        <v>3</v>
      </c>
    </row>
    <row r="19" spans="1:15" x14ac:dyDescent="0.3">
      <c r="A19" t="s">
        <v>1</v>
      </c>
      <c r="B19" s="1">
        <v>45578</v>
      </c>
      <c r="C19" t="str">
        <f>("23102")</f>
        <v>23102</v>
      </c>
      <c r="D19" t="s">
        <v>2</v>
      </c>
      <c r="E19" t="str">
        <f>("11")</f>
        <v>11</v>
      </c>
      <c r="F19">
        <v>11547</v>
      </c>
      <c r="G19">
        <v>6252</v>
      </c>
      <c r="H19">
        <v>462</v>
      </c>
      <c r="I19" t="str">
        <f>("10")</f>
        <v>10</v>
      </c>
      <c r="J19" t="str">
        <f>("IC-GB")</f>
        <v>IC-GB</v>
      </c>
      <c r="K19" t="str">
        <f>("11")</f>
        <v>11</v>
      </c>
      <c r="L19">
        <v>484</v>
      </c>
      <c r="M19">
        <v>1194</v>
      </c>
      <c r="N19">
        <v>1678</v>
      </c>
      <c r="O19">
        <v>3</v>
      </c>
    </row>
    <row r="20" spans="1:15" x14ac:dyDescent="0.3">
      <c r="A20" t="s">
        <v>1</v>
      </c>
      <c r="B20" s="1">
        <v>45578</v>
      </c>
      <c r="C20" t="str">
        <f>("23103")</f>
        <v>23103</v>
      </c>
      <c r="D20" t="s">
        <v>0</v>
      </c>
      <c r="E20" t="str">
        <f>("9")</f>
        <v>9</v>
      </c>
      <c r="F20">
        <v>9092</v>
      </c>
      <c r="G20">
        <v>5973</v>
      </c>
      <c r="H20">
        <v>263</v>
      </c>
      <c r="I20" t="str">
        <f>("8")</f>
        <v>8</v>
      </c>
      <c r="J20" t="str">
        <f>("WOplus")</f>
        <v>WOplus</v>
      </c>
      <c r="K20" t="str">
        <f>("9")</f>
        <v>9</v>
      </c>
      <c r="L20">
        <v>204</v>
      </c>
      <c r="M20">
        <v>389</v>
      </c>
      <c r="N20">
        <v>593</v>
      </c>
      <c r="O20">
        <v>0</v>
      </c>
    </row>
    <row r="21" spans="1:15" x14ac:dyDescent="0.3">
      <c r="A21" t="s">
        <v>1</v>
      </c>
      <c r="B21" s="1">
        <v>45578</v>
      </c>
      <c r="C21" t="str">
        <f>("23103")</f>
        <v>23103</v>
      </c>
      <c r="D21" t="s">
        <v>0</v>
      </c>
      <c r="E21" t="str">
        <f>("9")</f>
        <v>9</v>
      </c>
      <c r="F21">
        <v>9092</v>
      </c>
      <c r="G21">
        <v>5973</v>
      </c>
      <c r="H21">
        <v>263</v>
      </c>
      <c r="I21" t="str">
        <f>("9")</f>
        <v>9</v>
      </c>
      <c r="J21" t="str">
        <f>("LB Wezembeek-Oppem")</f>
        <v>LB Wezembeek-Oppem</v>
      </c>
      <c r="K21" t="str">
        <f>("9")</f>
        <v>9</v>
      </c>
      <c r="L21">
        <v>731</v>
      </c>
      <c r="M21">
        <v>1637</v>
      </c>
      <c r="N21">
        <v>2368</v>
      </c>
      <c r="O21">
        <v>4</v>
      </c>
    </row>
    <row r="22" spans="1:15" x14ac:dyDescent="0.3">
      <c r="A22" t="s">
        <v>1</v>
      </c>
      <c r="B22" s="1">
        <v>45578</v>
      </c>
      <c r="C22" t="str">
        <f>("23103")</f>
        <v>23103</v>
      </c>
      <c r="D22" t="s">
        <v>0</v>
      </c>
      <c r="E22" t="str">
        <f>("9")</f>
        <v>9</v>
      </c>
      <c r="F22">
        <v>9092</v>
      </c>
      <c r="G22">
        <v>5973</v>
      </c>
      <c r="H22">
        <v>263</v>
      </c>
      <c r="I22" t="str">
        <f>("10")</f>
        <v>10</v>
      </c>
      <c r="J22" t="str">
        <f>("Horizon")</f>
        <v>Horizon</v>
      </c>
      <c r="K22" t="str">
        <f>("9")</f>
        <v>9</v>
      </c>
      <c r="L22">
        <v>635</v>
      </c>
      <c r="M22">
        <v>2114</v>
      </c>
      <c r="N22">
        <v>2749</v>
      </c>
      <c r="O2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61A5-B8F2-4463-A12F-D329EC9CD02B}">
  <dimension ref="A1:S194"/>
  <sheetViews>
    <sheetView tabSelected="1" workbookViewId="0">
      <selection activeCell="D4" sqref="D4"/>
    </sheetView>
  </sheetViews>
  <sheetFormatPr defaultColWidth="11.5546875" defaultRowHeight="14.4" x14ac:dyDescent="0.3"/>
  <cols>
    <col min="16" max="16" width="24.109375" customWidth="1"/>
  </cols>
  <sheetData>
    <row r="1" spans="1:19" ht="43.2" x14ac:dyDescent="0.3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s="3" t="s">
        <v>20</v>
      </c>
      <c r="H1" t="s">
        <v>8</v>
      </c>
      <c r="I1" s="4" t="s">
        <v>19</v>
      </c>
      <c r="J1" t="s">
        <v>18</v>
      </c>
      <c r="K1" s="2" t="s">
        <v>28</v>
      </c>
      <c r="L1" s="2" t="s">
        <v>29</v>
      </c>
      <c r="M1" s="3" t="s">
        <v>17</v>
      </c>
      <c r="N1" s="2" t="s">
        <v>16</v>
      </c>
      <c r="O1" s="6" t="s">
        <v>26</v>
      </c>
      <c r="P1" s="5" t="s">
        <v>25</v>
      </c>
      <c r="Q1" t="s">
        <v>24</v>
      </c>
      <c r="R1" t="s">
        <v>23</v>
      </c>
      <c r="S1" t="s">
        <v>22</v>
      </c>
    </row>
    <row r="2" spans="1:19" x14ac:dyDescent="0.3">
      <c r="A2" t="s">
        <v>1</v>
      </c>
      <c r="B2" s="1">
        <v>45578</v>
      </c>
      <c r="C2" t="str">
        <f t="shared" ref="C2:C37" si="0">("23098")</f>
        <v>23098</v>
      </c>
      <c r="D2" t="s">
        <v>7</v>
      </c>
      <c r="E2" t="str">
        <f t="shared" ref="E2:E33" si="1">("9")</f>
        <v>9</v>
      </c>
      <c r="F2">
        <v>3625</v>
      </c>
      <c r="G2">
        <v>2099</v>
      </c>
      <c r="H2">
        <v>143</v>
      </c>
      <c r="I2" t="str">
        <f t="shared" ref="I2:I10" si="2">("8")</f>
        <v>8</v>
      </c>
      <c r="J2" t="str">
        <f t="shared" ref="J2:J10" si="3">("LB DROGENBOS +")</f>
        <v>LB DROGENBOS +</v>
      </c>
      <c r="K2">
        <v>375</v>
      </c>
      <c r="L2">
        <v>513</v>
      </c>
      <c r="M2">
        <v>888</v>
      </c>
      <c r="N2">
        <v>5</v>
      </c>
      <c r="O2" t="str">
        <f>("1")</f>
        <v>1</v>
      </c>
      <c r="P2" t="str">
        <f>("Cogels-Calmeyn Valérie")</f>
        <v>Cogels-Calmeyn Valérie</v>
      </c>
      <c r="Q2">
        <v>281</v>
      </c>
      <c r="R2">
        <v>1</v>
      </c>
    </row>
    <row r="3" spans="1:19" x14ac:dyDescent="0.3">
      <c r="A3" t="s">
        <v>1</v>
      </c>
      <c r="B3" s="1">
        <v>45578</v>
      </c>
      <c r="C3" t="str">
        <f t="shared" si="0"/>
        <v>23098</v>
      </c>
      <c r="D3" t="s">
        <v>7</v>
      </c>
      <c r="E3" t="str">
        <f t="shared" si="1"/>
        <v>9</v>
      </c>
      <c r="F3">
        <v>3625</v>
      </c>
      <c r="G3">
        <v>2099</v>
      </c>
      <c r="H3">
        <v>143</v>
      </c>
      <c r="I3" t="str">
        <f t="shared" si="2"/>
        <v>8</v>
      </c>
      <c r="J3" t="str">
        <f t="shared" si="3"/>
        <v>LB DROGENBOS +</v>
      </c>
      <c r="K3">
        <v>375</v>
      </c>
      <c r="L3">
        <v>513</v>
      </c>
      <c r="M3">
        <v>888</v>
      </c>
      <c r="N3">
        <v>5</v>
      </c>
      <c r="O3" t="str">
        <f>("2")</f>
        <v>2</v>
      </c>
      <c r="P3" t="str">
        <f>("Zoao Jean Claude")</f>
        <v>Zoao Jean Claude</v>
      </c>
      <c r="Q3">
        <v>196</v>
      </c>
      <c r="R3">
        <v>2</v>
      </c>
    </row>
    <row r="4" spans="1:19" x14ac:dyDescent="0.3">
      <c r="A4" t="s">
        <v>1</v>
      </c>
      <c r="B4" s="1">
        <v>45578</v>
      </c>
      <c r="C4" t="str">
        <f t="shared" si="0"/>
        <v>23098</v>
      </c>
      <c r="D4" t="s">
        <v>7</v>
      </c>
      <c r="E4" t="str">
        <f t="shared" si="1"/>
        <v>9</v>
      </c>
      <c r="F4">
        <v>3625</v>
      </c>
      <c r="G4">
        <v>2099</v>
      </c>
      <c r="H4">
        <v>143</v>
      </c>
      <c r="I4" t="str">
        <f t="shared" si="2"/>
        <v>8</v>
      </c>
      <c r="J4" t="str">
        <f t="shared" si="3"/>
        <v>LB DROGENBOS +</v>
      </c>
      <c r="K4">
        <v>375</v>
      </c>
      <c r="L4">
        <v>513</v>
      </c>
      <c r="M4">
        <v>888</v>
      </c>
      <c r="N4">
        <v>5</v>
      </c>
      <c r="O4" t="str">
        <f>("3")</f>
        <v>3</v>
      </c>
      <c r="P4" t="str">
        <f>("D'Hont Josiane")</f>
        <v>D'Hont Josiane</v>
      </c>
      <c r="Q4">
        <v>171</v>
      </c>
      <c r="R4">
        <v>3</v>
      </c>
    </row>
    <row r="5" spans="1:19" x14ac:dyDescent="0.3">
      <c r="A5" t="s">
        <v>1</v>
      </c>
      <c r="B5" s="1">
        <v>45578</v>
      </c>
      <c r="C5" t="str">
        <f t="shared" si="0"/>
        <v>23098</v>
      </c>
      <c r="D5" t="s">
        <v>7</v>
      </c>
      <c r="E5" t="str">
        <f t="shared" si="1"/>
        <v>9</v>
      </c>
      <c r="F5">
        <v>3625</v>
      </c>
      <c r="G5">
        <v>2099</v>
      </c>
      <c r="H5">
        <v>143</v>
      </c>
      <c r="I5" t="str">
        <f t="shared" si="2"/>
        <v>8</v>
      </c>
      <c r="J5" t="str">
        <f t="shared" si="3"/>
        <v>LB DROGENBOS +</v>
      </c>
      <c r="K5">
        <v>375</v>
      </c>
      <c r="L5">
        <v>513</v>
      </c>
      <c r="M5">
        <v>888</v>
      </c>
      <c r="N5">
        <v>5</v>
      </c>
      <c r="O5" t="str">
        <f>("4")</f>
        <v>4</v>
      </c>
      <c r="P5" t="str">
        <f>("Van Berlamont Valérie")</f>
        <v>Van Berlamont Valérie</v>
      </c>
      <c r="Q5">
        <v>131</v>
      </c>
      <c r="S5">
        <v>2</v>
      </c>
    </row>
    <row r="6" spans="1:19" x14ac:dyDescent="0.3">
      <c r="A6" t="s">
        <v>1</v>
      </c>
      <c r="B6" s="1">
        <v>45578</v>
      </c>
      <c r="C6" t="str">
        <f t="shared" si="0"/>
        <v>23098</v>
      </c>
      <c r="D6" t="s">
        <v>7</v>
      </c>
      <c r="E6" t="str">
        <f t="shared" si="1"/>
        <v>9</v>
      </c>
      <c r="F6">
        <v>3625</v>
      </c>
      <c r="G6">
        <v>2099</v>
      </c>
      <c r="H6">
        <v>143</v>
      </c>
      <c r="I6" t="str">
        <f t="shared" si="2"/>
        <v>8</v>
      </c>
      <c r="J6" t="str">
        <f t="shared" si="3"/>
        <v>LB DROGENBOS +</v>
      </c>
      <c r="K6">
        <v>375</v>
      </c>
      <c r="L6">
        <v>513</v>
      </c>
      <c r="M6">
        <v>888</v>
      </c>
      <c r="N6">
        <v>5</v>
      </c>
      <c r="O6" t="str">
        <f>("5")</f>
        <v>5</v>
      </c>
      <c r="P6" t="str">
        <f>("Borrey-Peetroons Chantal")</f>
        <v>Borrey-Peetroons Chantal</v>
      </c>
      <c r="Q6">
        <v>138</v>
      </c>
      <c r="R6">
        <v>5</v>
      </c>
    </row>
    <row r="7" spans="1:19" x14ac:dyDescent="0.3">
      <c r="A7" t="s">
        <v>1</v>
      </c>
      <c r="B7" s="1">
        <v>45578</v>
      </c>
      <c r="C7" t="str">
        <f t="shared" si="0"/>
        <v>23098</v>
      </c>
      <c r="D7" t="s">
        <v>7</v>
      </c>
      <c r="E7" t="str">
        <f t="shared" si="1"/>
        <v>9</v>
      </c>
      <c r="F7">
        <v>3625</v>
      </c>
      <c r="G7">
        <v>2099</v>
      </c>
      <c r="H7">
        <v>143</v>
      </c>
      <c r="I7" t="str">
        <f t="shared" si="2"/>
        <v>8</v>
      </c>
      <c r="J7" t="str">
        <f t="shared" si="3"/>
        <v>LB DROGENBOS +</v>
      </c>
      <c r="K7">
        <v>375</v>
      </c>
      <c r="L7">
        <v>513</v>
      </c>
      <c r="M7">
        <v>888</v>
      </c>
      <c r="N7">
        <v>5</v>
      </c>
      <c r="O7" t="str">
        <f>("6")</f>
        <v>6</v>
      </c>
      <c r="P7" t="str">
        <f>("Wastiels Michel")</f>
        <v>Wastiels Michel</v>
      </c>
      <c r="Q7">
        <v>123</v>
      </c>
      <c r="S7">
        <v>3</v>
      </c>
    </row>
    <row r="8" spans="1:19" x14ac:dyDescent="0.3">
      <c r="A8" t="s">
        <v>1</v>
      </c>
      <c r="B8" s="1">
        <v>45578</v>
      </c>
      <c r="C8" t="str">
        <f t="shared" si="0"/>
        <v>23098</v>
      </c>
      <c r="D8" t="s">
        <v>7</v>
      </c>
      <c r="E8" t="str">
        <f t="shared" si="1"/>
        <v>9</v>
      </c>
      <c r="F8">
        <v>3625</v>
      </c>
      <c r="G8">
        <v>2099</v>
      </c>
      <c r="H8">
        <v>143</v>
      </c>
      <c r="I8" t="str">
        <f t="shared" si="2"/>
        <v>8</v>
      </c>
      <c r="J8" t="str">
        <f t="shared" si="3"/>
        <v>LB DROGENBOS +</v>
      </c>
      <c r="K8">
        <v>375</v>
      </c>
      <c r="L8">
        <v>513</v>
      </c>
      <c r="M8">
        <v>888</v>
      </c>
      <c r="N8">
        <v>5</v>
      </c>
      <c r="O8" t="str">
        <f>("7")</f>
        <v>7</v>
      </c>
      <c r="P8" t="str">
        <f>("Michiels Alain")</f>
        <v>Michiels Alain</v>
      </c>
      <c r="Q8">
        <v>136</v>
      </c>
      <c r="S8">
        <v>1</v>
      </c>
    </row>
    <row r="9" spans="1:19" x14ac:dyDescent="0.3">
      <c r="A9" t="s">
        <v>1</v>
      </c>
      <c r="B9" s="1">
        <v>45578</v>
      </c>
      <c r="C9" t="str">
        <f t="shared" si="0"/>
        <v>23098</v>
      </c>
      <c r="D9" t="s">
        <v>7</v>
      </c>
      <c r="E9" t="str">
        <f t="shared" si="1"/>
        <v>9</v>
      </c>
      <c r="F9">
        <v>3625</v>
      </c>
      <c r="G9">
        <v>2099</v>
      </c>
      <c r="H9">
        <v>143</v>
      </c>
      <c r="I9" t="str">
        <f t="shared" si="2"/>
        <v>8</v>
      </c>
      <c r="J9" t="str">
        <f t="shared" si="3"/>
        <v>LB DROGENBOS +</v>
      </c>
      <c r="K9">
        <v>375</v>
      </c>
      <c r="L9">
        <v>513</v>
      </c>
      <c r="M9">
        <v>888</v>
      </c>
      <c r="N9">
        <v>5</v>
      </c>
      <c r="O9" t="str">
        <f>("8")</f>
        <v>8</v>
      </c>
      <c r="P9" t="str">
        <f>("Queroles Sélène")</f>
        <v>Queroles Sélène</v>
      </c>
      <c r="Q9">
        <v>152</v>
      </c>
      <c r="R9">
        <v>4</v>
      </c>
    </row>
    <row r="10" spans="1:19" x14ac:dyDescent="0.3">
      <c r="A10" t="s">
        <v>1</v>
      </c>
      <c r="B10" s="1">
        <v>45578</v>
      </c>
      <c r="C10" t="str">
        <f t="shared" si="0"/>
        <v>23098</v>
      </c>
      <c r="D10" t="s">
        <v>7</v>
      </c>
      <c r="E10" t="str">
        <f t="shared" si="1"/>
        <v>9</v>
      </c>
      <c r="F10">
        <v>3625</v>
      </c>
      <c r="G10">
        <v>2099</v>
      </c>
      <c r="H10">
        <v>143</v>
      </c>
      <c r="I10" t="str">
        <f t="shared" si="2"/>
        <v>8</v>
      </c>
      <c r="J10" t="str">
        <f t="shared" si="3"/>
        <v>LB DROGENBOS +</v>
      </c>
      <c r="K10">
        <v>375</v>
      </c>
      <c r="L10">
        <v>513</v>
      </c>
      <c r="M10">
        <v>888</v>
      </c>
      <c r="N10">
        <v>5</v>
      </c>
      <c r="O10" t="str">
        <f>("9")</f>
        <v>9</v>
      </c>
      <c r="P10" t="str">
        <f>("Asselman Patrick")</f>
        <v>Asselman Patrick</v>
      </c>
      <c r="Q10">
        <v>119</v>
      </c>
      <c r="S10">
        <v>4</v>
      </c>
    </row>
    <row r="11" spans="1:19" x14ac:dyDescent="0.3">
      <c r="A11" t="s">
        <v>1</v>
      </c>
      <c r="B11" s="1">
        <v>45578</v>
      </c>
      <c r="C11" t="str">
        <f t="shared" si="0"/>
        <v>23098</v>
      </c>
      <c r="D11" t="s">
        <v>7</v>
      </c>
      <c r="E11" t="str">
        <f t="shared" si="1"/>
        <v>9</v>
      </c>
      <c r="F11">
        <v>3625</v>
      </c>
      <c r="G11">
        <v>2099</v>
      </c>
      <c r="H11">
        <v>143</v>
      </c>
      <c r="I11" t="str">
        <f t="shared" ref="I11:I19" si="4">("9")</f>
        <v>9</v>
      </c>
      <c r="J11" t="str">
        <f t="shared" ref="J11:J19" si="5">("go1620")</f>
        <v>go1620</v>
      </c>
      <c r="K11">
        <v>135</v>
      </c>
      <c r="L11">
        <v>223</v>
      </c>
      <c r="M11">
        <v>358</v>
      </c>
      <c r="N11">
        <v>1</v>
      </c>
      <c r="O11" t="str">
        <f>("1")</f>
        <v>1</v>
      </c>
      <c r="P11" t="str">
        <f>("Essiaf Myriam")</f>
        <v>Essiaf Myriam</v>
      </c>
      <c r="Q11">
        <v>117</v>
      </c>
      <c r="R11">
        <v>1</v>
      </c>
    </row>
    <row r="12" spans="1:19" x14ac:dyDescent="0.3">
      <c r="A12" t="s">
        <v>1</v>
      </c>
      <c r="B12" s="1">
        <v>45578</v>
      </c>
      <c r="C12" t="str">
        <f t="shared" si="0"/>
        <v>23098</v>
      </c>
      <c r="D12" t="s">
        <v>7</v>
      </c>
      <c r="E12" t="str">
        <f t="shared" si="1"/>
        <v>9</v>
      </c>
      <c r="F12">
        <v>3625</v>
      </c>
      <c r="G12">
        <v>2099</v>
      </c>
      <c r="H12">
        <v>143</v>
      </c>
      <c r="I12" t="str">
        <f t="shared" si="4"/>
        <v>9</v>
      </c>
      <c r="J12" t="str">
        <f t="shared" si="5"/>
        <v>go1620</v>
      </c>
      <c r="K12">
        <v>135</v>
      </c>
      <c r="L12">
        <v>223</v>
      </c>
      <c r="M12">
        <v>358</v>
      </c>
      <c r="N12">
        <v>1</v>
      </c>
      <c r="O12" t="str">
        <f>("2")</f>
        <v>2</v>
      </c>
      <c r="P12" t="str">
        <f>("Motmans Marc")</f>
        <v>Motmans Marc</v>
      </c>
      <c r="Q12">
        <v>55</v>
      </c>
      <c r="S12">
        <v>3</v>
      </c>
    </row>
    <row r="13" spans="1:19" x14ac:dyDescent="0.3">
      <c r="A13" t="s">
        <v>1</v>
      </c>
      <c r="B13" s="1">
        <v>45578</v>
      </c>
      <c r="C13" t="str">
        <f t="shared" si="0"/>
        <v>23098</v>
      </c>
      <c r="D13" t="s">
        <v>7</v>
      </c>
      <c r="E13" t="str">
        <f t="shared" si="1"/>
        <v>9</v>
      </c>
      <c r="F13">
        <v>3625</v>
      </c>
      <c r="G13">
        <v>2099</v>
      </c>
      <c r="H13">
        <v>143</v>
      </c>
      <c r="I13" t="str">
        <f t="shared" si="4"/>
        <v>9</v>
      </c>
      <c r="J13" t="str">
        <f t="shared" si="5"/>
        <v>go1620</v>
      </c>
      <c r="K13">
        <v>135</v>
      </c>
      <c r="L13">
        <v>223</v>
      </c>
      <c r="M13">
        <v>358</v>
      </c>
      <c r="N13">
        <v>1</v>
      </c>
      <c r="O13" t="str">
        <f>("3")</f>
        <v>3</v>
      </c>
      <c r="P13" t="str">
        <f>("Cnops Daniel")</f>
        <v>Cnops Daniel</v>
      </c>
      <c r="Q13">
        <v>59</v>
      </c>
      <c r="S13">
        <v>2</v>
      </c>
    </row>
    <row r="14" spans="1:19" x14ac:dyDescent="0.3">
      <c r="A14" t="s">
        <v>1</v>
      </c>
      <c r="B14" s="1">
        <v>45578</v>
      </c>
      <c r="C14" t="str">
        <f t="shared" si="0"/>
        <v>23098</v>
      </c>
      <c r="D14" t="s">
        <v>7</v>
      </c>
      <c r="E14" t="str">
        <f t="shared" si="1"/>
        <v>9</v>
      </c>
      <c r="F14">
        <v>3625</v>
      </c>
      <c r="G14">
        <v>2099</v>
      </c>
      <c r="H14">
        <v>143</v>
      </c>
      <c r="I14" t="str">
        <f t="shared" si="4"/>
        <v>9</v>
      </c>
      <c r="J14" t="str">
        <f t="shared" si="5"/>
        <v>go1620</v>
      </c>
      <c r="K14">
        <v>135</v>
      </c>
      <c r="L14">
        <v>223</v>
      </c>
      <c r="M14">
        <v>358</v>
      </c>
      <c r="N14">
        <v>1</v>
      </c>
      <c r="O14" t="str">
        <f>("4")</f>
        <v>4</v>
      </c>
      <c r="P14" t="str">
        <f>("Smets Paul")</f>
        <v>Smets Paul</v>
      </c>
      <c r="Q14">
        <v>32</v>
      </c>
      <c r="S14">
        <v>8</v>
      </c>
    </row>
    <row r="15" spans="1:19" x14ac:dyDescent="0.3">
      <c r="A15" t="s">
        <v>1</v>
      </c>
      <c r="B15" s="1">
        <v>45578</v>
      </c>
      <c r="C15" t="str">
        <f t="shared" si="0"/>
        <v>23098</v>
      </c>
      <c r="D15" t="s">
        <v>7</v>
      </c>
      <c r="E15" t="str">
        <f t="shared" si="1"/>
        <v>9</v>
      </c>
      <c r="F15">
        <v>3625</v>
      </c>
      <c r="G15">
        <v>2099</v>
      </c>
      <c r="H15">
        <v>143</v>
      </c>
      <c r="I15" t="str">
        <f t="shared" si="4"/>
        <v>9</v>
      </c>
      <c r="J15" t="str">
        <f t="shared" si="5"/>
        <v>go1620</v>
      </c>
      <c r="K15">
        <v>135</v>
      </c>
      <c r="L15">
        <v>223</v>
      </c>
      <c r="M15">
        <v>358</v>
      </c>
      <c r="N15">
        <v>1</v>
      </c>
      <c r="O15" t="str">
        <f>("5")</f>
        <v>5</v>
      </c>
      <c r="P15" t="str">
        <f>("Janssens Brigitte")</f>
        <v>Janssens Brigitte</v>
      </c>
      <c r="Q15">
        <v>34</v>
      </c>
      <c r="S15">
        <v>6</v>
      </c>
    </row>
    <row r="16" spans="1:19" x14ac:dyDescent="0.3">
      <c r="A16" t="s">
        <v>1</v>
      </c>
      <c r="B16" s="1">
        <v>45578</v>
      </c>
      <c r="C16" t="str">
        <f t="shared" si="0"/>
        <v>23098</v>
      </c>
      <c r="D16" t="s">
        <v>7</v>
      </c>
      <c r="E16" t="str">
        <f t="shared" si="1"/>
        <v>9</v>
      </c>
      <c r="F16">
        <v>3625</v>
      </c>
      <c r="G16">
        <v>2099</v>
      </c>
      <c r="H16">
        <v>143</v>
      </c>
      <c r="I16" t="str">
        <f t="shared" si="4"/>
        <v>9</v>
      </c>
      <c r="J16" t="str">
        <f t="shared" si="5"/>
        <v>go1620</v>
      </c>
      <c r="K16">
        <v>135</v>
      </c>
      <c r="L16">
        <v>223</v>
      </c>
      <c r="M16">
        <v>358</v>
      </c>
      <c r="N16">
        <v>1</v>
      </c>
      <c r="O16" t="str">
        <f>("6")</f>
        <v>6</v>
      </c>
      <c r="P16" t="str">
        <f>("Essallami Layla")</f>
        <v>Essallami Layla</v>
      </c>
      <c r="Q16">
        <v>40</v>
      </c>
      <c r="S16">
        <v>5</v>
      </c>
    </row>
    <row r="17" spans="1:19" x14ac:dyDescent="0.3">
      <c r="A17" t="s">
        <v>1</v>
      </c>
      <c r="B17" s="1">
        <v>45578</v>
      </c>
      <c r="C17" t="str">
        <f t="shared" si="0"/>
        <v>23098</v>
      </c>
      <c r="D17" t="s">
        <v>7</v>
      </c>
      <c r="E17" t="str">
        <f t="shared" si="1"/>
        <v>9</v>
      </c>
      <c r="F17">
        <v>3625</v>
      </c>
      <c r="G17">
        <v>2099</v>
      </c>
      <c r="H17">
        <v>143</v>
      </c>
      <c r="I17" t="str">
        <f t="shared" si="4"/>
        <v>9</v>
      </c>
      <c r="J17" t="str">
        <f t="shared" si="5"/>
        <v>go1620</v>
      </c>
      <c r="K17">
        <v>135</v>
      </c>
      <c r="L17">
        <v>223</v>
      </c>
      <c r="M17">
        <v>358</v>
      </c>
      <c r="N17">
        <v>1</v>
      </c>
      <c r="O17" t="str">
        <f>("7")</f>
        <v>7</v>
      </c>
      <c r="P17" t="str">
        <f>("Farias Erika")</f>
        <v>Farias Erika</v>
      </c>
      <c r="Q17">
        <v>34</v>
      </c>
      <c r="S17">
        <v>7</v>
      </c>
    </row>
    <row r="18" spans="1:19" x14ac:dyDescent="0.3">
      <c r="A18" t="s">
        <v>1</v>
      </c>
      <c r="B18" s="1">
        <v>45578</v>
      </c>
      <c r="C18" t="str">
        <f t="shared" si="0"/>
        <v>23098</v>
      </c>
      <c r="D18" t="s">
        <v>7</v>
      </c>
      <c r="E18" t="str">
        <f t="shared" si="1"/>
        <v>9</v>
      </c>
      <c r="F18">
        <v>3625</v>
      </c>
      <c r="G18">
        <v>2099</v>
      </c>
      <c r="H18">
        <v>143</v>
      </c>
      <c r="I18" t="str">
        <f t="shared" si="4"/>
        <v>9</v>
      </c>
      <c r="J18" t="str">
        <f t="shared" si="5"/>
        <v>go1620</v>
      </c>
      <c r="K18">
        <v>135</v>
      </c>
      <c r="L18">
        <v>223</v>
      </c>
      <c r="M18">
        <v>358</v>
      </c>
      <c r="N18">
        <v>1</v>
      </c>
      <c r="O18" t="str">
        <f>("8")</f>
        <v>8</v>
      </c>
      <c r="P18" t="str">
        <f>("Vanlaethem Thierry")</f>
        <v>Vanlaethem Thierry</v>
      </c>
      <c r="Q18">
        <v>47</v>
      </c>
      <c r="S18">
        <v>4</v>
      </c>
    </row>
    <row r="19" spans="1:19" x14ac:dyDescent="0.3">
      <c r="A19" t="s">
        <v>1</v>
      </c>
      <c r="B19" s="1">
        <v>45578</v>
      </c>
      <c r="C19" t="str">
        <f t="shared" si="0"/>
        <v>23098</v>
      </c>
      <c r="D19" t="s">
        <v>7</v>
      </c>
      <c r="E19" t="str">
        <f t="shared" si="1"/>
        <v>9</v>
      </c>
      <c r="F19">
        <v>3625</v>
      </c>
      <c r="G19">
        <v>2099</v>
      </c>
      <c r="H19">
        <v>143</v>
      </c>
      <c r="I19" t="str">
        <f t="shared" si="4"/>
        <v>9</v>
      </c>
      <c r="J19" t="str">
        <f t="shared" si="5"/>
        <v>go1620</v>
      </c>
      <c r="K19">
        <v>135</v>
      </c>
      <c r="L19">
        <v>223</v>
      </c>
      <c r="M19">
        <v>358</v>
      </c>
      <c r="N19">
        <v>1</v>
      </c>
      <c r="O19" t="str">
        <f>("9")</f>
        <v>9</v>
      </c>
      <c r="P19" t="str">
        <f>("Roobaert Steve")</f>
        <v>Roobaert Steve</v>
      </c>
      <c r="Q19">
        <v>85</v>
      </c>
      <c r="S19">
        <v>1</v>
      </c>
    </row>
    <row r="20" spans="1:19" x14ac:dyDescent="0.3">
      <c r="A20" t="s">
        <v>1</v>
      </c>
      <c r="B20" s="1">
        <v>45578</v>
      </c>
      <c r="C20" t="str">
        <f t="shared" si="0"/>
        <v>23098</v>
      </c>
      <c r="D20" t="s">
        <v>7</v>
      </c>
      <c r="E20" t="str">
        <f t="shared" si="1"/>
        <v>9</v>
      </c>
      <c r="F20">
        <v>3625</v>
      </c>
      <c r="G20">
        <v>2099</v>
      </c>
      <c r="H20">
        <v>143</v>
      </c>
      <c r="I20" t="str">
        <f t="shared" ref="I20:I28" si="6">("10")</f>
        <v>10</v>
      </c>
      <c r="J20" t="str">
        <f t="shared" ref="J20:J28" si="7">("UNION FRANCOPHONE")</f>
        <v>UNION FRANCOPHONE</v>
      </c>
      <c r="K20">
        <v>219</v>
      </c>
      <c r="L20">
        <v>178</v>
      </c>
      <c r="M20">
        <v>397</v>
      </c>
      <c r="N20">
        <v>2</v>
      </c>
      <c r="O20" t="str">
        <f>("1")</f>
        <v>1</v>
      </c>
      <c r="P20" t="str">
        <f>("van Gelder Elisabeth")</f>
        <v>van Gelder Elisabeth</v>
      </c>
      <c r="Q20">
        <v>79</v>
      </c>
      <c r="R20">
        <v>1</v>
      </c>
    </row>
    <row r="21" spans="1:19" x14ac:dyDescent="0.3">
      <c r="A21" t="s">
        <v>1</v>
      </c>
      <c r="B21" s="1">
        <v>45578</v>
      </c>
      <c r="C21" t="str">
        <f t="shared" si="0"/>
        <v>23098</v>
      </c>
      <c r="D21" t="s">
        <v>7</v>
      </c>
      <c r="E21" t="str">
        <f t="shared" si="1"/>
        <v>9</v>
      </c>
      <c r="F21">
        <v>3625</v>
      </c>
      <c r="G21">
        <v>2099</v>
      </c>
      <c r="H21">
        <v>143</v>
      </c>
      <c r="I21" t="str">
        <f t="shared" si="6"/>
        <v>10</v>
      </c>
      <c r="J21" t="str">
        <f t="shared" si="7"/>
        <v>UNION FRANCOPHONE</v>
      </c>
      <c r="K21">
        <v>219</v>
      </c>
      <c r="L21">
        <v>178</v>
      </c>
      <c r="M21">
        <v>397</v>
      </c>
      <c r="N21">
        <v>2</v>
      </c>
      <c r="O21" t="str">
        <f>("2")</f>
        <v>2</v>
      </c>
      <c r="P21" t="str">
        <f>("Mazy Jean-Luc")</f>
        <v>Mazy Jean-Luc</v>
      </c>
      <c r="Q21">
        <v>40</v>
      </c>
      <c r="S21">
        <v>2</v>
      </c>
    </row>
    <row r="22" spans="1:19" x14ac:dyDescent="0.3">
      <c r="A22" t="s">
        <v>1</v>
      </c>
      <c r="B22" s="1">
        <v>45578</v>
      </c>
      <c r="C22" t="str">
        <f t="shared" si="0"/>
        <v>23098</v>
      </c>
      <c r="D22" t="s">
        <v>7</v>
      </c>
      <c r="E22" t="str">
        <f t="shared" si="1"/>
        <v>9</v>
      </c>
      <c r="F22">
        <v>3625</v>
      </c>
      <c r="G22">
        <v>2099</v>
      </c>
      <c r="H22">
        <v>143</v>
      </c>
      <c r="I22" t="str">
        <f t="shared" si="6"/>
        <v>10</v>
      </c>
      <c r="J22" t="str">
        <f t="shared" si="7"/>
        <v>UNION FRANCOPHONE</v>
      </c>
      <c r="K22">
        <v>219</v>
      </c>
      <c r="L22">
        <v>178</v>
      </c>
      <c r="M22">
        <v>397</v>
      </c>
      <c r="N22">
        <v>2</v>
      </c>
      <c r="O22" t="str">
        <f>("3")</f>
        <v>3</v>
      </c>
      <c r="P22" t="str">
        <f>("Doeuvre Céline")</f>
        <v>Doeuvre Céline</v>
      </c>
      <c r="Q22">
        <v>36</v>
      </c>
      <c r="S22">
        <v>5</v>
      </c>
    </row>
    <row r="23" spans="1:19" x14ac:dyDescent="0.3">
      <c r="A23" t="s">
        <v>1</v>
      </c>
      <c r="B23" s="1">
        <v>45578</v>
      </c>
      <c r="C23" t="str">
        <f t="shared" si="0"/>
        <v>23098</v>
      </c>
      <c r="D23" t="s">
        <v>7</v>
      </c>
      <c r="E23" t="str">
        <f t="shared" si="1"/>
        <v>9</v>
      </c>
      <c r="F23">
        <v>3625</v>
      </c>
      <c r="G23">
        <v>2099</v>
      </c>
      <c r="H23">
        <v>143</v>
      </c>
      <c r="I23" t="str">
        <f t="shared" si="6"/>
        <v>10</v>
      </c>
      <c r="J23" t="str">
        <f t="shared" si="7"/>
        <v>UNION FRANCOPHONE</v>
      </c>
      <c r="K23">
        <v>219</v>
      </c>
      <c r="L23">
        <v>178</v>
      </c>
      <c r="M23">
        <v>397</v>
      </c>
      <c r="N23">
        <v>2</v>
      </c>
      <c r="O23" t="str">
        <f>("4")</f>
        <v>4</v>
      </c>
      <c r="P23" t="str">
        <f>("El Kbir Soufiane")</f>
        <v>El Kbir Soufiane</v>
      </c>
      <c r="Q23">
        <v>37</v>
      </c>
      <c r="S23">
        <v>3</v>
      </c>
    </row>
    <row r="24" spans="1:19" x14ac:dyDescent="0.3">
      <c r="A24" t="s">
        <v>1</v>
      </c>
      <c r="B24" s="1">
        <v>45578</v>
      </c>
      <c r="C24" t="str">
        <f t="shared" si="0"/>
        <v>23098</v>
      </c>
      <c r="D24" t="s">
        <v>7</v>
      </c>
      <c r="E24" t="str">
        <f t="shared" si="1"/>
        <v>9</v>
      </c>
      <c r="F24">
        <v>3625</v>
      </c>
      <c r="G24">
        <v>2099</v>
      </c>
      <c r="H24">
        <v>143</v>
      </c>
      <c r="I24" t="str">
        <f t="shared" si="6"/>
        <v>10</v>
      </c>
      <c r="J24" t="str">
        <f t="shared" si="7"/>
        <v>UNION FRANCOPHONE</v>
      </c>
      <c r="K24">
        <v>219</v>
      </c>
      <c r="L24">
        <v>178</v>
      </c>
      <c r="M24">
        <v>397</v>
      </c>
      <c r="N24">
        <v>2</v>
      </c>
      <c r="O24" t="str">
        <f>("5")</f>
        <v>5</v>
      </c>
      <c r="P24" t="str">
        <f>("Noël Melissa")</f>
        <v>Noël Melissa</v>
      </c>
      <c r="Q24">
        <v>41</v>
      </c>
      <c r="R24">
        <v>2</v>
      </c>
    </row>
    <row r="25" spans="1:19" x14ac:dyDescent="0.3">
      <c r="A25" t="s">
        <v>1</v>
      </c>
      <c r="B25" s="1">
        <v>45578</v>
      </c>
      <c r="C25" t="str">
        <f t="shared" si="0"/>
        <v>23098</v>
      </c>
      <c r="D25" t="s">
        <v>7</v>
      </c>
      <c r="E25" t="str">
        <f t="shared" si="1"/>
        <v>9</v>
      </c>
      <c r="F25">
        <v>3625</v>
      </c>
      <c r="G25">
        <v>2099</v>
      </c>
      <c r="H25">
        <v>143</v>
      </c>
      <c r="I25" t="str">
        <f t="shared" si="6"/>
        <v>10</v>
      </c>
      <c r="J25" t="str">
        <f t="shared" si="7"/>
        <v>UNION FRANCOPHONE</v>
      </c>
      <c r="K25">
        <v>219</v>
      </c>
      <c r="L25">
        <v>178</v>
      </c>
      <c r="M25">
        <v>397</v>
      </c>
      <c r="N25">
        <v>2</v>
      </c>
      <c r="O25" t="str">
        <f>("6")</f>
        <v>6</v>
      </c>
      <c r="P25" t="str">
        <f>("Burton Philippe")</f>
        <v>Burton Philippe</v>
      </c>
      <c r="Q25">
        <v>24</v>
      </c>
      <c r="S25">
        <v>7</v>
      </c>
    </row>
    <row r="26" spans="1:19" x14ac:dyDescent="0.3">
      <c r="A26" t="s">
        <v>1</v>
      </c>
      <c r="B26" s="1">
        <v>45578</v>
      </c>
      <c r="C26" t="str">
        <f t="shared" si="0"/>
        <v>23098</v>
      </c>
      <c r="D26" t="s">
        <v>7</v>
      </c>
      <c r="E26" t="str">
        <f t="shared" si="1"/>
        <v>9</v>
      </c>
      <c r="F26">
        <v>3625</v>
      </c>
      <c r="G26">
        <v>2099</v>
      </c>
      <c r="H26">
        <v>143</v>
      </c>
      <c r="I26" t="str">
        <f t="shared" si="6"/>
        <v>10</v>
      </c>
      <c r="J26" t="str">
        <f t="shared" si="7"/>
        <v>UNION FRANCOPHONE</v>
      </c>
      <c r="K26">
        <v>219</v>
      </c>
      <c r="L26">
        <v>178</v>
      </c>
      <c r="M26">
        <v>397</v>
      </c>
      <c r="N26">
        <v>2</v>
      </c>
      <c r="O26" t="str">
        <f>("7")</f>
        <v>7</v>
      </c>
      <c r="P26" t="str">
        <f>("Adriaens Richard")</f>
        <v>Adriaens Richard</v>
      </c>
      <c r="Q26">
        <v>25</v>
      </c>
      <c r="S26">
        <v>6</v>
      </c>
    </row>
    <row r="27" spans="1:19" x14ac:dyDescent="0.3">
      <c r="A27" t="s">
        <v>1</v>
      </c>
      <c r="B27" s="1">
        <v>45578</v>
      </c>
      <c r="C27" t="str">
        <f t="shared" si="0"/>
        <v>23098</v>
      </c>
      <c r="D27" t="s">
        <v>7</v>
      </c>
      <c r="E27" t="str">
        <f t="shared" si="1"/>
        <v>9</v>
      </c>
      <c r="F27">
        <v>3625</v>
      </c>
      <c r="G27">
        <v>2099</v>
      </c>
      <c r="H27">
        <v>143</v>
      </c>
      <c r="I27" t="str">
        <f t="shared" si="6"/>
        <v>10</v>
      </c>
      <c r="J27" t="str">
        <f t="shared" si="7"/>
        <v>UNION FRANCOPHONE</v>
      </c>
      <c r="K27">
        <v>219</v>
      </c>
      <c r="L27">
        <v>178</v>
      </c>
      <c r="M27">
        <v>397</v>
      </c>
      <c r="N27">
        <v>2</v>
      </c>
      <c r="O27" t="str">
        <f>("8")</f>
        <v>8</v>
      </c>
      <c r="P27" t="str">
        <f>("Delhaye Émeline")</f>
        <v>Delhaye Émeline</v>
      </c>
      <c r="Q27">
        <v>41</v>
      </c>
      <c r="S27">
        <v>1</v>
      </c>
    </row>
    <row r="28" spans="1:19" x14ac:dyDescent="0.3">
      <c r="A28" t="s">
        <v>1</v>
      </c>
      <c r="B28" s="1">
        <v>45578</v>
      </c>
      <c r="C28" t="str">
        <f t="shared" si="0"/>
        <v>23098</v>
      </c>
      <c r="D28" t="s">
        <v>7</v>
      </c>
      <c r="E28" t="str">
        <f t="shared" si="1"/>
        <v>9</v>
      </c>
      <c r="F28">
        <v>3625</v>
      </c>
      <c r="G28">
        <v>2099</v>
      </c>
      <c r="H28">
        <v>143</v>
      </c>
      <c r="I28" t="str">
        <f t="shared" si="6"/>
        <v>10</v>
      </c>
      <c r="J28" t="str">
        <f t="shared" si="7"/>
        <v>UNION FRANCOPHONE</v>
      </c>
      <c r="K28">
        <v>219</v>
      </c>
      <c r="L28">
        <v>178</v>
      </c>
      <c r="M28">
        <v>397</v>
      </c>
      <c r="N28">
        <v>2</v>
      </c>
      <c r="O28" t="str">
        <f>("9")</f>
        <v>9</v>
      </c>
      <c r="P28" t="str">
        <f>("Prins Michelle")</f>
        <v>Prins Michelle</v>
      </c>
      <c r="Q28">
        <v>37</v>
      </c>
      <c r="S28">
        <v>4</v>
      </c>
    </row>
    <row r="29" spans="1:19" x14ac:dyDescent="0.3">
      <c r="A29" t="s">
        <v>1</v>
      </c>
      <c r="B29" s="1">
        <v>45578</v>
      </c>
      <c r="C29" t="str">
        <f t="shared" si="0"/>
        <v>23098</v>
      </c>
      <c r="D29" t="s">
        <v>7</v>
      </c>
      <c r="E29" t="str">
        <f t="shared" si="1"/>
        <v>9</v>
      </c>
      <c r="F29">
        <v>3625</v>
      </c>
      <c r="G29">
        <v>2099</v>
      </c>
      <c r="H29">
        <v>143</v>
      </c>
      <c r="I29" t="str">
        <f t="shared" ref="I29:I37" si="8">("11")</f>
        <v>11</v>
      </c>
      <c r="J29" t="str">
        <f t="shared" ref="J29:J37" si="9">("ALLIANCE FRANCOPHONE")</f>
        <v>ALLIANCE FRANCOPHONE</v>
      </c>
      <c r="K29">
        <v>126</v>
      </c>
      <c r="L29">
        <v>187</v>
      </c>
      <c r="M29">
        <v>313</v>
      </c>
      <c r="N29">
        <v>1</v>
      </c>
      <c r="O29" t="str">
        <f>("1")</f>
        <v>1</v>
      </c>
      <c r="P29" t="str">
        <f>("André Valérie")</f>
        <v>André Valérie</v>
      </c>
      <c r="Q29">
        <v>54</v>
      </c>
      <c r="S29">
        <v>2</v>
      </c>
    </row>
    <row r="30" spans="1:19" x14ac:dyDescent="0.3">
      <c r="A30" t="s">
        <v>1</v>
      </c>
      <c r="B30" s="1">
        <v>45578</v>
      </c>
      <c r="C30" t="str">
        <f t="shared" si="0"/>
        <v>23098</v>
      </c>
      <c r="D30" t="s">
        <v>7</v>
      </c>
      <c r="E30" t="str">
        <f t="shared" si="1"/>
        <v>9</v>
      </c>
      <c r="F30">
        <v>3625</v>
      </c>
      <c r="G30">
        <v>2099</v>
      </c>
      <c r="H30">
        <v>143</v>
      </c>
      <c r="I30" t="str">
        <f t="shared" si="8"/>
        <v>11</v>
      </c>
      <c r="J30" t="str">
        <f t="shared" si="9"/>
        <v>ALLIANCE FRANCOPHONE</v>
      </c>
      <c r="K30">
        <v>126</v>
      </c>
      <c r="L30">
        <v>187</v>
      </c>
      <c r="M30">
        <v>313</v>
      </c>
      <c r="N30">
        <v>1</v>
      </c>
      <c r="O30" t="str">
        <f>("2")</f>
        <v>2</v>
      </c>
      <c r="P30" t="str">
        <f>("Cheter Laurent")</f>
        <v>Cheter Laurent</v>
      </c>
      <c r="Q30">
        <v>37</v>
      </c>
      <c r="S30">
        <v>4</v>
      </c>
    </row>
    <row r="31" spans="1:19" x14ac:dyDescent="0.3">
      <c r="A31" t="s">
        <v>1</v>
      </c>
      <c r="B31" s="1">
        <v>45578</v>
      </c>
      <c r="C31" t="str">
        <f t="shared" si="0"/>
        <v>23098</v>
      </c>
      <c r="D31" t="s">
        <v>7</v>
      </c>
      <c r="E31" t="str">
        <f t="shared" si="1"/>
        <v>9</v>
      </c>
      <c r="F31">
        <v>3625</v>
      </c>
      <c r="G31">
        <v>2099</v>
      </c>
      <c r="H31">
        <v>143</v>
      </c>
      <c r="I31" t="str">
        <f t="shared" si="8"/>
        <v>11</v>
      </c>
      <c r="J31" t="str">
        <f t="shared" si="9"/>
        <v>ALLIANCE FRANCOPHONE</v>
      </c>
      <c r="K31">
        <v>126</v>
      </c>
      <c r="L31">
        <v>187</v>
      </c>
      <c r="M31">
        <v>313</v>
      </c>
      <c r="N31">
        <v>1</v>
      </c>
      <c r="O31" t="str">
        <f>("3")</f>
        <v>3</v>
      </c>
      <c r="P31" t="str">
        <f>("Sambou Aminata")</f>
        <v>Sambou Aminata</v>
      </c>
      <c r="Q31">
        <v>60</v>
      </c>
      <c r="S31">
        <v>1</v>
      </c>
    </row>
    <row r="32" spans="1:19" x14ac:dyDescent="0.3">
      <c r="A32" t="s">
        <v>1</v>
      </c>
      <c r="B32" s="1">
        <v>45578</v>
      </c>
      <c r="C32" t="str">
        <f t="shared" si="0"/>
        <v>23098</v>
      </c>
      <c r="D32" t="s">
        <v>7</v>
      </c>
      <c r="E32" t="str">
        <f t="shared" si="1"/>
        <v>9</v>
      </c>
      <c r="F32">
        <v>3625</v>
      </c>
      <c r="G32">
        <v>2099</v>
      </c>
      <c r="H32">
        <v>143</v>
      </c>
      <c r="I32" t="str">
        <f t="shared" si="8"/>
        <v>11</v>
      </c>
      <c r="J32" t="str">
        <f t="shared" si="9"/>
        <v>ALLIANCE FRANCOPHONE</v>
      </c>
      <c r="K32">
        <v>126</v>
      </c>
      <c r="L32">
        <v>187</v>
      </c>
      <c r="M32">
        <v>313</v>
      </c>
      <c r="N32">
        <v>1</v>
      </c>
      <c r="O32" t="str">
        <f>("4")</f>
        <v>4</v>
      </c>
      <c r="P32" t="str">
        <f>("Lascano Washington")</f>
        <v>Lascano Washington</v>
      </c>
      <c r="Q32">
        <v>37</v>
      </c>
      <c r="S32">
        <v>5</v>
      </c>
    </row>
    <row r="33" spans="1:19" x14ac:dyDescent="0.3">
      <c r="A33" t="s">
        <v>1</v>
      </c>
      <c r="B33" s="1">
        <v>45578</v>
      </c>
      <c r="C33" t="str">
        <f t="shared" si="0"/>
        <v>23098</v>
      </c>
      <c r="D33" t="s">
        <v>7</v>
      </c>
      <c r="E33" t="str">
        <f t="shared" si="1"/>
        <v>9</v>
      </c>
      <c r="F33">
        <v>3625</v>
      </c>
      <c r="G33">
        <v>2099</v>
      </c>
      <c r="H33">
        <v>143</v>
      </c>
      <c r="I33" t="str">
        <f t="shared" si="8"/>
        <v>11</v>
      </c>
      <c r="J33" t="str">
        <f t="shared" si="9"/>
        <v>ALLIANCE FRANCOPHONE</v>
      </c>
      <c r="K33">
        <v>126</v>
      </c>
      <c r="L33">
        <v>187</v>
      </c>
      <c r="M33">
        <v>313</v>
      </c>
      <c r="N33">
        <v>1</v>
      </c>
      <c r="O33" t="str">
        <f>("5")</f>
        <v>5</v>
      </c>
      <c r="P33" t="str">
        <f>("Martens Noëlla")</f>
        <v>Martens Noëlla</v>
      </c>
      <c r="Q33">
        <v>47</v>
      </c>
      <c r="S33">
        <v>3</v>
      </c>
    </row>
    <row r="34" spans="1:19" x14ac:dyDescent="0.3">
      <c r="A34" t="s">
        <v>1</v>
      </c>
      <c r="B34" s="1">
        <v>45578</v>
      </c>
      <c r="C34" t="str">
        <f t="shared" si="0"/>
        <v>23098</v>
      </c>
      <c r="D34" t="s">
        <v>7</v>
      </c>
      <c r="E34" t="str">
        <f t="shared" ref="E34:E65" si="10">("9")</f>
        <v>9</v>
      </c>
      <c r="F34">
        <v>3625</v>
      </c>
      <c r="G34">
        <v>2099</v>
      </c>
      <c r="H34">
        <v>143</v>
      </c>
      <c r="I34" t="str">
        <f t="shared" si="8"/>
        <v>11</v>
      </c>
      <c r="J34" t="str">
        <f t="shared" si="9"/>
        <v>ALLIANCE FRANCOPHONE</v>
      </c>
      <c r="K34">
        <v>126</v>
      </c>
      <c r="L34">
        <v>187</v>
      </c>
      <c r="M34">
        <v>313</v>
      </c>
      <c r="N34">
        <v>1</v>
      </c>
      <c r="O34" t="str">
        <f>("6")</f>
        <v>6</v>
      </c>
      <c r="P34" t="str">
        <f>("Hautman Jonathan")</f>
        <v>Hautman Jonathan</v>
      </c>
      <c r="Q34">
        <v>30</v>
      </c>
      <c r="S34">
        <v>8</v>
      </c>
    </row>
    <row r="35" spans="1:19" x14ac:dyDescent="0.3">
      <c r="A35" t="s">
        <v>1</v>
      </c>
      <c r="B35" s="1">
        <v>45578</v>
      </c>
      <c r="C35" t="str">
        <f t="shared" si="0"/>
        <v>23098</v>
      </c>
      <c r="D35" t="s">
        <v>7</v>
      </c>
      <c r="E35" t="str">
        <f t="shared" si="10"/>
        <v>9</v>
      </c>
      <c r="F35">
        <v>3625</v>
      </c>
      <c r="G35">
        <v>2099</v>
      </c>
      <c r="H35">
        <v>143</v>
      </c>
      <c r="I35" t="str">
        <f t="shared" si="8"/>
        <v>11</v>
      </c>
      <c r="J35" t="str">
        <f t="shared" si="9"/>
        <v>ALLIANCE FRANCOPHONE</v>
      </c>
      <c r="K35">
        <v>126</v>
      </c>
      <c r="L35">
        <v>187</v>
      </c>
      <c r="M35">
        <v>313</v>
      </c>
      <c r="N35">
        <v>1</v>
      </c>
      <c r="O35" t="str">
        <f>("7")</f>
        <v>7</v>
      </c>
      <c r="P35" t="str">
        <f>("De Spiegeleer Linda")</f>
        <v>De Spiegeleer Linda</v>
      </c>
      <c r="Q35">
        <v>34</v>
      </c>
      <c r="S35">
        <v>6</v>
      </c>
    </row>
    <row r="36" spans="1:19" x14ac:dyDescent="0.3">
      <c r="A36" t="s">
        <v>1</v>
      </c>
      <c r="B36" s="1">
        <v>45578</v>
      </c>
      <c r="C36" t="str">
        <f t="shared" si="0"/>
        <v>23098</v>
      </c>
      <c r="D36" t="s">
        <v>7</v>
      </c>
      <c r="E36" t="str">
        <f t="shared" si="10"/>
        <v>9</v>
      </c>
      <c r="F36">
        <v>3625</v>
      </c>
      <c r="G36">
        <v>2099</v>
      </c>
      <c r="H36">
        <v>143</v>
      </c>
      <c r="I36" t="str">
        <f t="shared" si="8"/>
        <v>11</v>
      </c>
      <c r="J36" t="str">
        <f t="shared" si="9"/>
        <v>ALLIANCE FRANCOPHONE</v>
      </c>
      <c r="K36">
        <v>126</v>
      </c>
      <c r="L36">
        <v>187</v>
      </c>
      <c r="M36">
        <v>313</v>
      </c>
      <c r="N36">
        <v>1</v>
      </c>
      <c r="O36" t="str">
        <f>("8")</f>
        <v>8</v>
      </c>
      <c r="P36" t="str">
        <f>("Biebuyck Christelle")</f>
        <v>Biebuyck Christelle</v>
      </c>
      <c r="Q36">
        <v>33</v>
      </c>
      <c r="S36">
        <v>7</v>
      </c>
    </row>
    <row r="37" spans="1:19" x14ac:dyDescent="0.3">
      <c r="A37" t="s">
        <v>1</v>
      </c>
      <c r="B37" s="1">
        <v>45578</v>
      </c>
      <c r="C37" t="str">
        <f t="shared" si="0"/>
        <v>23098</v>
      </c>
      <c r="D37" t="s">
        <v>7</v>
      </c>
      <c r="E37" t="str">
        <f t="shared" si="10"/>
        <v>9</v>
      </c>
      <c r="F37">
        <v>3625</v>
      </c>
      <c r="G37">
        <v>2099</v>
      </c>
      <c r="H37">
        <v>143</v>
      </c>
      <c r="I37" t="str">
        <f t="shared" si="8"/>
        <v>11</v>
      </c>
      <c r="J37" t="str">
        <f t="shared" si="9"/>
        <v>ALLIANCE FRANCOPHONE</v>
      </c>
      <c r="K37">
        <v>126</v>
      </c>
      <c r="L37">
        <v>187</v>
      </c>
      <c r="M37">
        <v>313</v>
      </c>
      <c r="N37">
        <v>1</v>
      </c>
      <c r="O37" t="str">
        <f>("9")</f>
        <v>9</v>
      </c>
      <c r="P37" t="str">
        <f>("Meskini Nadyr")</f>
        <v>Meskini Nadyr</v>
      </c>
      <c r="Q37">
        <v>115</v>
      </c>
      <c r="R37">
        <v>1</v>
      </c>
    </row>
    <row r="38" spans="1:19" x14ac:dyDescent="0.3">
      <c r="A38" t="s">
        <v>1</v>
      </c>
      <c r="B38" s="1">
        <v>45578</v>
      </c>
      <c r="C38" t="str">
        <f t="shared" ref="C38:C65" si="11">("23099")</f>
        <v>23099</v>
      </c>
      <c r="D38" t="s">
        <v>6</v>
      </c>
      <c r="E38" t="str">
        <f t="shared" si="10"/>
        <v>9</v>
      </c>
      <c r="F38">
        <v>7893</v>
      </c>
      <c r="G38">
        <v>4823</v>
      </c>
      <c r="H38">
        <v>154</v>
      </c>
      <c r="I38" t="str">
        <f>("5")</f>
        <v>5</v>
      </c>
      <c r="J38" t="str">
        <f>("N-VA")</f>
        <v>N-VA</v>
      </c>
      <c r="K38">
        <v>41</v>
      </c>
      <c r="L38">
        <v>62</v>
      </c>
      <c r="M38">
        <v>103</v>
      </c>
      <c r="N38">
        <v>0</v>
      </c>
      <c r="O38" t="str">
        <f>("1")</f>
        <v>1</v>
      </c>
      <c r="P38" t="str">
        <f>("Hermans Luc")</f>
        <v>Hermans Luc</v>
      </c>
      <c r="Q38">
        <v>62</v>
      </c>
    </row>
    <row r="39" spans="1:19" x14ac:dyDescent="0.3">
      <c r="A39" t="s">
        <v>1</v>
      </c>
      <c r="B39" s="1">
        <v>45578</v>
      </c>
      <c r="C39" t="str">
        <f t="shared" si="11"/>
        <v>23099</v>
      </c>
      <c r="D39" t="s">
        <v>6</v>
      </c>
      <c r="E39" t="str">
        <f t="shared" si="10"/>
        <v>9</v>
      </c>
      <c r="F39">
        <v>7893</v>
      </c>
      <c r="G39">
        <v>4823</v>
      </c>
      <c r="H39">
        <v>154</v>
      </c>
      <c r="I39" t="str">
        <f t="shared" ref="I39:I47" si="12">("8")</f>
        <v>8</v>
      </c>
      <c r="J39" t="str">
        <f t="shared" ref="J39:J47" si="13">("LB KRAAINEM-UNIE")</f>
        <v>LB KRAAINEM-UNIE</v>
      </c>
      <c r="K39">
        <v>875</v>
      </c>
      <c r="L39">
        <v>1226</v>
      </c>
      <c r="M39">
        <v>2101</v>
      </c>
      <c r="N39">
        <v>5</v>
      </c>
      <c r="O39" t="str">
        <f>("1")</f>
        <v>1</v>
      </c>
      <c r="P39" t="str">
        <f>("Filippi Damien")</f>
        <v>Filippi Damien</v>
      </c>
      <c r="Q39">
        <v>629</v>
      </c>
      <c r="R39">
        <v>1</v>
      </c>
    </row>
    <row r="40" spans="1:19" x14ac:dyDescent="0.3">
      <c r="A40" t="s">
        <v>1</v>
      </c>
      <c r="B40" s="1">
        <v>45578</v>
      </c>
      <c r="C40" t="str">
        <f t="shared" si="11"/>
        <v>23099</v>
      </c>
      <c r="D40" t="s">
        <v>6</v>
      </c>
      <c r="E40" t="str">
        <f t="shared" si="10"/>
        <v>9</v>
      </c>
      <c r="F40">
        <v>7893</v>
      </c>
      <c r="G40">
        <v>4823</v>
      </c>
      <c r="H40">
        <v>154</v>
      </c>
      <c r="I40" t="str">
        <f t="shared" si="12"/>
        <v>8</v>
      </c>
      <c r="J40" t="str">
        <f t="shared" si="13"/>
        <v>LB KRAAINEM-UNIE</v>
      </c>
      <c r="K40">
        <v>875</v>
      </c>
      <c r="L40">
        <v>1226</v>
      </c>
      <c r="M40">
        <v>2101</v>
      </c>
      <c r="N40">
        <v>5</v>
      </c>
      <c r="O40" t="str">
        <f>("2")</f>
        <v>2</v>
      </c>
      <c r="P40" t="str">
        <f>("Storms Colette")</f>
        <v>Storms Colette</v>
      </c>
      <c r="Q40">
        <v>587</v>
      </c>
      <c r="R40">
        <v>2</v>
      </c>
    </row>
    <row r="41" spans="1:19" x14ac:dyDescent="0.3">
      <c r="A41" t="s">
        <v>1</v>
      </c>
      <c r="B41" s="1">
        <v>45578</v>
      </c>
      <c r="C41" t="str">
        <f t="shared" si="11"/>
        <v>23099</v>
      </c>
      <c r="D41" t="s">
        <v>6</v>
      </c>
      <c r="E41" t="str">
        <f t="shared" si="10"/>
        <v>9</v>
      </c>
      <c r="F41">
        <v>7893</v>
      </c>
      <c r="G41">
        <v>4823</v>
      </c>
      <c r="H41">
        <v>154</v>
      </c>
      <c r="I41" t="str">
        <f t="shared" si="12"/>
        <v>8</v>
      </c>
      <c r="J41" t="str">
        <f t="shared" si="13"/>
        <v>LB KRAAINEM-UNIE</v>
      </c>
      <c r="K41">
        <v>875</v>
      </c>
      <c r="L41">
        <v>1226</v>
      </c>
      <c r="M41">
        <v>2101</v>
      </c>
      <c r="N41">
        <v>5</v>
      </c>
      <c r="O41" t="str">
        <f>("3")</f>
        <v>3</v>
      </c>
      <c r="P41" t="str">
        <f>("Steenbeek Nadia")</f>
        <v>Steenbeek Nadia</v>
      </c>
      <c r="Q41">
        <v>550</v>
      </c>
      <c r="R41">
        <v>3</v>
      </c>
    </row>
    <row r="42" spans="1:19" x14ac:dyDescent="0.3">
      <c r="A42" t="s">
        <v>1</v>
      </c>
      <c r="B42" s="1">
        <v>45578</v>
      </c>
      <c r="C42" t="str">
        <f t="shared" si="11"/>
        <v>23099</v>
      </c>
      <c r="D42" t="s">
        <v>6</v>
      </c>
      <c r="E42" t="str">
        <f t="shared" si="10"/>
        <v>9</v>
      </c>
      <c r="F42">
        <v>7893</v>
      </c>
      <c r="G42">
        <v>4823</v>
      </c>
      <c r="H42">
        <v>154</v>
      </c>
      <c r="I42" t="str">
        <f t="shared" si="12"/>
        <v>8</v>
      </c>
      <c r="J42" t="str">
        <f t="shared" si="13"/>
        <v>LB KRAAINEM-UNIE</v>
      </c>
      <c r="K42">
        <v>875</v>
      </c>
      <c r="L42">
        <v>1226</v>
      </c>
      <c r="M42">
        <v>2101</v>
      </c>
      <c r="N42">
        <v>5</v>
      </c>
      <c r="O42" t="str">
        <f>("4")</f>
        <v>4</v>
      </c>
      <c r="P42" t="str">
        <f>("De Meutter Laurent")</f>
        <v>De Meutter Laurent</v>
      </c>
      <c r="Q42">
        <v>429</v>
      </c>
      <c r="S42">
        <v>1</v>
      </c>
    </row>
    <row r="43" spans="1:19" x14ac:dyDescent="0.3">
      <c r="A43" t="s">
        <v>1</v>
      </c>
      <c r="B43" s="1">
        <v>45578</v>
      </c>
      <c r="C43" t="str">
        <f t="shared" si="11"/>
        <v>23099</v>
      </c>
      <c r="D43" t="s">
        <v>6</v>
      </c>
      <c r="E43" t="str">
        <f t="shared" si="10"/>
        <v>9</v>
      </c>
      <c r="F43">
        <v>7893</v>
      </c>
      <c r="G43">
        <v>4823</v>
      </c>
      <c r="H43">
        <v>154</v>
      </c>
      <c r="I43" t="str">
        <f t="shared" si="12"/>
        <v>8</v>
      </c>
      <c r="J43" t="str">
        <f t="shared" si="13"/>
        <v>LB KRAAINEM-UNIE</v>
      </c>
      <c r="K43">
        <v>875</v>
      </c>
      <c r="L43">
        <v>1226</v>
      </c>
      <c r="M43">
        <v>2101</v>
      </c>
      <c r="N43">
        <v>5</v>
      </c>
      <c r="O43" t="str">
        <f>("5")</f>
        <v>5</v>
      </c>
      <c r="P43" t="str">
        <f>("Ebongue André")</f>
        <v>Ebongue André</v>
      </c>
      <c r="Q43">
        <v>397</v>
      </c>
      <c r="S43">
        <v>3</v>
      </c>
    </row>
    <row r="44" spans="1:19" x14ac:dyDescent="0.3">
      <c r="A44" t="s">
        <v>1</v>
      </c>
      <c r="B44" s="1">
        <v>45578</v>
      </c>
      <c r="C44" t="str">
        <f t="shared" si="11"/>
        <v>23099</v>
      </c>
      <c r="D44" t="s">
        <v>6</v>
      </c>
      <c r="E44" t="str">
        <f t="shared" si="10"/>
        <v>9</v>
      </c>
      <c r="F44">
        <v>7893</v>
      </c>
      <c r="G44">
        <v>4823</v>
      </c>
      <c r="H44">
        <v>154</v>
      </c>
      <c r="I44" t="str">
        <f t="shared" si="12"/>
        <v>8</v>
      </c>
      <c r="J44" t="str">
        <f t="shared" si="13"/>
        <v>LB KRAAINEM-UNIE</v>
      </c>
      <c r="K44">
        <v>875</v>
      </c>
      <c r="L44">
        <v>1226</v>
      </c>
      <c r="M44">
        <v>2101</v>
      </c>
      <c r="N44">
        <v>5</v>
      </c>
      <c r="O44" t="str">
        <f>("6")</f>
        <v>6</v>
      </c>
      <c r="P44" t="str">
        <f>("Neys Liliane")</f>
        <v>Neys Liliane</v>
      </c>
      <c r="Q44">
        <v>408</v>
      </c>
      <c r="S44">
        <v>2</v>
      </c>
    </row>
    <row r="45" spans="1:19" x14ac:dyDescent="0.3">
      <c r="A45" t="s">
        <v>1</v>
      </c>
      <c r="B45" s="1">
        <v>45578</v>
      </c>
      <c r="C45" t="str">
        <f t="shared" si="11"/>
        <v>23099</v>
      </c>
      <c r="D45" t="s">
        <v>6</v>
      </c>
      <c r="E45" t="str">
        <f t="shared" si="10"/>
        <v>9</v>
      </c>
      <c r="F45">
        <v>7893</v>
      </c>
      <c r="G45">
        <v>4823</v>
      </c>
      <c r="H45">
        <v>154</v>
      </c>
      <c r="I45" t="str">
        <f t="shared" si="12"/>
        <v>8</v>
      </c>
      <c r="J45" t="str">
        <f t="shared" si="13"/>
        <v>LB KRAAINEM-UNIE</v>
      </c>
      <c r="K45">
        <v>875</v>
      </c>
      <c r="L45">
        <v>1226</v>
      </c>
      <c r="M45">
        <v>2101</v>
      </c>
      <c r="N45">
        <v>5</v>
      </c>
      <c r="O45" t="str">
        <f>("7")</f>
        <v>7</v>
      </c>
      <c r="P45" t="str">
        <f>("Blockmans Philippe")</f>
        <v>Blockmans Philippe</v>
      </c>
      <c r="Q45">
        <v>368</v>
      </c>
      <c r="S45">
        <v>4</v>
      </c>
    </row>
    <row r="46" spans="1:19" x14ac:dyDescent="0.3">
      <c r="A46" t="s">
        <v>1</v>
      </c>
      <c r="B46" s="1">
        <v>45578</v>
      </c>
      <c r="C46" t="str">
        <f t="shared" si="11"/>
        <v>23099</v>
      </c>
      <c r="D46" t="s">
        <v>6</v>
      </c>
      <c r="E46" t="str">
        <f t="shared" si="10"/>
        <v>9</v>
      </c>
      <c r="F46">
        <v>7893</v>
      </c>
      <c r="G46">
        <v>4823</v>
      </c>
      <c r="H46">
        <v>154</v>
      </c>
      <c r="I46" t="str">
        <f t="shared" si="12"/>
        <v>8</v>
      </c>
      <c r="J46" t="str">
        <f t="shared" si="13"/>
        <v>LB KRAAINEM-UNIE</v>
      </c>
      <c r="K46">
        <v>875</v>
      </c>
      <c r="L46">
        <v>1226</v>
      </c>
      <c r="M46">
        <v>2101</v>
      </c>
      <c r="N46">
        <v>5</v>
      </c>
      <c r="O46" t="str">
        <f>("8")</f>
        <v>8</v>
      </c>
      <c r="P46" t="str">
        <f>("Dion-Deghoy Chantal")</f>
        <v>Dion-Deghoy Chantal</v>
      </c>
      <c r="Q46">
        <v>438</v>
      </c>
      <c r="R46">
        <v>5</v>
      </c>
    </row>
    <row r="47" spans="1:19" x14ac:dyDescent="0.3">
      <c r="A47" t="s">
        <v>1</v>
      </c>
      <c r="B47" s="1">
        <v>45578</v>
      </c>
      <c r="C47" t="str">
        <f t="shared" si="11"/>
        <v>23099</v>
      </c>
      <c r="D47" t="s">
        <v>6</v>
      </c>
      <c r="E47" t="str">
        <f t="shared" si="10"/>
        <v>9</v>
      </c>
      <c r="F47">
        <v>7893</v>
      </c>
      <c r="G47">
        <v>4823</v>
      </c>
      <c r="H47">
        <v>154</v>
      </c>
      <c r="I47" t="str">
        <f t="shared" si="12"/>
        <v>8</v>
      </c>
      <c r="J47" t="str">
        <f t="shared" si="13"/>
        <v>LB KRAAINEM-UNIE</v>
      </c>
      <c r="K47">
        <v>875</v>
      </c>
      <c r="L47">
        <v>1226</v>
      </c>
      <c r="M47">
        <v>2101</v>
      </c>
      <c r="N47">
        <v>5</v>
      </c>
      <c r="O47" t="str">
        <f>("9")</f>
        <v>9</v>
      </c>
      <c r="P47" t="str">
        <f>("Vermeulen Anja")</f>
        <v>Vermeulen Anja</v>
      </c>
      <c r="Q47">
        <v>492</v>
      </c>
      <c r="R47">
        <v>4</v>
      </c>
    </row>
    <row r="48" spans="1:19" x14ac:dyDescent="0.3">
      <c r="A48" t="s">
        <v>1</v>
      </c>
      <c r="B48" s="1">
        <v>45578</v>
      </c>
      <c r="C48" t="str">
        <f t="shared" si="11"/>
        <v>23099</v>
      </c>
      <c r="D48" t="s">
        <v>6</v>
      </c>
      <c r="E48" t="str">
        <f t="shared" si="10"/>
        <v>9</v>
      </c>
      <c r="F48">
        <v>7893</v>
      </c>
      <c r="G48">
        <v>4823</v>
      </c>
      <c r="H48">
        <v>154</v>
      </c>
      <c r="I48" t="str">
        <f t="shared" ref="I48:I56" si="14">("9")</f>
        <v>9</v>
      </c>
      <c r="J48" t="str">
        <f t="shared" ref="J48:J56" si="15">("MR-DéFI-IND")</f>
        <v>MR-DéFI-IND</v>
      </c>
      <c r="K48">
        <v>490</v>
      </c>
      <c r="L48">
        <v>1344</v>
      </c>
      <c r="M48">
        <v>1834</v>
      </c>
      <c r="N48">
        <v>4</v>
      </c>
      <c r="O48" t="str">
        <f>("1")</f>
        <v>1</v>
      </c>
      <c r="P48" t="str">
        <f>("Devleeschouwer Françoise")</f>
        <v>Devleeschouwer Françoise</v>
      </c>
      <c r="Q48">
        <v>763</v>
      </c>
      <c r="R48">
        <v>1</v>
      </c>
    </row>
    <row r="49" spans="1:19" x14ac:dyDescent="0.3">
      <c r="A49" t="s">
        <v>1</v>
      </c>
      <c r="B49" s="1">
        <v>45578</v>
      </c>
      <c r="C49" t="str">
        <f t="shared" si="11"/>
        <v>23099</v>
      </c>
      <c r="D49" t="s">
        <v>6</v>
      </c>
      <c r="E49" t="str">
        <f t="shared" si="10"/>
        <v>9</v>
      </c>
      <c r="F49">
        <v>7893</v>
      </c>
      <c r="G49">
        <v>4823</v>
      </c>
      <c r="H49">
        <v>154</v>
      </c>
      <c r="I49" t="str">
        <f t="shared" si="14"/>
        <v>9</v>
      </c>
      <c r="J49" t="str">
        <f t="shared" si="15"/>
        <v>MR-DéFI-IND</v>
      </c>
      <c r="K49">
        <v>490</v>
      </c>
      <c r="L49">
        <v>1344</v>
      </c>
      <c r="M49">
        <v>1834</v>
      </c>
      <c r="N49">
        <v>4</v>
      </c>
      <c r="O49" t="str">
        <f>("2")</f>
        <v>2</v>
      </c>
      <c r="P49" t="str">
        <f>("Vandersteen Bruno")</f>
        <v>Vandersteen Bruno</v>
      </c>
      <c r="Q49">
        <v>338</v>
      </c>
      <c r="R49">
        <v>4</v>
      </c>
    </row>
    <row r="50" spans="1:19" x14ac:dyDescent="0.3">
      <c r="A50" t="s">
        <v>1</v>
      </c>
      <c r="B50" s="1">
        <v>45578</v>
      </c>
      <c r="C50" t="str">
        <f t="shared" si="11"/>
        <v>23099</v>
      </c>
      <c r="D50" t="s">
        <v>6</v>
      </c>
      <c r="E50" t="str">
        <f t="shared" si="10"/>
        <v>9</v>
      </c>
      <c r="F50">
        <v>7893</v>
      </c>
      <c r="G50">
        <v>4823</v>
      </c>
      <c r="H50">
        <v>154</v>
      </c>
      <c r="I50" t="str">
        <f t="shared" si="14"/>
        <v>9</v>
      </c>
      <c r="J50" t="str">
        <f t="shared" si="15"/>
        <v>MR-DéFI-IND</v>
      </c>
      <c r="K50">
        <v>490</v>
      </c>
      <c r="L50">
        <v>1344</v>
      </c>
      <c r="M50">
        <v>1834</v>
      </c>
      <c r="N50">
        <v>4</v>
      </c>
      <c r="O50" t="str">
        <f>("3")</f>
        <v>3</v>
      </c>
      <c r="P50" t="str">
        <f>("Van Herck Alain")</f>
        <v>Van Herck Alain</v>
      </c>
      <c r="Q50">
        <v>445</v>
      </c>
      <c r="R50">
        <v>3</v>
      </c>
    </row>
    <row r="51" spans="1:19" x14ac:dyDescent="0.3">
      <c r="A51" t="s">
        <v>1</v>
      </c>
      <c r="B51" s="1">
        <v>45578</v>
      </c>
      <c r="C51" t="str">
        <f t="shared" si="11"/>
        <v>23099</v>
      </c>
      <c r="D51" t="s">
        <v>6</v>
      </c>
      <c r="E51" t="str">
        <f t="shared" si="10"/>
        <v>9</v>
      </c>
      <c r="F51">
        <v>7893</v>
      </c>
      <c r="G51">
        <v>4823</v>
      </c>
      <c r="H51">
        <v>154</v>
      </c>
      <c r="I51" t="str">
        <f t="shared" si="14"/>
        <v>9</v>
      </c>
      <c r="J51" t="str">
        <f t="shared" si="15"/>
        <v>MR-DéFI-IND</v>
      </c>
      <c r="K51">
        <v>490</v>
      </c>
      <c r="L51">
        <v>1344</v>
      </c>
      <c r="M51">
        <v>1834</v>
      </c>
      <c r="N51">
        <v>4</v>
      </c>
      <c r="O51" t="str">
        <f>("4")</f>
        <v>4</v>
      </c>
      <c r="P51" t="str">
        <f>("Fouarge Isabelle")</f>
        <v>Fouarge Isabelle</v>
      </c>
      <c r="Q51">
        <v>498</v>
      </c>
      <c r="R51">
        <v>2</v>
      </c>
    </row>
    <row r="52" spans="1:19" x14ac:dyDescent="0.3">
      <c r="A52" t="s">
        <v>1</v>
      </c>
      <c r="B52" s="1">
        <v>45578</v>
      </c>
      <c r="C52" t="str">
        <f t="shared" si="11"/>
        <v>23099</v>
      </c>
      <c r="D52" t="s">
        <v>6</v>
      </c>
      <c r="E52" t="str">
        <f t="shared" si="10"/>
        <v>9</v>
      </c>
      <c r="F52">
        <v>7893</v>
      </c>
      <c r="G52">
        <v>4823</v>
      </c>
      <c r="H52">
        <v>154</v>
      </c>
      <c r="I52" t="str">
        <f t="shared" si="14"/>
        <v>9</v>
      </c>
      <c r="J52" t="str">
        <f t="shared" si="15"/>
        <v>MR-DéFI-IND</v>
      </c>
      <c r="K52">
        <v>490</v>
      </c>
      <c r="L52">
        <v>1344</v>
      </c>
      <c r="M52">
        <v>1834</v>
      </c>
      <c r="N52">
        <v>4</v>
      </c>
      <c r="O52" t="str">
        <f>("5")</f>
        <v>5</v>
      </c>
      <c r="P52" t="str">
        <f>("Danis-Khoudiacoff Catherine")</f>
        <v>Danis-Khoudiacoff Catherine</v>
      </c>
      <c r="Q52">
        <v>269</v>
      </c>
      <c r="S52">
        <v>2</v>
      </c>
    </row>
    <row r="53" spans="1:19" x14ac:dyDescent="0.3">
      <c r="A53" t="s">
        <v>1</v>
      </c>
      <c r="B53" s="1">
        <v>45578</v>
      </c>
      <c r="C53" t="str">
        <f t="shared" si="11"/>
        <v>23099</v>
      </c>
      <c r="D53" t="s">
        <v>6</v>
      </c>
      <c r="E53" t="str">
        <f t="shared" si="10"/>
        <v>9</v>
      </c>
      <c r="F53">
        <v>7893</v>
      </c>
      <c r="G53">
        <v>4823</v>
      </c>
      <c r="H53">
        <v>154</v>
      </c>
      <c r="I53" t="str">
        <f t="shared" si="14"/>
        <v>9</v>
      </c>
      <c r="J53" t="str">
        <f t="shared" si="15"/>
        <v>MR-DéFI-IND</v>
      </c>
      <c r="K53">
        <v>490</v>
      </c>
      <c r="L53">
        <v>1344</v>
      </c>
      <c r="M53">
        <v>1834</v>
      </c>
      <c r="N53">
        <v>4</v>
      </c>
      <c r="O53" t="str">
        <f>("6")</f>
        <v>6</v>
      </c>
      <c r="P53" t="str">
        <f>("Massimo Ludovica")</f>
        <v>Massimo Ludovica</v>
      </c>
      <c r="Q53">
        <v>316</v>
      </c>
      <c r="S53">
        <v>1</v>
      </c>
    </row>
    <row r="54" spans="1:19" x14ac:dyDescent="0.3">
      <c r="A54" t="s">
        <v>1</v>
      </c>
      <c r="B54" s="1">
        <v>45578</v>
      </c>
      <c r="C54" t="str">
        <f t="shared" si="11"/>
        <v>23099</v>
      </c>
      <c r="D54" t="s">
        <v>6</v>
      </c>
      <c r="E54" t="str">
        <f t="shared" si="10"/>
        <v>9</v>
      </c>
      <c r="F54">
        <v>7893</v>
      </c>
      <c r="G54">
        <v>4823</v>
      </c>
      <c r="H54">
        <v>154</v>
      </c>
      <c r="I54" t="str">
        <f t="shared" si="14"/>
        <v>9</v>
      </c>
      <c r="J54" t="str">
        <f t="shared" si="15"/>
        <v>MR-DéFI-IND</v>
      </c>
      <c r="K54">
        <v>490</v>
      </c>
      <c r="L54">
        <v>1344</v>
      </c>
      <c r="M54">
        <v>1834</v>
      </c>
      <c r="N54">
        <v>4</v>
      </c>
      <c r="O54" t="str">
        <f>("7")</f>
        <v>7</v>
      </c>
      <c r="P54" t="str">
        <f>("Neirynck Olivier")</f>
        <v>Neirynck Olivier</v>
      </c>
      <c r="Q54">
        <v>265</v>
      </c>
      <c r="S54">
        <v>3</v>
      </c>
    </row>
    <row r="55" spans="1:19" x14ac:dyDescent="0.3">
      <c r="A55" t="s">
        <v>1</v>
      </c>
      <c r="B55" s="1">
        <v>45578</v>
      </c>
      <c r="C55" t="str">
        <f t="shared" si="11"/>
        <v>23099</v>
      </c>
      <c r="D55" t="s">
        <v>6</v>
      </c>
      <c r="E55" t="str">
        <f t="shared" si="10"/>
        <v>9</v>
      </c>
      <c r="F55">
        <v>7893</v>
      </c>
      <c r="G55">
        <v>4823</v>
      </c>
      <c r="H55">
        <v>154</v>
      </c>
      <c r="I55" t="str">
        <f t="shared" si="14"/>
        <v>9</v>
      </c>
      <c r="J55" t="str">
        <f t="shared" si="15"/>
        <v>MR-DéFI-IND</v>
      </c>
      <c r="K55">
        <v>490</v>
      </c>
      <c r="L55">
        <v>1344</v>
      </c>
      <c r="M55">
        <v>1834</v>
      </c>
      <c r="N55">
        <v>4</v>
      </c>
      <c r="O55" t="str">
        <f>("8")</f>
        <v>8</v>
      </c>
      <c r="P55" t="str">
        <f>("Vanmoer Laura")</f>
        <v>Vanmoer Laura</v>
      </c>
      <c r="Q55">
        <v>221</v>
      </c>
      <c r="S55">
        <v>5</v>
      </c>
    </row>
    <row r="56" spans="1:19" x14ac:dyDescent="0.3">
      <c r="A56" t="s">
        <v>1</v>
      </c>
      <c r="B56" s="1">
        <v>45578</v>
      </c>
      <c r="C56" t="str">
        <f t="shared" si="11"/>
        <v>23099</v>
      </c>
      <c r="D56" t="s">
        <v>6</v>
      </c>
      <c r="E56" t="str">
        <f t="shared" si="10"/>
        <v>9</v>
      </c>
      <c r="F56">
        <v>7893</v>
      </c>
      <c r="G56">
        <v>4823</v>
      </c>
      <c r="H56">
        <v>154</v>
      </c>
      <c r="I56" t="str">
        <f t="shared" si="14"/>
        <v>9</v>
      </c>
      <c r="J56" t="str">
        <f t="shared" si="15"/>
        <v>MR-DéFI-IND</v>
      </c>
      <c r="K56">
        <v>490</v>
      </c>
      <c r="L56">
        <v>1344</v>
      </c>
      <c r="M56">
        <v>1834</v>
      </c>
      <c r="N56">
        <v>4</v>
      </c>
      <c r="O56" t="str">
        <f>("9")</f>
        <v>9</v>
      </c>
      <c r="P56" t="str">
        <f>("Crucifix Stéphane")</f>
        <v>Crucifix Stéphane</v>
      </c>
      <c r="Q56">
        <v>264</v>
      </c>
      <c r="S56">
        <v>4</v>
      </c>
    </row>
    <row r="57" spans="1:19" x14ac:dyDescent="0.3">
      <c r="A57" t="s">
        <v>1</v>
      </c>
      <c r="B57" s="1">
        <v>45578</v>
      </c>
      <c r="C57" t="str">
        <f t="shared" si="11"/>
        <v>23099</v>
      </c>
      <c r="D57" t="s">
        <v>6</v>
      </c>
      <c r="E57" t="str">
        <f t="shared" si="10"/>
        <v>9</v>
      </c>
      <c r="F57">
        <v>7893</v>
      </c>
      <c r="G57">
        <v>4823</v>
      </c>
      <c r="H57">
        <v>154</v>
      </c>
      <c r="I57" t="str">
        <f t="shared" ref="I57:I65" si="16">("10")</f>
        <v>10</v>
      </c>
      <c r="J57" t="str">
        <f t="shared" ref="J57:J65" si="17">("PRO Kraainem")</f>
        <v>PRO Kraainem</v>
      </c>
      <c r="K57">
        <v>165</v>
      </c>
      <c r="L57">
        <v>466</v>
      </c>
      <c r="M57">
        <v>631</v>
      </c>
      <c r="N57">
        <v>0</v>
      </c>
      <c r="O57" t="str">
        <f>("1")</f>
        <v>1</v>
      </c>
      <c r="P57" t="str">
        <f>("Erregeerts Christophe")</f>
        <v>Erregeerts Christophe</v>
      </c>
      <c r="Q57">
        <v>82</v>
      </c>
    </row>
    <row r="58" spans="1:19" x14ac:dyDescent="0.3">
      <c r="A58" t="s">
        <v>1</v>
      </c>
      <c r="B58" s="1">
        <v>45578</v>
      </c>
      <c r="C58" t="str">
        <f t="shared" si="11"/>
        <v>23099</v>
      </c>
      <c r="D58" t="s">
        <v>6</v>
      </c>
      <c r="E58" t="str">
        <f t="shared" si="10"/>
        <v>9</v>
      </c>
      <c r="F58">
        <v>7893</v>
      </c>
      <c r="G58">
        <v>4823</v>
      </c>
      <c r="H58">
        <v>154</v>
      </c>
      <c r="I58" t="str">
        <f t="shared" si="16"/>
        <v>10</v>
      </c>
      <c r="J58" t="str">
        <f t="shared" si="17"/>
        <v>PRO Kraainem</v>
      </c>
      <c r="K58">
        <v>165</v>
      </c>
      <c r="L58">
        <v>466</v>
      </c>
      <c r="M58">
        <v>631</v>
      </c>
      <c r="N58">
        <v>0</v>
      </c>
      <c r="O58" t="str">
        <f>("2")</f>
        <v>2</v>
      </c>
      <c r="P58" t="str">
        <f>("Wacquez Astrid")</f>
        <v>Wacquez Astrid</v>
      </c>
      <c r="Q58">
        <v>120</v>
      </c>
    </row>
    <row r="59" spans="1:19" x14ac:dyDescent="0.3">
      <c r="A59" t="s">
        <v>1</v>
      </c>
      <c r="B59" s="1">
        <v>45578</v>
      </c>
      <c r="C59" t="str">
        <f t="shared" si="11"/>
        <v>23099</v>
      </c>
      <c r="D59" t="s">
        <v>6</v>
      </c>
      <c r="E59" t="str">
        <f t="shared" si="10"/>
        <v>9</v>
      </c>
      <c r="F59">
        <v>7893</v>
      </c>
      <c r="G59">
        <v>4823</v>
      </c>
      <c r="H59">
        <v>154</v>
      </c>
      <c r="I59" t="str">
        <f t="shared" si="16"/>
        <v>10</v>
      </c>
      <c r="J59" t="str">
        <f t="shared" si="17"/>
        <v>PRO Kraainem</v>
      </c>
      <c r="K59">
        <v>165</v>
      </c>
      <c r="L59">
        <v>466</v>
      </c>
      <c r="M59">
        <v>631</v>
      </c>
      <c r="N59">
        <v>0</v>
      </c>
      <c r="O59" t="str">
        <f>("3")</f>
        <v>3</v>
      </c>
      <c r="P59" t="str">
        <f>("Blyaert Patrick")</f>
        <v>Blyaert Patrick</v>
      </c>
      <c r="Q59">
        <v>92</v>
      </c>
    </row>
    <row r="60" spans="1:19" x14ac:dyDescent="0.3">
      <c r="A60" t="s">
        <v>1</v>
      </c>
      <c r="B60" s="1">
        <v>45578</v>
      </c>
      <c r="C60" t="str">
        <f t="shared" si="11"/>
        <v>23099</v>
      </c>
      <c r="D60" t="s">
        <v>6</v>
      </c>
      <c r="E60" t="str">
        <f t="shared" si="10"/>
        <v>9</v>
      </c>
      <c r="F60">
        <v>7893</v>
      </c>
      <c r="G60">
        <v>4823</v>
      </c>
      <c r="H60">
        <v>154</v>
      </c>
      <c r="I60" t="str">
        <f t="shared" si="16"/>
        <v>10</v>
      </c>
      <c r="J60" t="str">
        <f t="shared" si="17"/>
        <v>PRO Kraainem</v>
      </c>
      <c r="K60">
        <v>165</v>
      </c>
      <c r="L60">
        <v>466</v>
      </c>
      <c r="M60">
        <v>631</v>
      </c>
      <c r="N60">
        <v>0</v>
      </c>
      <c r="O60" t="str">
        <f>("4")</f>
        <v>4</v>
      </c>
      <c r="P60" t="str">
        <f>("Galand Philippe")</f>
        <v>Galand Philippe</v>
      </c>
      <c r="Q60">
        <v>83</v>
      </c>
    </row>
    <row r="61" spans="1:19" x14ac:dyDescent="0.3">
      <c r="A61" t="s">
        <v>1</v>
      </c>
      <c r="B61" s="1">
        <v>45578</v>
      </c>
      <c r="C61" t="str">
        <f t="shared" si="11"/>
        <v>23099</v>
      </c>
      <c r="D61" t="s">
        <v>6</v>
      </c>
      <c r="E61" t="str">
        <f t="shared" si="10"/>
        <v>9</v>
      </c>
      <c r="F61">
        <v>7893</v>
      </c>
      <c r="G61">
        <v>4823</v>
      </c>
      <c r="H61">
        <v>154</v>
      </c>
      <c r="I61" t="str">
        <f t="shared" si="16"/>
        <v>10</v>
      </c>
      <c r="J61" t="str">
        <f t="shared" si="17"/>
        <v>PRO Kraainem</v>
      </c>
      <c r="K61">
        <v>165</v>
      </c>
      <c r="L61">
        <v>466</v>
      </c>
      <c r="M61">
        <v>631</v>
      </c>
      <c r="N61">
        <v>0</v>
      </c>
      <c r="O61" t="str">
        <f>("5")</f>
        <v>5</v>
      </c>
      <c r="P61" t="str">
        <f>("Vanbeuren Catherine")</f>
        <v>Vanbeuren Catherine</v>
      </c>
      <c r="Q61">
        <v>53</v>
      </c>
    </row>
    <row r="62" spans="1:19" x14ac:dyDescent="0.3">
      <c r="A62" t="s">
        <v>1</v>
      </c>
      <c r="B62" s="1">
        <v>45578</v>
      </c>
      <c r="C62" t="str">
        <f t="shared" si="11"/>
        <v>23099</v>
      </c>
      <c r="D62" t="s">
        <v>6</v>
      </c>
      <c r="E62" t="str">
        <f t="shared" si="10"/>
        <v>9</v>
      </c>
      <c r="F62">
        <v>7893</v>
      </c>
      <c r="G62">
        <v>4823</v>
      </c>
      <c r="H62">
        <v>154</v>
      </c>
      <c r="I62" t="str">
        <f t="shared" si="16"/>
        <v>10</v>
      </c>
      <c r="J62" t="str">
        <f t="shared" si="17"/>
        <v>PRO Kraainem</v>
      </c>
      <c r="K62">
        <v>165</v>
      </c>
      <c r="L62">
        <v>466</v>
      </c>
      <c r="M62">
        <v>631</v>
      </c>
      <c r="N62">
        <v>0</v>
      </c>
      <c r="O62" t="str">
        <f>("6")</f>
        <v>6</v>
      </c>
      <c r="P62" t="str">
        <f>("Speltens Francis")</f>
        <v>Speltens Francis</v>
      </c>
      <c r="Q62">
        <v>61</v>
      </c>
    </row>
    <row r="63" spans="1:19" x14ac:dyDescent="0.3">
      <c r="A63" t="s">
        <v>1</v>
      </c>
      <c r="B63" s="1">
        <v>45578</v>
      </c>
      <c r="C63" t="str">
        <f t="shared" si="11"/>
        <v>23099</v>
      </c>
      <c r="D63" t="s">
        <v>6</v>
      </c>
      <c r="E63" t="str">
        <f t="shared" si="10"/>
        <v>9</v>
      </c>
      <c r="F63">
        <v>7893</v>
      </c>
      <c r="G63">
        <v>4823</v>
      </c>
      <c r="H63">
        <v>154</v>
      </c>
      <c r="I63" t="str">
        <f t="shared" si="16"/>
        <v>10</v>
      </c>
      <c r="J63" t="str">
        <f t="shared" si="17"/>
        <v>PRO Kraainem</v>
      </c>
      <c r="K63">
        <v>165</v>
      </c>
      <c r="L63">
        <v>466</v>
      </c>
      <c r="M63">
        <v>631</v>
      </c>
      <c r="N63">
        <v>0</v>
      </c>
      <c r="O63" t="str">
        <f>("7")</f>
        <v>7</v>
      </c>
      <c r="P63" t="str">
        <f>("Pin Carine")</f>
        <v>Pin Carine</v>
      </c>
      <c r="Q63">
        <v>113</v>
      </c>
    </row>
    <row r="64" spans="1:19" x14ac:dyDescent="0.3">
      <c r="A64" t="s">
        <v>1</v>
      </c>
      <c r="B64" s="1">
        <v>45578</v>
      </c>
      <c r="C64" t="str">
        <f t="shared" si="11"/>
        <v>23099</v>
      </c>
      <c r="D64" t="s">
        <v>6</v>
      </c>
      <c r="E64" t="str">
        <f t="shared" si="10"/>
        <v>9</v>
      </c>
      <c r="F64">
        <v>7893</v>
      </c>
      <c r="G64">
        <v>4823</v>
      </c>
      <c r="H64">
        <v>154</v>
      </c>
      <c r="I64" t="str">
        <f t="shared" si="16"/>
        <v>10</v>
      </c>
      <c r="J64" t="str">
        <f t="shared" si="17"/>
        <v>PRO Kraainem</v>
      </c>
      <c r="K64">
        <v>165</v>
      </c>
      <c r="L64">
        <v>466</v>
      </c>
      <c r="M64">
        <v>631</v>
      </c>
      <c r="N64">
        <v>0</v>
      </c>
      <c r="O64" t="str">
        <f>("8")</f>
        <v>8</v>
      </c>
      <c r="P64" t="str">
        <f>("Borremans Sabrina")</f>
        <v>Borremans Sabrina</v>
      </c>
      <c r="Q64">
        <v>57</v>
      </c>
    </row>
    <row r="65" spans="1:19" x14ac:dyDescent="0.3">
      <c r="A65" t="s">
        <v>1</v>
      </c>
      <c r="B65" s="1">
        <v>45578</v>
      </c>
      <c r="C65" t="str">
        <f t="shared" si="11"/>
        <v>23099</v>
      </c>
      <c r="D65" t="s">
        <v>6</v>
      </c>
      <c r="E65" t="str">
        <f t="shared" si="10"/>
        <v>9</v>
      </c>
      <c r="F65">
        <v>7893</v>
      </c>
      <c r="G65">
        <v>4823</v>
      </c>
      <c r="H65">
        <v>154</v>
      </c>
      <c r="I65" t="str">
        <f t="shared" si="16"/>
        <v>10</v>
      </c>
      <c r="J65" t="str">
        <f t="shared" si="17"/>
        <v>PRO Kraainem</v>
      </c>
      <c r="K65">
        <v>165</v>
      </c>
      <c r="L65">
        <v>466</v>
      </c>
      <c r="M65">
        <v>631</v>
      </c>
      <c r="N65">
        <v>0</v>
      </c>
      <c r="O65" t="str">
        <f>("9")</f>
        <v>9</v>
      </c>
      <c r="P65" t="str">
        <f>("Joris Olivier")</f>
        <v>Joris Olivier</v>
      </c>
      <c r="Q65">
        <v>193</v>
      </c>
    </row>
    <row r="66" spans="1:19" x14ac:dyDescent="0.3">
      <c r="A66" t="s">
        <v>1</v>
      </c>
      <c r="B66" s="1">
        <v>45578</v>
      </c>
      <c r="C66" t="str">
        <f t="shared" ref="C66:C83" si="18">("23100")</f>
        <v>23100</v>
      </c>
      <c r="D66" t="s">
        <v>5</v>
      </c>
      <c r="E66" t="str">
        <f t="shared" ref="E66:E83" si="19">("9")</f>
        <v>9</v>
      </c>
      <c r="F66">
        <v>3234</v>
      </c>
      <c r="G66">
        <v>2197</v>
      </c>
      <c r="H66">
        <v>99</v>
      </c>
      <c r="I66" t="str">
        <f t="shared" ref="I66:I74" si="20">("8")</f>
        <v>8</v>
      </c>
      <c r="J66" t="str">
        <f t="shared" ref="J66:J74" si="21">("LB")</f>
        <v>LB</v>
      </c>
      <c r="K66">
        <v>450</v>
      </c>
      <c r="L66">
        <v>772</v>
      </c>
      <c r="M66">
        <v>1222</v>
      </c>
      <c r="N66">
        <v>5</v>
      </c>
      <c r="O66" t="str">
        <f>("1")</f>
        <v>1</v>
      </c>
      <c r="P66" t="str">
        <f>("Thiéry Philippe")</f>
        <v>Thiéry Philippe</v>
      </c>
      <c r="Q66">
        <v>462</v>
      </c>
      <c r="R66">
        <v>1</v>
      </c>
    </row>
    <row r="67" spans="1:19" x14ac:dyDescent="0.3">
      <c r="A67" t="s">
        <v>1</v>
      </c>
      <c r="B67" s="1">
        <v>45578</v>
      </c>
      <c r="C67" t="str">
        <f t="shared" si="18"/>
        <v>23100</v>
      </c>
      <c r="D67" t="s">
        <v>5</v>
      </c>
      <c r="E67" t="str">
        <f t="shared" si="19"/>
        <v>9</v>
      </c>
      <c r="F67">
        <v>3234</v>
      </c>
      <c r="G67">
        <v>2197</v>
      </c>
      <c r="H67">
        <v>99</v>
      </c>
      <c r="I67" t="str">
        <f t="shared" si="20"/>
        <v>8</v>
      </c>
      <c r="J67" t="str">
        <f t="shared" si="21"/>
        <v>LB</v>
      </c>
      <c r="K67">
        <v>450</v>
      </c>
      <c r="L67">
        <v>772</v>
      </c>
      <c r="M67">
        <v>1222</v>
      </c>
      <c r="N67">
        <v>5</v>
      </c>
      <c r="O67" t="str">
        <f>("2")</f>
        <v>2</v>
      </c>
      <c r="P67" t="str">
        <f>("Vander Zwalmen Pascale")</f>
        <v>Vander Zwalmen Pascale</v>
      </c>
      <c r="Q67">
        <v>140</v>
      </c>
      <c r="R67">
        <v>4</v>
      </c>
    </row>
    <row r="68" spans="1:19" x14ac:dyDescent="0.3">
      <c r="A68" t="s">
        <v>1</v>
      </c>
      <c r="B68" s="1">
        <v>45578</v>
      </c>
      <c r="C68" t="str">
        <f t="shared" si="18"/>
        <v>23100</v>
      </c>
      <c r="D68" t="s">
        <v>5</v>
      </c>
      <c r="E68" t="str">
        <f t="shared" si="19"/>
        <v>9</v>
      </c>
      <c r="F68">
        <v>3234</v>
      </c>
      <c r="G68">
        <v>2197</v>
      </c>
      <c r="H68">
        <v>99</v>
      </c>
      <c r="I68" t="str">
        <f t="shared" si="20"/>
        <v>8</v>
      </c>
      <c r="J68" t="str">
        <f t="shared" si="21"/>
        <v>LB</v>
      </c>
      <c r="K68">
        <v>450</v>
      </c>
      <c r="L68">
        <v>772</v>
      </c>
      <c r="M68">
        <v>1222</v>
      </c>
      <c r="N68">
        <v>5</v>
      </c>
      <c r="O68" t="str">
        <f>("3")</f>
        <v>3</v>
      </c>
      <c r="P68" t="str">
        <f>("Somerhausen Eric")</f>
        <v>Somerhausen Eric</v>
      </c>
      <c r="Q68">
        <v>197</v>
      </c>
      <c r="R68">
        <v>3</v>
      </c>
    </row>
    <row r="69" spans="1:19" x14ac:dyDescent="0.3">
      <c r="A69" t="s">
        <v>1</v>
      </c>
      <c r="B69" s="1">
        <v>45578</v>
      </c>
      <c r="C69" t="str">
        <f t="shared" si="18"/>
        <v>23100</v>
      </c>
      <c r="D69" t="s">
        <v>5</v>
      </c>
      <c r="E69" t="str">
        <f t="shared" si="19"/>
        <v>9</v>
      </c>
      <c r="F69">
        <v>3234</v>
      </c>
      <c r="G69">
        <v>2197</v>
      </c>
      <c r="H69">
        <v>99</v>
      </c>
      <c r="I69" t="str">
        <f t="shared" si="20"/>
        <v>8</v>
      </c>
      <c r="J69" t="str">
        <f t="shared" si="21"/>
        <v>LB</v>
      </c>
      <c r="K69">
        <v>450</v>
      </c>
      <c r="L69">
        <v>772</v>
      </c>
      <c r="M69">
        <v>1222</v>
      </c>
      <c r="N69">
        <v>5</v>
      </c>
      <c r="O69" t="str">
        <f>("4")</f>
        <v>4</v>
      </c>
      <c r="P69" t="str">
        <f>("Desmarets Anne")</f>
        <v>Desmarets Anne</v>
      </c>
      <c r="Q69">
        <v>136</v>
      </c>
      <c r="S69">
        <v>1</v>
      </c>
    </row>
    <row r="70" spans="1:19" x14ac:dyDescent="0.3">
      <c r="A70" t="s">
        <v>1</v>
      </c>
      <c r="B70" s="1">
        <v>45578</v>
      </c>
      <c r="C70" t="str">
        <f t="shared" si="18"/>
        <v>23100</v>
      </c>
      <c r="D70" t="s">
        <v>5</v>
      </c>
      <c r="E70" t="str">
        <f t="shared" si="19"/>
        <v>9</v>
      </c>
      <c r="F70">
        <v>3234</v>
      </c>
      <c r="G70">
        <v>2197</v>
      </c>
      <c r="H70">
        <v>99</v>
      </c>
      <c r="I70" t="str">
        <f t="shared" si="20"/>
        <v>8</v>
      </c>
      <c r="J70" t="str">
        <f t="shared" si="21"/>
        <v>LB</v>
      </c>
      <c r="K70">
        <v>450</v>
      </c>
      <c r="L70">
        <v>772</v>
      </c>
      <c r="M70">
        <v>1222</v>
      </c>
      <c r="N70">
        <v>5</v>
      </c>
      <c r="O70" t="str">
        <f>("5")</f>
        <v>5</v>
      </c>
      <c r="P70" t="str">
        <f>("Letier Cédric")</f>
        <v>Letier Cédric</v>
      </c>
      <c r="Q70">
        <v>207</v>
      </c>
      <c r="R70">
        <v>2</v>
      </c>
    </row>
    <row r="71" spans="1:19" x14ac:dyDescent="0.3">
      <c r="A71" t="s">
        <v>1</v>
      </c>
      <c r="B71" s="1">
        <v>45578</v>
      </c>
      <c r="C71" t="str">
        <f t="shared" si="18"/>
        <v>23100</v>
      </c>
      <c r="D71" t="s">
        <v>5</v>
      </c>
      <c r="E71" t="str">
        <f t="shared" si="19"/>
        <v>9</v>
      </c>
      <c r="F71">
        <v>3234</v>
      </c>
      <c r="G71">
        <v>2197</v>
      </c>
      <c r="H71">
        <v>99</v>
      </c>
      <c r="I71" t="str">
        <f t="shared" si="20"/>
        <v>8</v>
      </c>
      <c r="J71" t="str">
        <f t="shared" si="21"/>
        <v>LB</v>
      </c>
      <c r="K71">
        <v>450</v>
      </c>
      <c r="L71">
        <v>772</v>
      </c>
      <c r="M71">
        <v>1222</v>
      </c>
      <c r="N71">
        <v>5</v>
      </c>
      <c r="O71" t="str">
        <f>("6")</f>
        <v>6</v>
      </c>
      <c r="P71" t="str">
        <f>("De Temmerman Audrey")</f>
        <v>De Temmerman Audrey</v>
      </c>
      <c r="Q71">
        <v>111</v>
      </c>
      <c r="S71">
        <v>3</v>
      </c>
    </row>
    <row r="72" spans="1:19" x14ac:dyDescent="0.3">
      <c r="A72" t="s">
        <v>1</v>
      </c>
      <c r="B72" s="1">
        <v>45578</v>
      </c>
      <c r="C72" t="str">
        <f t="shared" si="18"/>
        <v>23100</v>
      </c>
      <c r="D72" t="s">
        <v>5</v>
      </c>
      <c r="E72" t="str">
        <f t="shared" si="19"/>
        <v>9</v>
      </c>
      <c r="F72">
        <v>3234</v>
      </c>
      <c r="G72">
        <v>2197</v>
      </c>
      <c r="H72">
        <v>99</v>
      </c>
      <c r="I72" t="str">
        <f t="shared" si="20"/>
        <v>8</v>
      </c>
      <c r="J72" t="str">
        <f t="shared" si="21"/>
        <v>LB</v>
      </c>
      <c r="K72">
        <v>450</v>
      </c>
      <c r="L72">
        <v>772</v>
      </c>
      <c r="M72">
        <v>1222</v>
      </c>
      <c r="N72">
        <v>5</v>
      </c>
      <c r="O72" t="str">
        <f>("7")</f>
        <v>7</v>
      </c>
      <c r="P72" t="str">
        <f>("Nardone Pasquale")</f>
        <v>Nardone Pasquale</v>
      </c>
      <c r="Q72">
        <v>131</v>
      </c>
      <c r="S72">
        <v>2</v>
      </c>
    </row>
    <row r="73" spans="1:19" x14ac:dyDescent="0.3">
      <c r="A73" t="s">
        <v>1</v>
      </c>
      <c r="B73" s="1">
        <v>45578</v>
      </c>
      <c r="C73" t="str">
        <f t="shared" si="18"/>
        <v>23100</v>
      </c>
      <c r="D73" t="s">
        <v>5</v>
      </c>
      <c r="E73" t="str">
        <f t="shared" si="19"/>
        <v>9</v>
      </c>
      <c r="F73">
        <v>3234</v>
      </c>
      <c r="G73">
        <v>2197</v>
      </c>
      <c r="H73">
        <v>99</v>
      </c>
      <c r="I73" t="str">
        <f t="shared" si="20"/>
        <v>8</v>
      </c>
      <c r="J73" t="str">
        <f t="shared" si="21"/>
        <v>LB</v>
      </c>
      <c r="K73">
        <v>450</v>
      </c>
      <c r="L73">
        <v>772</v>
      </c>
      <c r="M73">
        <v>1222</v>
      </c>
      <c r="N73">
        <v>5</v>
      </c>
      <c r="O73" t="str">
        <f>("8")</f>
        <v>8</v>
      </c>
      <c r="P73" t="str">
        <f>("Warkin - De Becker Sophie")</f>
        <v>Warkin - De Becker Sophie</v>
      </c>
      <c r="Q73">
        <v>137</v>
      </c>
      <c r="R73">
        <v>5</v>
      </c>
    </row>
    <row r="74" spans="1:19" x14ac:dyDescent="0.3">
      <c r="A74" t="s">
        <v>1</v>
      </c>
      <c r="B74" s="1">
        <v>45578</v>
      </c>
      <c r="C74" t="str">
        <f t="shared" si="18"/>
        <v>23100</v>
      </c>
      <c r="D74" t="s">
        <v>5</v>
      </c>
      <c r="E74" t="str">
        <f t="shared" si="19"/>
        <v>9</v>
      </c>
      <c r="F74">
        <v>3234</v>
      </c>
      <c r="G74">
        <v>2197</v>
      </c>
      <c r="H74">
        <v>99</v>
      </c>
      <c r="I74" t="str">
        <f t="shared" si="20"/>
        <v>8</v>
      </c>
      <c r="J74" t="str">
        <f t="shared" si="21"/>
        <v>LB</v>
      </c>
      <c r="K74">
        <v>450</v>
      </c>
      <c r="L74">
        <v>772</v>
      </c>
      <c r="M74">
        <v>1222</v>
      </c>
      <c r="N74">
        <v>5</v>
      </c>
      <c r="O74" t="str">
        <f>("9")</f>
        <v>9</v>
      </c>
      <c r="P74" t="str">
        <f>("Ruijters Herald")</f>
        <v>Ruijters Herald</v>
      </c>
      <c r="Q74">
        <v>110</v>
      </c>
      <c r="S74">
        <v>4</v>
      </c>
    </row>
    <row r="75" spans="1:19" x14ac:dyDescent="0.3">
      <c r="A75" t="s">
        <v>1</v>
      </c>
      <c r="B75" s="1">
        <v>45578</v>
      </c>
      <c r="C75" t="str">
        <f t="shared" si="18"/>
        <v>23100</v>
      </c>
      <c r="D75" t="s">
        <v>5</v>
      </c>
      <c r="E75" t="str">
        <f t="shared" si="19"/>
        <v>9</v>
      </c>
      <c r="F75">
        <v>3234</v>
      </c>
      <c r="G75">
        <v>2197</v>
      </c>
      <c r="H75">
        <v>99</v>
      </c>
      <c r="I75" t="str">
        <f t="shared" ref="I75:I83" si="22">("9")</f>
        <v>9</v>
      </c>
      <c r="J75" t="str">
        <f t="shared" ref="J75:J83" si="23">("1630LKB")</f>
        <v>1630LKB</v>
      </c>
      <c r="K75">
        <v>308</v>
      </c>
      <c r="L75">
        <v>568</v>
      </c>
      <c r="M75">
        <v>876</v>
      </c>
      <c r="N75">
        <v>4</v>
      </c>
      <c r="O75" t="str">
        <f>("1")</f>
        <v>1</v>
      </c>
      <c r="P75" t="str">
        <f>("Murphy Houset Charlotte")</f>
        <v>Murphy Houset Charlotte</v>
      </c>
      <c r="Q75">
        <v>285</v>
      </c>
      <c r="R75">
        <v>1</v>
      </c>
    </row>
    <row r="76" spans="1:19" x14ac:dyDescent="0.3">
      <c r="A76" t="s">
        <v>1</v>
      </c>
      <c r="B76" s="1">
        <v>45578</v>
      </c>
      <c r="C76" t="str">
        <f t="shared" si="18"/>
        <v>23100</v>
      </c>
      <c r="D76" t="s">
        <v>5</v>
      </c>
      <c r="E76" t="str">
        <f t="shared" si="19"/>
        <v>9</v>
      </c>
      <c r="F76">
        <v>3234</v>
      </c>
      <c r="G76">
        <v>2197</v>
      </c>
      <c r="H76">
        <v>99</v>
      </c>
      <c r="I76" t="str">
        <f t="shared" si="22"/>
        <v>9</v>
      </c>
      <c r="J76" t="str">
        <f t="shared" si="23"/>
        <v>1630LKB</v>
      </c>
      <c r="K76">
        <v>308</v>
      </c>
      <c r="L76">
        <v>568</v>
      </c>
      <c r="M76">
        <v>876</v>
      </c>
      <c r="N76">
        <v>4</v>
      </c>
      <c r="O76" t="str">
        <f>("2")</f>
        <v>2</v>
      </c>
      <c r="P76" t="str">
        <f>("Boulert Christophe")</f>
        <v>Boulert Christophe</v>
      </c>
      <c r="Q76">
        <v>94</v>
      </c>
      <c r="R76">
        <v>4</v>
      </c>
    </row>
    <row r="77" spans="1:19" x14ac:dyDescent="0.3">
      <c r="A77" t="s">
        <v>1</v>
      </c>
      <c r="B77" s="1">
        <v>45578</v>
      </c>
      <c r="C77" t="str">
        <f t="shared" si="18"/>
        <v>23100</v>
      </c>
      <c r="D77" t="s">
        <v>5</v>
      </c>
      <c r="E77" t="str">
        <f t="shared" si="19"/>
        <v>9</v>
      </c>
      <c r="F77">
        <v>3234</v>
      </c>
      <c r="G77">
        <v>2197</v>
      </c>
      <c r="H77">
        <v>99</v>
      </c>
      <c r="I77" t="str">
        <f t="shared" si="22"/>
        <v>9</v>
      </c>
      <c r="J77" t="str">
        <f t="shared" si="23"/>
        <v>1630LKB</v>
      </c>
      <c r="K77">
        <v>308</v>
      </c>
      <c r="L77">
        <v>568</v>
      </c>
      <c r="M77">
        <v>876</v>
      </c>
      <c r="N77">
        <v>4</v>
      </c>
      <c r="O77" t="str">
        <f>("3")</f>
        <v>3</v>
      </c>
      <c r="P77" t="str">
        <f>("Michiels Linda")</f>
        <v>Michiels Linda</v>
      </c>
      <c r="Q77">
        <v>80</v>
      </c>
      <c r="S77">
        <v>2</v>
      </c>
    </row>
    <row r="78" spans="1:19" x14ac:dyDescent="0.3">
      <c r="A78" t="s">
        <v>1</v>
      </c>
      <c r="B78" s="1">
        <v>45578</v>
      </c>
      <c r="C78" t="str">
        <f t="shared" si="18"/>
        <v>23100</v>
      </c>
      <c r="D78" t="s">
        <v>5</v>
      </c>
      <c r="E78" t="str">
        <f t="shared" si="19"/>
        <v>9</v>
      </c>
      <c r="F78">
        <v>3234</v>
      </c>
      <c r="G78">
        <v>2197</v>
      </c>
      <c r="H78">
        <v>99</v>
      </c>
      <c r="I78" t="str">
        <f t="shared" si="22"/>
        <v>9</v>
      </c>
      <c r="J78" t="str">
        <f t="shared" si="23"/>
        <v>1630LKB</v>
      </c>
      <c r="K78">
        <v>308</v>
      </c>
      <c r="L78">
        <v>568</v>
      </c>
      <c r="M78">
        <v>876</v>
      </c>
      <c r="N78">
        <v>4</v>
      </c>
      <c r="O78" t="str">
        <f>("4")</f>
        <v>4</v>
      </c>
      <c r="P78" t="str">
        <f>("De Smet Nicolas")</f>
        <v>De Smet Nicolas</v>
      </c>
      <c r="Q78">
        <v>59</v>
      </c>
      <c r="S78">
        <v>5</v>
      </c>
    </row>
    <row r="79" spans="1:19" x14ac:dyDescent="0.3">
      <c r="A79" t="s">
        <v>1</v>
      </c>
      <c r="B79" s="1">
        <v>45578</v>
      </c>
      <c r="C79" t="str">
        <f t="shared" si="18"/>
        <v>23100</v>
      </c>
      <c r="D79" t="s">
        <v>5</v>
      </c>
      <c r="E79" t="str">
        <f t="shared" si="19"/>
        <v>9</v>
      </c>
      <c r="F79">
        <v>3234</v>
      </c>
      <c r="G79">
        <v>2197</v>
      </c>
      <c r="H79">
        <v>99</v>
      </c>
      <c r="I79" t="str">
        <f t="shared" si="22"/>
        <v>9</v>
      </c>
      <c r="J79" t="str">
        <f t="shared" si="23"/>
        <v>1630LKB</v>
      </c>
      <c r="K79">
        <v>308</v>
      </c>
      <c r="L79">
        <v>568</v>
      </c>
      <c r="M79">
        <v>876</v>
      </c>
      <c r="N79">
        <v>4</v>
      </c>
      <c r="O79" t="str">
        <f>("5")</f>
        <v>5</v>
      </c>
      <c r="P79" t="str">
        <f>("d'Oultremont Laure")</f>
        <v>d'Oultremont Laure</v>
      </c>
      <c r="Q79">
        <v>117</v>
      </c>
      <c r="R79">
        <v>3</v>
      </c>
    </row>
    <row r="80" spans="1:19" x14ac:dyDescent="0.3">
      <c r="A80" t="s">
        <v>1</v>
      </c>
      <c r="B80" s="1">
        <v>45578</v>
      </c>
      <c r="C80" t="str">
        <f t="shared" si="18"/>
        <v>23100</v>
      </c>
      <c r="D80" t="s">
        <v>5</v>
      </c>
      <c r="E80" t="str">
        <f t="shared" si="19"/>
        <v>9</v>
      </c>
      <c r="F80">
        <v>3234</v>
      </c>
      <c r="G80">
        <v>2197</v>
      </c>
      <c r="H80">
        <v>99</v>
      </c>
      <c r="I80" t="str">
        <f t="shared" si="22"/>
        <v>9</v>
      </c>
      <c r="J80" t="str">
        <f t="shared" si="23"/>
        <v>1630LKB</v>
      </c>
      <c r="K80">
        <v>308</v>
      </c>
      <c r="L80">
        <v>568</v>
      </c>
      <c r="M80">
        <v>876</v>
      </c>
      <c r="N80">
        <v>4</v>
      </c>
      <c r="O80" t="str">
        <f>("6")</f>
        <v>6</v>
      </c>
      <c r="P80" t="str">
        <f>("Vanhonnaeker Maciek")</f>
        <v>Vanhonnaeker Maciek</v>
      </c>
      <c r="Q80">
        <v>61</v>
      </c>
      <c r="S80">
        <v>4</v>
      </c>
    </row>
    <row r="81" spans="1:19" x14ac:dyDescent="0.3">
      <c r="A81" t="s">
        <v>1</v>
      </c>
      <c r="B81" s="1">
        <v>45578</v>
      </c>
      <c r="C81" t="str">
        <f t="shared" si="18"/>
        <v>23100</v>
      </c>
      <c r="D81" t="s">
        <v>5</v>
      </c>
      <c r="E81" t="str">
        <f t="shared" si="19"/>
        <v>9</v>
      </c>
      <c r="F81">
        <v>3234</v>
      </c>
      <c r="G81">
        <v>2197</v>
      </c>
      <c r="H81">
        <v>99</v>
      </c>
      <c r="I81" t="str">
        <f t="shared" si="22"/>
        <v>9</v>
      </c>
      <c r="J81" t="str">
        <f t="shared" si="23"/>
        <v>1630LKB</v>
      </c>
      <c r="K81">
        <v>308</v>
      </c>
      <c r="L81">
        <v>568</v>
      </c>
      <c r="M81">
        <v>876</v>
      </c>
      <c r="N81">
        <v>4</v>
      </c>
      <c r="O81" t="str">
        <f>("7")</f>
        <v>7</v>
      </c>
      <c r="P81" t="str">
        <f>("Pierret Brigitte")</f>
        <v>Pierret Brigitte</v>
      </c>
      <c r="Q81">
        <v>63</v>
      </c>
      <c r="S81">
        <v>3</v>
      </c>
    </row>
    <row r="82" spans="1:19" x14ac:dyDescent="0.3">
      <c r="A82" t="s">
        <v>1</v>
      </c>
      <c r="B82" s="1">
        <v>45578</v>
      </c>
      <c r="C82" t="str">
        <f t="shared" si="18"/>
        <v>23100</v>
      </c>
      <c r="D82" t="s">
        <v>5</v>
      </c>
      <c r="E82" t="str">
        <f t="shared" si="19"/>
        <v>9</v>
      </c>
      <c r="F82">
        <v>3234</v>
      </c>
      <c r="G82">
        <v>2197</v>
      </c>
      <c r="H82">
        <v>99</v>
      </c>
      <c r="I82" t="str">
        <f t="shared" si="22"/>
        <v>9</v>
      </c>
      <c r="J82" t="str">
        <f t="shared" si="23"/>
        <v>1630LKB</v>
      </c>
      <c r="K82">
        <v>308</v>
      </c>
      <c r="L82">
        <v>568</v>
      </c>
      <c r="M82">
        <v>876</v>
      </c>
      <c r="N82">
        <v>4</v>
      </c>
      <c r="O82" t="str">
        <f>("8")</f>
        <v>8</v>
      </c>
      <c r="P82" t="str">
        <f>("Demol Emile")</f>
        <v>Demol Emile</v>
      </c>
      <c r="Q82">
        <v>81</v>
      </c>
      <c r="S82">
        <v>1</v>
      </c>
    </row>
    <row r="83" spans="1:19" x14ac:dyDescent="0.3">
      <c r="A83" t="s">
        <v>1</v>
      </c>
      <c r="B83" s="1">
        <v>45578</v>
      </c>
      <c r="C83" t="str">
        <f t="shared" si="18"/>
        <v>23100</v>
      </c>
      <c r="D83" t="s">
        <v>5</v>
      </c>
      <c r="E83" t="str">
        <f t="shared" si="19"/>
        <v>9</v>
      </c>
      <c r="F83">
        <v>3234</v>
      </c>
      <c r="G83">
        <v>2197</v>
      </c>
      <c r="H83">
        <v>99</v>
      </c>
      <c r="I83" t="str">
        <f t="shared" si="22"/>
        <v>9</v>
      </c>
      <c r="J83" t="str">
        <f t="shared" si="23"/>
        <v>1630LKB</v>
      </c>
      <c r="K83">
        <v>308</v>
      </c>
      <c r="L83">
        <v>568</v>
      </c>
      <c r="M83">
        <v>876</v>
      </c>
      <c r="N83">
        <v>4</v>
      </c>
      <c r="O83" t="str">
        <f>("9")</f>
        <v>9</v>
      </c>
      <c r="P83" t="str">
        <f>("Thiéry Damien")</f>
        <v>Thiéry Damien</v>
      </c>
      <c r="Q83">
        <v>235</v>
      </c>
      <c r="R83">
        <v>2</v>
      </c>
    </row>
    <row r="84" spans="1:19" x14ac:dyDescent="0.3">
      <c r="A84" t="s">
        <v>1</v>
      </c>
      <c r="B84" s="1">
        <v>45578</v>
      </c>
      <c r="C84" t="str">
        <f t="shared" ref="C84:C116" si="24">("23101")</f>
        <v>23101</v>
      </c>
      <c r="D84" t="s">
        <v>4</v>
      </c>
      <c r="E84" t="str">
        <f t="shared" ref="E84:E116" si="25">("11")</f>
        <v>11</v>
      </c>
      <c r="F84">
        <v>12435</v>
      </c>
      <c r="G84">
        <v>8124</v>
      </c>
      <c r="H84">
        <v>525</v>
      </c>
      <c r="I84" t="str">
        <f t="shared" ref="I84:I94" si="26">("8")</f>
        <v>8</v>
      </c>
      <c r="J84" t="str">
        <f t="shared" ref="J84:J94" si="27">("Accent 1640")</f>
        <v>Accent 1640</v>
      </c>
      <c r="K84">
        <v>460</v>
      </c>
      <c r="L84">
        <v>1083</v>
      </c>
      <c r="M84">
        <v>1543</v>
      </c>
      <c r="N84">
        <v>2</v>
      </c>
      <c r="O84" t="str">
        <f>("1")</f>
        <v>1</v>
      </c>
      <c r="P84" t="str">
        <f>("Willems Jan")</f>
        <v>Willems Jan</v>
      </c>
      <c r="Q84">
        <v>389</v>
      </c>
      <c r="R84">
        <v>2</v>
      </c>
    </row>
    <row r="85" spans="1:19" x14ac:dyDescent="0.3">
      <c r="A85" t="s">
        <v>1</v>
      </c>
      <c r="B85" s="1">
        <v>45578</v>
      </c>
      <c r="C85" t="str">
        <f t="shared" si="24"/>
        <v>23101</v>
      </c>
      <c r="D85" t="s">
        <v>4</v>
      </c>
      <c r="E85" t="str">
        <f t="shared" si="25"/>
        <v>11</v>
      </c>
      <c r="F85">
        <v>12435</v>
      </c>
      <c r="G85">
        <v>8124</v>
      </c>
      <c r="H85">
        <v>525</v>
      </c>
      <c r="I85" t="str">
        <f t="shared" si="26"/>
        <v>8</v>
      </c>
      <c r="J85" t="str">
        <f t="shared" si="27"/>
        <v>Accent 1640</v>
      </c>
      <c r="K85">
        <v>460</v>
      </c>
      <c r="L85">
        <v>1083</v>
      </c>
      <c r="M85">
        <v>1543</v>
      </c>
      <c r="N85">
        <v>2</v>
      </c>
      <c r="O85" t="str">
        <f>("2")</f>
        <v>2</v>
      </c>
      <c r="P85" t="str">
        <f>("Stoffels Machteld")</f>
        <v>Stoffels Machteld</v>
      </c>
      <c r="Q85">
        <v>395</v>
      </c>
      <c r="R85">
        <v>1</v>
      </c>
    </row>
    <row r="86" spans="1:19" x14ac:dyDescent="0.3">
      <c r="A86" t="s">
        <v>1</v>
      </c>
      <c r="B86" s="1">
        <v>45578</v>
      </c>
      <c r="C86" t="str">
        <f t="shared" si="24"/>
        <v>23101</v>
      </c>
      <c r="D86" t="s">
        <v>4</v>
      </c>
      <c r="E86" t="str">
        <f t="shared" si="25"/>
        <v>11</v>
      </c>
      <c r="F86">
        <v>12435</v>
      </c>
      <c r="G86">
        <v>8124</v>
      </c>
      <c r="H86">
        <v>525</v>
      </c>
      <c r="I86" t="str">
        <f t="shared" si="26"/>
        <v>8</v>
      </c>
      <c r="J86" t="str">
        <f t="shared" si="27"/>
        <v>Accent 1640</v>
      </c>
      <c r="K86">
        <v>460</v>
      </c>
      <c r="L86">
        <v>1083</v>
      </c>
      <c r="M86">
        <v>1543</v>
      </c>
      <c r="N86">
        <v>2</v>
      </c>
      <c r="O86" t="str">
        <f>("3")</f>
        <v>3</v>
      </c>
      <c r="P86" t="str">
        <f>("De Bie Myriam")</f>
        <v>De Bie Myriam</v>
      </c>
      <c r="Q86">
        <v>197</v>
      </c>
      <c r="S86">
        <v>2</v>
      </c>
    </row>
    <row r="87" spans="1:19" x14ac:dyDescent="0.3">
      <c r="A87" t="s">
        <v>1</v>
      </c>
      <c r="B87" s="1">
        <v>45578</v>
      </c>
      <c r="C87" t="str">
        <f t="shared" si="24"/>
        <v>23101</v>
      </c>
      <c r="D87" t="s">
        <v>4</v>
      </c>
      <c r="E87" t="str">
        <f t="shared" si="25"/>
        <v>11</v>
      </c>
      <c r="F87">
        <v>12435</v>
      </c>
      <c r="G87">
        <v>8124</v>
      </c>
      <c r="H87">
        <v>525</v>
      </c>
      <c r="I87" t="str">
        <f t="shared" si="26"/>
        <v>8</v>
      </c>
      <c r="J87" t="str">
        <f t="shared" si="27"/>
        <v>Accent 1640</v>
      </c>
      <c r="K87">
        <v>460</v>
      </c>
      <c r="L87">
        <v>1083</v>
      </c>
      <c r="M87">
        <v>1543</v>
      </c>
      <c r="N87">
        <v>2</v>
      </c>
      <c r="O87" t="str">
        <f>("4")</f>
        <v>4</v>
      </c>
      <c r="P87" t="str">
        <f>("Renders Alain")</f>
        <v>Renders Alain</v>
      </c>
      <c r="Q87">
        <v>81</v>
      </c>
      <c r="S87">
        <v>6</v>
      </c>
    </row>
    <row r="88" spans="1:19" x14ac:dyDescent="0.3">
      <c r="A88" t="s">
        <v>1</v>
      </c>
      <c r="B88" s="1">
        <v>45578</v>
      </c>
      <c r="C88" t="str">
        <f t="shared" si="24"/>
        <v>23101</v>
      </c>
      <c r="D88" t="s">
        <v>4</v>
      </c>
      <c r="E88" t="str">
        <f t="shared" si="25"/>
        <v>11</v>
      </c>
      <c r="F88">
        <v>12435</v>
      </c>
      <c r="G88">
        <v>8124</v>
      </c>
      <c r="H88">
        <v>525</v>
      </c>
      <c r="I88" t="str">
        <f t="shared" si="26"/>
        <v>8</v>
      </c>
      <c r="J88" t="str">
        <f t="shared" si="27"/>
        <v>Accent 1640</v>
      </c>
      <c r="K88">
        <v>460</v>
      </c>
      <c r="L88">
        <v>1083</v>
      </c>
      <c r="M88">
        <v>1543</v>
      </c>
      <c r="N88">
        <v>2</v>
      </c>
      <c r="O88" t="str">
        <f>("5")</f>
        <v>5</v>
      </c>
      <c r="P88" t="str">
        <f>("Rombaut Bo")</f>
        <v>Rombaut Bo</v>
      </c>
      <c r="Q88">
        <v>184</v>
      </c>
      <c r="S88">
        <v>4</v>
      </c>
    </row>
    <row r="89" spans="1:19" x14ac:dyDescent="0.3">
      <c r="A89" t="s">
        <v>1</v>
      </c>
      <c r="B89" s="1">
        <v>45578</v>
      </c>
      <c r="C89" t="str">
        <f t="shared" si="24"/>
        <v>23101</v>
      </c>
      <c r="D89" t="s">
        <v>4</v>
      </c>
      <c r="E89" t="str">
        <f t="shared" si="25"/>
        <v>11</v>
      </c>
      <c r="F89">
        <v>12435</v>
      </c>
      <c r="G89">
        <v>8124</v>
      </c>
      <c r="H89">
        <v>525</v>
      </c>
      <c r="I89" t="str">
        <f t="shared" si="26"/>
        <v>8</v>
      </c>
      <c r="J89" t="str">
        <f t="shared" si="27"/>
        <v>Accent 1640</v>
      </c>
      <c r="K89">
        <v>460</v>
      </c>
      <c r="L89">
        <v>1083</v>
      </c>
      <c r="M89">
        <v>1543</v>
      </c>
      <c r="N89">
        <v>2</v>
      </c>
      <c r="O89" t="str">
        <f>("6")</f>
        <v>6</v>
      </c>
      <c r="P89" t="str">
        <f>("Alves Jacinta")</f>
        <v>Alves Jacinta</v>
      </c>
      <c r="Q89">
        <v>93</v>
      </c>
      <c r="S89">
        <v>5</v>
      </c>
    </row>
    <row r="90" spans="1:19" x14ac:dyDescent="0.3">
      <c r="A90" t="s">
        <v>1</v>
      </c>
      <c r="B90" s="1">
        <v>45578</v>
      </c>
      <c r="C90" t="str">
        <f t="shared" si="24"/>
        <v>23101</v>
      </c>
      <c r="D90" t="s">
        <v>4</v>
      </c>
      <c r="E90" t="str">
        <f t="shared" si="25"/>
        <v>11</v>
      </c>
      <c r="F90">
        <v>12435</v>
      </c>
      <c r="G90">
        <v>8124</v>
      </c>
      <c r="H90">
        <v>525</v>
      </c>
      <c r="I90" t="str">
        <f t="shared" si="26"/>
        <v>8</v>
      </c>
      <c r="J90" t="str">
        <f t="shared" si="27"/>
        <v>Accent 1640</v>
      </c>
      <c r="K90">
        <v>460</v>
      </c>
      <c r="L90">
        <v>1083</v>
      </c>
      <c r="M90">
        <v>1543</v>
      </c>
      <c r="N90">
        <v>2</v>
      </c>
      <c r="O90" t="str">
        <f>("7")</f>
        <v>7</v>
      </c>
      <c r="P90" t="str">
        <f>("Durré Jean-Claude")</f>
        <v>Durré Jean-Claude</v>
      </c>
      <c r="Q90">
        <v>62</v>
      </c>
      <c r="S90">
        <v>9</v>
      </c>
    </row>
    <row r="91" spans="1:19" x14ac:dyDescent="0.3">
      <c r="A91" t="s">
        <v>1</v>
      </c>
      <c r="B91" s="1">
        <v>45578</v>
      </c>
      <c r="C91" t="str">
        <f t="shared" si="24"/>
        <v>23101</v>
      </c>
      <c r="D91" t="s">
        <v>4</v>
      </c>
      <c r="E91" t="str">
        <f t="shared" si="25"/>
        <v>11</v>
      </c>
      <c r="F91">
        <v>12435</v>
      </c>
      <c r="G91">
        <v>8124</v>
      </c>
      <c r="H91">
        <v>525</v>
      </c>
      <c r="I91" t="str">
        <f t="shared" si="26"/>
        <v>8</v>
      </c>
      <c r="J91" t="str">
        <f t="shared" si="27"/>
        <v>Accent 1640</v>
      </c>
      <c r="K91">
        <v>460</v>
      </c>
      <c r="L91">
        <v>1083</v>
      </c>
      <c r="M91">
        <v>1543</v>
      </c>
      <c r="N91">
        <v>2</v>
      </c>
      <c r="O91" t="str">
        <f>("8")</f>
        <v>8</v>
      </c>
      <c r="P91" t="str">
        <f>("Delgoffe Antoine")</f>
        <v>Delgoffe Antoine</v>
      </c>
      <c r="Q91">
        <v>76</v>
      </c>
      <c r="S91">
        <v>7</v>
      </c>
    </row>
    <row r="92" spans="1:19" x14ac:dyDescent="0.3">
      <c r="A92" t="s">
        <v>1</v>
      </c>
      <c r="B92" s="1">
        <v>45578</v>
      </c>
      <c r="C92" t="str">
        <f t="shared" si="24"/>
        <v>23101</v>
      </c>
      <c r="D92" t="s">
        <v>4</v>
      </c>
      <c r="E92" t="str">
        <f t="shared" si="25"/>
        <v>11</v>
      </c>
      <c r="F92">
        <v>12435</v>
      </c>
      <c r="G92">
        <v>8124</v>
      </c>
      <c r="H92">
        <v>525</v>
      </c>
      <c r="I92" t="str">
        <f t="shared" si="26"/>
        <v>8</v>
      </c>
      <c r="J92" t="str">
        <f t="shared" si="27"/>
        <v>Accent 1640</v>
      </c>
      <c r="K92">
        <v>460</v>
      </c>
      <c r="L92">
        <v>1083</v>
      </c>
      <c r="M92">
        <v>1543</v>
      </c>
      <c r="N92">
        <v>2</v>
      </c>
      <c r="O92" t="str">
        <f>("9")</f>
        <v>9</v>
      </c>
      <c r="P92" t="str">
        <f>("Lietaer Kevin")</f>
        <v>Lietaer Kevin</v>
      </c>
      <c r="Q92">
        <v>73</v>
      </c>
      <c r="S92">
        <v>8</v>
      </c>
    </row>
    <row r="93" spans="1:19" x14ac:dyDescent="0.3">
      <c r="A93" t="s">
        <v>1</v>
      </c>
      <c r="B93" s="1">
        <v>45578</v>
      </c>
      <c r="C93" t="str">
        <f t="shared" si="24"/>
        <v>23101</v>
      </c>
      <c r="D93" t="s">
        <v>4</v>
      </c>
      <c r="E93" t="str">
        <f t="shared" si="25"/>
        <v>11</v>
      </c>
      <c r="F93">
        <v>12435</v>
      </c>
      <c r="G93">
        <v>8124</v>
      </c>
      <c r="H93">
        <v>525</v>
      </c>
      <c r="I93" t="str">
        <f t="shared" si="26"/>
        <v>8</v>
      </c>
      <c r="J93" t="str">
        <f t="shared" si="27"/>
        <v>Accent 1640</v>
      </c>
      <c r="K93">
        <v>460</v>
      </c>
      <c r="L93">
        <v>1083</v>
      </c>
      <c r="M93">
        <v>1543</v>
      </c>
      <c r="N93">
        <v>2</v>
      </c>
      <c r="O93" t="str">
        <f>("10")</f>
        <v>10</v>
      </c>
      <c r="P93" t="str">
        <f>("De Bruyne Line")</f>
        <v>De Bruyne Line</v>
      </c>
      <c r="Q93">
        <v>186</v>
      </c>
      <c r="S93">
        <v>3</v>
      </c>
    </row>
    <row r="94" spans="1:19" x14ac:dyDescent="0.3">
      <c r="A94" t="s">
        <v>1</v>
      </c>
      <c r="B94" s="1">
        <v>45578</v>
      </c>
      <c r="C94" t="str">
        <f t="shared" si="24"/>
        <v>23101</v>
      </c>
      <c r="D94" t="s">
        <v>4</v>
      </c>
      <c r="E94" t="str">
        <f t="shared" si="25"/>
        <v>11</v>
      </c>
      <c r="F94">
        <v>12435</v>
      </c>
      <c r="G94">
        <v>8124</v>
      </c>
      <c r="H94">
        <v>525</v>
      </c>
      <c r="I94" t="str">
        <f t="shared" si="26"/>
        <v>8</v>
      </c>
      <c r="J94" t="str">
        <f t="shared" si="27"/>
        <v>Accent 1640</v>
      </c>
      <c r="K94">
        <v>460</v>
      </c>
      <c r="L94">
        <v>1083</v>
      </c>
      <c r="M94">
        <v>1543</v>
      </c>
      <c r="N94">
        <v>2</v>
      </c>
      <c r="O94" t="str">
        <f>("11")</f>
        <v>11</v>
      </c>
      <c r="P94" t="str">
        <f>("Chabert Erik")</f>
        <v>Chabert Erik</v>
      </c>
      <c r="Q94">
        <v>316</v>
      </c>
      <c r="S94">
        <v>1</v>
      </c>
    </row>
    <row r="95" spans="1:19" x14ac:dyDescent="0.3">
      <c r="A95" t="s">
        <v>1</v>
      </c>
      <c r="B95" s="1">
        <v>45578</v>
      </c>
      <c r="C95" t="str">
        <f t="shared" si="24"/>
        <v>23101</v>
      </c>
      <c r="D95" t="s">
        <v>4</v>
      </c>
      <c r="E95" t="str">
        <f t="shared" si="25"/>
        <v>11</v>
      </c>
      <c r="F95">
        <v>12435</v>
      </c>
      <c r="G95">
        <v>8124</v>
      </c>
      <c r="H95">
        <v>525</v>
      </c>
      <c r="I95" t="str">
        <f t="shared" ref="I95:I105" si="28">("9")</f>
        <v>9</v>
      </c>
      <c r="J95" t="str">
        <f t="shared" ref="J95:J105" si="29">("L.Bourgmestre/Burgem")</f>
        <v>L.Bourgmestre/Burgem</v>
      </c>
      <c r="K95">
        <v>2002</v>
      </c>
      <c r="L95">
        <v>3252</v>
      </c>
      <c r="M95">
        <v>5254</v>
      </c>
      <c r="N95">
        <v>9</v>
      </c>
      <c r="O95" t="str">
        <f>("1")</f>
        <v>1</v>
      </c>
      <c r="P95" t="str">
        <f>("Troussel-Moulaert Anne")</f>
        <v>Troussel-Moulaert Anne</v>
      </c>
      <c r="Q95">
        <v>1338</v>
      </c>
      <c r="R95">
        <v>1</v>
      </c>
    </row>
    <row r="96" spans="1:19" x14ac:dyDescent="0.3">
      <c r="A96" t="s">
        <v>1</v>
      </c>
      <c r="B96" s="1">
        <v>45578</v>
      </c>
      <c r="C96" t="str">
        <f t="shared" si="24"/>
        <v>23101</v>
      </c>
      <c r="D96" t="s">
        <v>4</v>
      </c>
      <c r="E96" t="str">
        <f t="shared" si="25"/>
        <v>11</v>
      </c>
      <c r="F96">
        <v>12435</v>
      </c>
      <c r="G96">
        <v>8124</v>
      </c>
      <c r="H96">
        <v>525</v>
      </c>
      <c r="I96" t="str">
        <f t="shared" si="28"/>
        <v>9</v>
      </c>
      <c r="J96" t="str">
        <f t="shared" si="29"/>
        <v>L.Bourgmestre/Burgem</v>
      </c>
      <c r="K96">
        <v>2002</v>
      </c>
      <c r="L96">
        <v>3252</v>
      </c>
      <c r="M96">
        <v>5254</v>
      </c>
      <c r="N96">
        <v>9</v>
      </c>
      <c r="O96" t="str">
        <f>("2")</f>
        <v>2</v>
      </c>
      <c r="P96" t="str">
        <f>("Du Champs Guy")</f>
        <v>Du Champs Guy</v>
      </c>
      <c r="Q96">
        <v>510</v>
      </c>
      <c r="R96">
        <v>5</v>
      </c>
    </row>
    <row r="97" spans="1:19" x14ac:dyDescent="0.3">
      <c r="A97" t="s">
        <v>1</v>
      </c>
      <c r="B97" s="1">
        <v>45578</v>
      </c>
      <c r="C97" t="str">
        <f t="shared" si="24"/>
        <v>23101</v>
      </c>
      <c r="D97" t="s">
        <v>4</v>
      </c>
      <c r="E97" t="str">
        <f t="shared" si="25"/>
        <v>11</v>
      </c>
      <c r="F97">
        <v>12435</v>
      </c>
      <c r="G97">
        <v>8124</v>
      </c>
      <c r="H97">
        <v>525</v>
      </c>
      <c r="I97" t="str">
        <f t="shared" si="28"/>
        <v>9</v>
      </c>
      <c r="J97" t="str">
        <f t="shared" si="29"/>
        <v>L.Bourgmestre/Burgem</v>
      </c>
      <c r="K97">
        <v>2002</v>
      </c>
      <c r="L97">
        <v>3252</v>
      </c>
      <c r="M97">
        <v>5254</v>
      </c>
      <c r="N97">
        <v>9</v>
      </c>
      <c r="O97" t="str">
        <f>("3")</f>
        <v>3</v>
      </c>
      <c r="P97" t="str">
        <f>("Wautie Alice")</f>
        <v>Wautie Alice</v>
      </c>
      <c r="Q97">
        <v>325</v>
      </c>
      <c r="R97">
        <v>7</v>
      </c>
    </row>
    <row r="98" spans="1:19" x14ac:dyDescent="0.3">
      <c r="A98" t="s">
        <v>1</v>
      </c>
      <c r="B98" s="1">
        <v>45578</v>
      </c>
      <c r="C98" t="str">
        <f t="shared" si="24"/>
        <v>23101</v>
      </c>
      <c r="D98" t="s">
        <v>4</v>
      </c>
      <c r="E98" t="str">
        <f t="shared" si="25"/>
        <v>11</v>
      </c>
      <c r="F98">
        <v>12435</v>
      </c>
      <c r="G98">
        <v>8124</v>
      </c>
      <c r="H98">
        <v>525</v>
      </c>
      <c r="I98" t="str">
        <f t="shared" si="28"/>
        <v>9</v>
      </c>
      <c r="J98" t="str">
        <f t="shared" si="29"/>
        <v>L.Bourgmestre/Burgem</v>
      </c>
      <c r="K98">
        <v>2002</v>
      </c>
      <c r="L98">
        <v>3252</v>
      </c>
      <c r="M98">
        <v>5254</v>
      </c>
      <c r="N98">
        <v>9</v>
      </c>
      <c r="O98" t="str">
        <f>("4")</f>
        <v>4</v>
      </c>
      <c r="P98" t="str">
        <f>("Boudiba Khadija")</f>
        <v>Boudiba Khadija</v>
      </c>
      <c r="Q98">
        <v>536</v>
      </c>
      <c r="R98">
        <v>4</v>
      </c>
    </row>
    <row r="99" spans="1:19" x14ac:dyDescent="0.3">
      <c r="A99" t="s">
        <v>1</v>
      </c>
      <c r="B99" s="1">
        <v>45578</v>
      </c>
      <c r="C99" t="str">
        <f t="shared" si="24"/>
        <v>23101</v>
      </c>
      <c r="D99" t="s">
        <v>4</v>
      </c>
      <c r="E99" t="str">
        <f t="shared" si="25"/>
        <v>11</v>
      </c>
      <c r="F99">
        <v>12435</v>
      </c>
      <c r="G99">
        <v>8124</v>
      </c>
      <c r="H99">
        <v>525</v>
      </c>
      <c r="I99" t="str">
        <f t="shared" si="28"/>
        <v>9</v>
      </c>
      <c r="J99" t="str">
        <f t="shared" si="29"/>
        <v>L.Bourgmestre/Burgem</v>
      </c>
      <c r="K99">
        <v>2002</v>
      </c>
      <c r="L99">
        <v>3252</v>
      </c>
      <c r="M99">
        <v>5254</v>
      </c>
      <c r="N99">
        <v>9</v>
      </c>
      <c r="O99" t="str">
        <f>("5")</f>
        <v>5</v>
      </c>
      <c r="P99" t="str">
        <f>("Geerinckx Raphaël")</f>
        <v>Geerinckx Raphaël</v>
      </c>
      <c r="Q99">
        <v>240</v>
      </c>
      <c r="R99">
        <v>9</v>
      </c>
    </row>
    <row r="100" spans="1:19" x14ac:dyDescent="0.3">
      <c r="A100" t="s">
        <v>1</v>
      </c>
      <c r="B100" s="1">
        <v>45578</v>
      </c>
      <c r="C100" t="str">
        <f t="shared" si="24"/>
        <v>23101</v>
      </c>
      <c r="D100" t="s">
        <v>4</v>
      </c>
      <c r="E100" t="str">
        <f t="shared" si="25"/>
        <v>11</v>
      </c>
      <c r="F100">
        <v>12435</v>
      </c>
      <c r="G100">
        <v>8124</v>
      </c>
      <c r="H100">
        <v>525</v>
      </c>
      <c r="I100" t="str">
        <f t="shared" si="28"/>
        <v>9</v>
      </c>
      <c r="J100" t="str">
        <f t="shared" si="29"/>
        <v>L.Bourgmestre/Burgem</v>
      </c>
      <c r="K100">
        <v>2002</v>
      </c>
      <c r="L100">
        <v>3252</v>
      </c>
      <c r="M100">
        <v>5254</v>
      </c>
      <c r="N100">
        <v>9</v>
      </c>
      <c r="O100" t="str">
        <f>("6")</f>
        <v>6</v>
      </c>
      <c r="P100" t="str">
        <f>("Bononge-Mikangamani Jeanne")</f>
        <v>Bononge-Mikangamani Jeanne</v>
      </c>
      <c r="Q100">
        <v>238</v>
      </c>
      <c r="S100">
        <v>1</v>
      </c>
    </row>
    <row r="101" spans="1:19" x14ac:dyDescent="0.3">
      <c r="A101" t="s">
        <v>1</v>
      </c>
      <c r="B101" s="1">
        <v>45578</v>
      </c>
      <c r="C101" t="str">
        <f t="shared" si="24"/>
        <v>23101</v>
      </c>
      <c r="D101" t="s">
        <v>4</v>
      </c>
      <c r="E101" t="str">
        <f t="shared" si="25"/>
        <v>11</v>
      </c>
      <c r="F101">
        <v>12435</v>
      </c>
      <c r="G101">
        <v>8124</v>
      </c>
      <c r="H101">
        <v>525</v>
      </c>
      <c r="I101" t="str">
        <f t="shared" si="28"/>
        <v>9</v>
      </c>
      <c r="J101" t="str">
        <f t="shared" si="29"/>
        <v>L.Bourgmestre/Burgem</v>
      </c>
      <c r="K101">
        <v>2002</v>
      </c>
      <c r="L101">
        <v>3252</v>
      </c>
      <c r="M101">
        <v>5254</v>
      </c>
      <c r="N101">
        <v>9</v>
      </c>
      <c r="O101" t="str">
        <f>("7")</f>
        <v>7</v>
      </c>
      <c r="P101" t="str">
        <f>("De Vos Olivier")</f>
        <v>De Vos Olivier</v>
      </c>
      <c r="Q101">
        <v>661</v>
      </c>
      <c r="R101">
        <v>3</v>
      </c>
    </row>
    <row r="102" spans="1:19" x14ac:dyDescent="0.3">
      <c r="A102" t="s">
        <v>1</v>
      </c>
      <c r="B102" s="1">
        <v>45578</v>
      </c>
      <c r="C102" t="str">
        <f t="shared" si="24"/>
        <v>23101</v>
      </c>
      <c r="D102" t="s">
        <v>4</v>
      </c>
      <c r="E102" t="str">
        <f t="shared" si="25"/>
        <v>11</v>
      </c>
      <c r="F102">
        <v>12435</v>
      </c>
      <c r="G102">
        <v>8124</v>
      </c>
      <c r="H102">
        <v>525</v>
      </c>
      <c r="I102" t="str">
        <f t="shared" si="28"/>
        <v>9</v>
      </c>
      <c r="J102" t="str">
        <f t="shared" si="29"/>
        <v>L.Bourgmestre/Burgem</v>
      </c>
      <c r="K102">
        <v>2002</v>
      </c>
      <c r="L102">
        <v>3252</v>
      </c>
      <c r="M102">
        <v>5254</v>
      </c>
      <c r="N102">
        <v>9</v>
      </c>
      <c r="O102" t="str">
        <f>("8")</f>
        <v>8</v>
      </c>
      <c r="P102" t="str">
        <f>("Vandemeersche Laurence")</f>
        <v>Vandemeersche Laurence</v>
      </c>
      <c r="Q102">
        <v>316</v>
      </c>
      <c r="R102">
        <v>8</v>
      </c>
    </row>
    <row r="103" spans="1:19" x14ac:dyDescent="0.3">
      <c r="A103" t="s">
        <v>1</v>
      </c>
      <c r="B103" s="1">
        <v>45578</v>
      </c>
      <c r="C103" t="str">
        <f t="shared" si="24"/>
        <v>23101</v>
      </c>
      <c r="D103" t="s">
        <v>4</v>
      </c>
      <c r="E103" t="str">
        <f t="shared" si="25"/>
        <v>11</v>
      </c>
      <c r="F103">
        <v>12435</v>
      </c>
      <c r="G103">
        <v>8124</v>
      </c>
      <c r="H103">
        <v>525</v>
      </c>
      <c r="I103" t="str">
        <f t="shared" si="28"/>
        <v>9</v>
      </c>
      <c r="J103" t="str">
        <f t="shared" si="29"/>
        <v>L.Bourgmestre/Burgem</v>
      </c>
      <c r="K103">
        <v>2002</v>
      </c>
      <c r="L103">
        <v>3252</v>
      </c>
      <c r="M103">
        <v>5254</v>
      </c>
      <c r="N103">
        <v>9</v>
      </c>
      <c r="O103" t="str">
        <f>("9")</f>
        <v>9</v>
      </c>
      <c r="P103" t="str">
        <f>("Smaers Natacha")</f>
        <v>Smaers Natacha</v>
      </c>
      <c r="Q103">
        <v>199</v>
      </c>
      <c r="S103">
        <v>2</v>
      </c>
    </row>
    <row r="104" spans="1:19" x14ac:dyDescent="0.3">
      <c r="A104" t="s">
        <v>1</v>
      </c>
      <c r="B104" s="1">
        <v>45578</v>
      </c>
      <c r="C104" t="str">
        <f t="shared" si="24"/>
        <v>23101</v>
      </c>
      <c r="D104" t="s">
        <v>4</v>
      </c>
      <c r="E104" t="str">
        <f t="shared" si="25"/>
        <v>11</v>
      </c>
      <c r="F104">
        <v>12435</v>
      </c>
      <c r="G104">
        <v>8124</v>
      </c>
      <c r="H104">
        <v>525</v>
      </c>
      <c r="I104" t="str">
        <f t="shared" si="28"/>
        <v>9</v>
      </c>
      <c r="J104" t="str">
        <f t="shared" si="29"/>
        <v>L.Bourgmestre/Burgem</v>
      </c>
      <c r="K104">
        <v>2002</v>
      </c>
      <c r="L104">
        <v>3252</v>
      </c>
      <c r="M104">
        <v>5254</v>
      </c>
      <c r="N104">
        <v>9</v>
      </c>
      <c r="O104" t="str">
        <f>("10")</f>
        <v>10</v>
      </c>
      <c r="P104" t="str">
        <f>("Vander Cammen Geoffroy")</f>
        <v>Vander Cammen Geoffroy</v>
      </c>
      <c r="Q104">
        <v>343</v>
      </c>
      <c r="R104">
        <v>6</v>
      </c>
    </row>
    <row r="105" spans="1:19" x14ac:dyDescent="0.3">
      <c r="A105" t="s">
        <v>1</v>
      </c>
      <c r="B105" s="1">
        <v>45578</v>
      </c>
      <c r="C105" t="str">
        <f t="shared" si="24"/>
        <v>23101</v>
      </c>
      <c r="D105" t="s">
        <v>4</v>
      </c>
      <c r="E105" t="str">
        <f t="shared" si="25"/>
        <v>11</v>
      </c>
      <c r="F105">
        <v>12435</v>
      </c>
      <c r="G105">
        <v>8124</v>
      </c>
      <c r="H105">
        <v>525</v>
      </c>
      <c r="I105" t="str">
        <f t="shared" si="28"/>
        <v>9</v>
      </c>
      <c r="J105" t="str">
        <f t="shared" si="29"/>
        <v>L.Bourgmestre/Burgem</v>
      </c>
      <c r="K105">
        <v>2002</v>
      </c>
      <c r="L105">
        <v>3252</v>
      </c>
      <c r="M105">
        <v>5254</v>
      </c>
      <c r="N105">
        <v>9</v>
      </c>
      <c r="O105" t="str">
        <f>("11")</f>
        <v>11</v>
      </c>
      <c r="P105" t="str">
        <f>("Vandenplas Guillaume")</f>
        <v>Vandenplas Guillaume</v>
      </c>
      <c r="Q105">
        <v>775</v>
      </c>
      <c r="R105">
        <v>2</v>
      </c>
    </row>
    <row r="106" spans="1:19" x14ac:dyDescent="0.3">
      <c r="A106" t="s">
        <v>1</v>
      </c>
      <c r="B106" s="1">
        <v>45578</v>
      </c>
      <c r="C106" t="str">
        <f t="shared" si="24"/>
        <v>23101</v>
      </c>
      <c r="D106" t="s">
        <v>4</v>
      </c>
      <c r="E106" t="str">
        <f t="shared" si="25"/>
        <v>11</v>
      </c>
      <c r="F106">
        <v>12435</v>
      </c>
      <c r="G106">
        <v>8124</v>
      </c>
      <c r="H106">
        <v>525</v>
      </c>
      <c r="I106" t="str">
        <f t="shared" ref="I106:I116" si="30">("10")</f>
        <v>10</v>
      </c>
      <c r="J106" t="str">
        <f t="shared" ref="J106:J116" si="31">("VOOR RODE")</f>
        <v>VOOR RODE</v>
      </c>
      <c r="K106">
        <v>242</v>
      </c>
      <c r="L106">
        <v>560</v>
      </c>
      <c r="M106">
        <v>802</v>
      </c>
      <c r="N106">
        <v>0</v>
      </c>
      <c r="O106" t="str">
        <f>("1")</f>
        <v>1</v>
      </c>
      <c r="P106" t="str">
        <f>("Stoffels Bruno")</f>
        <v>Stoffels Bruno</v>
      </c>
      <c r="Q106">
        <v>321</v>
      </c>
    </row>
    <row r="107" spans="1:19" x14ac:dyDescent="0.3">
      <c r="A107" t="s">
        <v>1</v>
      </c>
      <c r="B107" s="1">
        <v>45578</v>
      </c>
      <c r="C107" t="str">
        <f t="shared" si="24"/>
        <v>23101</v>
      </c>
      <c r="D107" t="s">
        <v>4</v>
      </c>
      <c r="E107" t="str">
        <f t="shared" si="25"/>
        <v>11</v>
      </c>
      <c r="F107">
        <v>12435</v>
      </c>
      <c r="G107">
        <v>8124</v>
      </c>
      <c r="H107">
        <v>525</v>
      </c>
      <c r="I107" t="str">
        <f t="shared" si="30"/>
        <v>10</v>
      </c>
      <c r="J107" t="str">
        <f t="shared" si="31"/>
        <v>VOOR RODE</v>
      </c>
      <c r="K107">
        <v>242</v>
      </c>
      <c r="L107">
        <v>560</v>
      </c>
      <c r="M107">
        <v>802</v>
      </c>
      <c r="N107">
        <v>0</v>
      </c>
      <c r="O107" t="str">
        <f>("2")</f>
        <v>2</v>
      </c>
      <c r="P107" t="str">
        <f>("Coenaerts Veerle")</f>
        <v>Coenaerts Veerle</v>
      </c>
      <c r="Q107">
        <v>148</v>
      </c>
    </row>
    <row r="108" spans="1:19" x14ac:dyDescent="0.3">
      <c r="A108" t="s">
        <v>1</v>
      </c>
      <c r="B108" s="1">
        <v>45578</v>
      </c>
      <c r="C108" t="str">
        <f t="shared" si="24"/>
        <v>23101</v>
      </c>
      <c r="D108" t="s">
        <v>4</v>
      </c>
      <c r="E108" t="str">
        <f t="shared" si="25"/>
        <v>11</v>
      </c>
      <c r="F108">
        <v>12435</v>
      </c>
      <c r="G108">
        <v>8124</v>
      </c>
      <c r="H108">
        <v>525</v>
      </c>
      <c r="I108" t="str">
        <f t="shared" si="30"/>
        <v>10</v>
      </c>
      <c r="J108" t="str">
        <f t="shared" si="31"/>
        <v>VOOR RODE</v>
      </c>
      <c r="K108">
        <v>242</v>
      </c>
      <c r="L108">
        <v>560</v>
      </c>
      <c r="M108">
        <v>802</v>
      </c>
      <c r="N108">
        <v>0</v>
      </c>
      <c r="O108" t="str">
        <f>("3")</f>
        <v>3</v>
      </c>
      <c r="P108" t="str">
        <f>("De Becker Ludo")</f>
        <v>De Becker Ludo</v>
      </c>
      <c r="Q108">
        <v>152</v>
      </c>
    </row>
    <row r="109" spans="1:19" x14ac:dyDescent="0.3">
      <c r="A109" t="s">
        <v>1</v>
      </c>
      <c r="B109" s="1">
        <v>45578</v>
      </c>
      <c r="C109" t="str">
        <f t="shared" si="24"/>
        <v>23101</v>
      </c>
      <c r="D109" t="s">
        <v>4</v>
      </c>
      <c r="E109" t="str">
        <f t="shared" si="25"/>
        <v>11</v>
      </c>
      <c r="F109">
        <v>12435</v>
      </c>
      <c r="G109">
        <v>8124</v>
      </c>
      <c r="H109">
        <v>525</v>
      </c>
      <c r="I109" t="str">
        <f t="shared" si="30"/>
        <v>10</v>
      </c>
      <c r="J109" t="str">
        <f t="shared" si="31"/>
        <v>VOOR RODE</v>
      </c>
      <c r="K109">
        <v>242</v>
      </c>
      <c r="L109">
        <v>560</v>
      </c>
      <c r="M109">
        <v>802</v>
      </c>
      <c r="N109">
        <v>0</v>
      </c>
      <c r="O109" t="str">
        <f>("4")</f>
        <v>4</v>
      </c>
      <c r="P109" t="str">
        <f>("Engels Marleen")</f>
        <v>Engels Marleen</v>
      </c>
      <c r="Q109">
        <v>81</v>
      </c>
    </row>
    <row r="110" spans="1:19" x14ac:dyDescent="0.3">
      <c r="A110" t="s">
        <v>1</v>
      </c>
      <c r="B110" s="1">
        <v>45578</v>
      </c>
      <c r="C110" t="str">
        <f t="shared" si="24"/>
        <v>23101</v>
      </c>
      <c r="D110" t="s">
        <v>4</v>
      </c>
      <c r="E110" t="str">
        <f t="shared" si="25"/>
        <v>11</v>
      </c>
      <c r="F110">
        <v>12435</v>
      </c>
      <c r="G110">
        <v>8124</v>
      </c>
      <c r="H110">
        <v>525</v>
      </c>
      <c r="I110" t="str">
        <f t="shared" si="30"/>
        <v>10</v>
      </c>
      <c r="J110" t="str">
        <f t="shared" si="31"/>
        <v>VOOR RODE</v>
      </c>
      <c r="K110">
        <v>242</v>
      </c>
      <c r="L110">
        <v>560</v>
      </c>
      <c r="M110">
        <v>802</v>
      </c>
      <c r="N110">
        <v>0</v>
      </c>
      <c r="O110" t="str">
        <f>("5")</f>
        <v>5</v>
      </c>
      <c r="P110" t="str">
        <f>("Buntinx Koen")</f>
        <v>Buntinx Koen</v>
      </c>
      <c r="Q110">
        <v>73</v>
      </c>
    </row>
    <row r="111" spans="1:19" x14ac:dyDescent="0.3">
      <c r="A111" t="s">
        <v>1</v>
      </c>
      <c r="B111" s="1">
        <v>45578</v>
      </c>
      <c r="C111" t="str">
        <f t="shared" si="24"/>
        <v>23101</v>
      </c>
      <c r="D111" t="s">
        <v>4</v>
      </c>
      <c r="E111" t="str">
        <f t="shared" si="25"/>
        <v>11</v>
      </c>
      <c r="F111">
        <v>12435</v>
      </c>
      <c r="G111">
        <v>8124</v>
      </c>
      <c r="H111">
        <v>525</v>
      </c>
      <c r="I111" t="str">
        <f t="shared" si="30"/>
        <v>10</v>
      </c>
      <c r="J111" t="str">
        <f t="shared" si="31"/>
        <v>VOOR RODE</v>
      </c>
      <c r="K111">
        <v>242</v>
      </c>
      <c r="L111">
        <v>560</v>
      </c>
      <c r="M111">
        <v>802</v>
      </c>
      <c r="N111">
        <v>0</v>
      </c>
      <c r="O111" t="str">
        <f>("6")</f>
        <v>6</v>
      </c>
      <c r="P111" t="str">
        <f>("Goossens Nicole")</f>
        <v>Goossens Nicole</v>
      </c>
      <c r="Q111">
        <v>75</v>
      </c>
    </row>
    <row r="112" spans="1:19" x14ac:dyDescent="0.3">
      <c r="A112" t="s">
        <v>1</v>
      </c>
      <c r="B112" s="1">
        <v>45578</v>
      </c>
      <c r="C112" t="str">
        <f t="shared" si="24"/>
        <v>23101</v>
      </c>
      <c r="D112" t="s">
        <v>4</v>
      </c>
      <c r="E112" t="str">
        <f t="shared" si="25"/>
        <v>11</v>
      </c>
      <c r="F112">
        <v>12435</v>
      </c>
      <c r="G112">
        <v>8124</v>
      </c>
      <c r="H112">
        <v>525</v>
      </c>
      <c r="I112" t="str">
        <f t="shared" si="30"/>
        <v>10</v>
      </c>
      <c r="J112" t="str">
        <f t="shared" si="31"/>
        <v>VOOR RODE</v>
      </c>
      <c r="K112">
        <v>242</v>
      </c>
      <c r="L112">
        <v>560</v>
      </c>
      <c r="M112">
        <v>802</v>
      </c>
      <c r="N112">
        <v>0</v>
      </c>
      <c r="O112" t="str">
        <f>("7")</f>
        <v>7</v>
      </c>
      <c r="P112" t="str">
        <f>("Vermeulen Karinne")</f>
        <v>Vermeulen Karinne</v>
      </c>
      <c r="Q112">
        <v>56</v>
      </c>
    </row>
    <row r="113" spans="1:19" x14ac:dyDescent="0.3">
      <c r="A113" t="s">
        <v>1</v>
      </c>
      <c r="B113" s="1">
        <v>45578</v>
      </c>
      <c r="C113" t="str">
        <f t="shared" si="24"/>
        <v>23101</v>
      </c>
      <c r="D113" t="s">
        <v>4</v>
      </c>
      <c r="E113" t="str">
        <f t="shared" si="25"/>
        <v>11</v>
      </c>
      <c r="F113">
        <v>12435</v>
      </c>
      <c r="G113">
        <v>8124</v>
      </c>
      <c r="H113">
        <v>525</v>
      </c>
      <c r="I113" t="str">
        <f t="shared" si="30"/>
        <v>10</v>
      </c>
      <c r="J113" t="str">
        <f t="shared" si="31"/>
        <v>VOOR RODE</v>
      </c>
      <c r="K113">
        <v>242</v>
      </c>
      <c r="L113">
        <v>560</v>
      </c>
      <c r="M113">
        <v>802</v>
      </c>
      <c r="N113">
        <v>0</v>
      </c>
      <c r="O113" t="str">
        <f>("8")</f>
        <v>8</v>
      </c>
      <c r="P113" t="str">
        <f>("Mostaert Yves")</f>
        <v>Mostaert Yves</v>
      </c>
      <c r="Q113">
        <v>70</v>
      </c>
    </row>
    <row r="114" spans="1:19" x14ac:dyDescent="0.3">
      <c r="A114" t="s">
        <v>1</v>
      </c>
      <c r="B114" s="1">
        <v>45578</v>
      </c>
      <c r="C114" t="str">
        <f t="shared" si="24"/>
        <v>23101</v>
      </c>
      <c r="D114" t="s">
        <v>4</v>
      </c>
      <c r="E114" t="str">
        <f t="shared" si="25"/>
        <v>11</v>
      </c>
      <c r="F114">
        <v>12435</v>
      </c>
      <c r="G114">
        <v>8124</v>
      </c>
      <c r="H114">
        <v>525</v>
      </c>
      <c r="I114" t="str">
        <f t="shared" si="30"/>
        <v>10</v>
      </c>
      <c r="J114" t="str">
        <f t="shared" si="31"/>
        <v>VOOR RODE</v>
      </c>
      <c r="K114">
        <v>242</v>
      </c>
      <c r="L114">
        <v>560</v>
      </c>
      <c r="M114">
        <v>802</v>
      </c>
      <c r="N114">
        <v>0</v>
      </c>
      <c r="O114" t="str">
        <f>("9")</f>
        <v>9</v>
      </c>
      <c r="P114" t="str">
        <f>("Debremaeker Ghislaine")</f>
        <v>Debremaeker Ghislaine</v>
      </c>
      <c r="Q114">
        <v>75</v>
      </c>
    </row>
    <row r="115" spans="1:19" x14ac:dyDescent="0.3">
      <c r="A115" t="s">
        <v>1</v>
      </c>
      <c r="B115" s="1">
        <v>45578</v>
      </c>
      <c r="C115" t="str">
        <f t="shared" si="24"/>
        <v>23101</v>
      </c>
      <c r="D115" t="s">
        <v>4</v>
      </c>
      <c r="E115" t="str">
        <f t="shared" si="25"/>
        <v>11</v>
      </c>
      <c r="F115">
        <v>12435</v>
      </c>
      <c r="G115">
        <v>8124</v>
      </c>
      <c r="H115">
        <v>525</v>
      </c>
      <c r="I115" t="str">
        <f t="shared" si="30"/>
        <v>10</v>
      </c>
      <c r="J115" t="str">
        <f t="shared" si="31"/>
        <v>VOOR RODE</v>
      </c>
      <c r="K115">
        <v>242</v>
      </c>
      <c r="L115">
        <v>560</v>
      </c>
      <c r="M115">
        <v>802</v>
      </c>
      <c r="N115">
        <v>0</v>
      </c>
      <c r="O115" t="str">
        <f>("10")</f>
        <v>10</v>
      </c>
      <c r="P115" t="str">
        <f>("Hylebos Godelieve")</f>
        <v>Hylebos Godelieve</v>
      </c>
      <c r="Q115">
        <v>90</v>
      </c>
    </row>
    <row r="116" spans="1:19" x14ac:dyDescent="0.3">
      <c r="A116" t="s">
        <v>1</v>
      </c>
      <c r="B116" s="1">
        <v>45578</v>
      </c>
      <c r="C116" t="str">
        <f t="shared" si="24"/>
        <v>23101</v>
      </c>
      <c r="D116" t="s">
        <v>4</v>
      </c>
      <c r="E116" t="str">
        <f t="shared" si="25"/>
        <v>11</v>
      </c>
      <c r="F116">
        <v>12435</v>
      </c>
      <c r="G116">
        <v>8124</v>
      </c>
      <c r="H116">
        <v>525</v>
      </c>
      <c r="I116" t="str">
        <f t="shared" si="30"/>
        <v>10</v>
      </c>
      <c r="J116" t="str">
        <f t="shared" si="31"/>
        <v>VOOR RODE</v>
      </c>
      <c r="K116">
        <v>242</v>
      </c>
      <c r="L116">
        <v>560</v>
      </c>
      <c r="M116">
        <v>802</v>
      </c>
      <c r="N116">
        <v>0</v>
      </c>
      <c r="O116" t="str">
        <f>("11")</f>
        <v>11</v>
      </c>
      <c r="P116" t="str">
        <f>("Van der Schueren Jeroen")</f>
        <v>Van der Schueren Jeroen</v>
      </c>
      <c r="Q116">
        <v>63</v>
      </c>
    </row>
    <row r="117" spans="1:19" x14ac:dyDescent="0.3">
      <c r="A117" t="s">
        <v>1</v>
      </c>
      <c r="B117" s="1">
        <v>45578</v>
      </c>
      <c r="C117" t="str">
        <f t="shared" ref="C117:C134" si="32">("73109")</f>
        <v>73109</v>
      </c>
      <c r="D117" t="s">
        <v>3</v>
      </c>
      <c r="E117" t="str">
        <f t="shared" ref="E117:E134" si="33">("9")</f>
        <v>9</v>
      </c>
      <c r="F117">
        <v>3297</v>
      </c>
      <c r="G117">
        <v>2042</v>
      </c>
      <c r="H117">
        <v>80</v>
      </c>
      <c r="I117" t="str">
        <f t="shared" ref="I117:I125" si="34">("8")</f>
        <v>8</v>
      </c>
      <c r="J117" t="str">
        <f t="shared" ref="J117:J125" si="35">("R.A.L.")</f>
        <v>R.A.L.</v>
      </c>
      <c r="K117">
        <v>177</v>
      </c>
      <c r="L117">
        <v>748</v>
      </c>
      <c r="M117">
        <v>925</v>
      </c>
      <c r="N117">
        <v>4</v>
      </c>
      <c r="O117" t="str">
        <f>("1")</f>
        <v>1</v>
      </c>
      <c r="P117" t="str">
        <f>("Cleenen Freddy")</f>
        <v>Cleenen Freddy</v>
      </c>
      <c r="Q117">
        <v>449</v>
      </c>
      <c r="R117">
        <v>1</v>
      </c>
    </row>
    <row r="118" spans="1:19" x14ac:dyDescent="0.3">
      <c r="A118" t="s">
        <v>1</v>
      </c>
      <c r="B118" s="1">
        <v>45578</v>
      </c>
      <c r="C118" t="str">
        <f t="shared" si="32"/>
        <v>73109</v>
      </c>
      <c r="D118" t="s">
        <v>3</v>
      </c>
      <c r="E118" t="str">
        <f t="shared" si="33"/>
        <v>9</v>
      </c>
      <c r="F118">
        <v>3297</v>
      </c>
      <c r="G118">
        <v>2042</v>
      </c>
      <c r="H118">
        <v>80</v>
      </c>
      <c r="I118" t="str">
        <f t="shared" si="34"/>
        <v>8</v>
      </c>
      <c r="J118" t="str">
        <f t="shared" si="35"/>
        <v>R.A.L.</v>
      </c>
      <c r="K118">
        <v>177</v>
      </c>
      <c r="L118">
        <v>748</v>
      </c>
      <c r="M118">
        <v>925</v>
      </c>
      <c r="N118">
        <v>4</v>
      </c>
      <c r="O118" t="str">
        <f>("2")</f>
        <v>2</v>
      </c>
      <c r="P118" t="str">
        <f>("Muytjens Maryline")</f>
        <v>Muytjens Maryline</v>
      </c>
      <c r="Q118">
        <v>270</v>
      </c>
      <c r="R118">
        <v>3</v>
      </c>
    </row>
    <row r="119" spans="1:19" x14ac:dyDescent="0.3">
      <c r="A119" t="s">
        <v>1</v>
      </c>
      <c r="B119" s="1">
        <v>45578</v>
      </c>
      <c r="C119" t="str">
        <f t="shared" si="32"/>
        <v>73109</v>
      </c>
      <c r="D119" t="s">
        <v>3</v>
      </c>
      <c r="E119" t="str">
        <f t="shared" si="33"/>
        <v>9</v>
      </c>
      <c r="F119">
        <v>3297</v>
      </c>
      <c r="G119">
        <v>2042</v>
      </c>
      <c r="H119">
        <v>80</v>
      </c>
      <c r="I119" t="str">
        <f t="shared" si="34"/>
        <v>8</v>
      </c>
      <c r="J119" t="str">
        <f t="shared" si="35"/>
        <v>R.A.L.</v>
      </c>
      <c r="K119">
        <v>177</v>
      </c>
      <c r="L119">
        <v>748</v>
      </c>
      <c r="M119">
        <v>925</v>
      </c>
      <c r="N119">
        <v>4</v>
      </c>
      <c r="O119" t="str">
        <f>("3")</f>
        <v>3</v>
      </c>
      <c r="P119" t="str">
        <f>("Grétry Frédéric")</f>
        <v>Grétry Frédéric</v>
      </c>
      <c r="Q119">
        <v>191</v>
      </c>
      <c r="S119">
        <v>1</v>
      </c>
    </row>
    <row r="120" spans="1:19" x14ac:dyDescent="0.3">
      <c r="A120" t="s">
        <v>1</v>
      </c>
      <c r="B120" s="1">
        <v>45578</v>
      </c>
      <c r="C120" t="str">
        <f t="shared" si="32"/>
        <v>73109</v>
      </c>
      <c r="D120" t="s">
        <v>3</v>
      </c>
      <c r="E120" t="str">
        <f t="shared" si="33"/>
        <v>9</v>
      </c>
      <c r="F120">
        <v>3297</v>
      </c>
      <c r="G120">
        <v>2042</v>
      </c>
      <c r="H120">
        <v>80</v>
      </c>
      <c r="I120" t="str">
        <f t="shared" si="34"/>
        <v>8</v>
      </c>
      <c r="J120" t="str">
        <f t="shared" si="35"/>
        <v>R.A.L.</v>
      </c>
      <c r="K120">
        <v>177</v>
      </c>
      <c r="L120">
        <v>748</v>
      </c>
      <c r="M120">
        <v>925</v>
      </c>
      <c r="N120">
        <v>4</v>
      </c>
      <c r="O120" t="str">
        <f>("4")</f>
        <v>4</v>
      </c>
      <c r="P120" t="str">
        <f>("Kurvers Marie-Noëlle")</f>
        <v>Kurvers Marie-Noëlle</v>
      </c>
      <c r="Q120">
        <v>406</v>
      </c>
      <c r="R120">
        <v>2</v>
      </c>
    </row>
    <row r="121" spans="1:19" x14ac:dyDescent="0.3">
      <c r="A121" t="s">
        <v>1</v>
      </c>
      <c r="B121" s="1">
        <v>45578</v>
      </c>
      <c r="C121" t="str">
        <f t="shared" si="32"/>
        <v>73109</v>
      </c>
      <c r="D121" t="s">
        <v>3</v>
      </c>
      <c r="E121" t="str">
        <f t="shared" si="33"/>
        <v>9</v>
      </c>
      <c r="F121">
        <v>3297</v>
      </c>
      <c r="G121">
        <v>2042</v>
      </c>
      <c r="H121">
        <v>80</v>
      </c>
      <c r="I121" t="str">
        <f t="shared" si="34"/>
        <v>8</v>
      </c>
      <c r="J121" t="str">
        <f t="shared" si="35"/>
        <v>R.A.L.</v>
      </c>
      <c r="K121">
        <v>177</v>
      </c>
      <c r="L121">
        <v>748</v>
      </c>
      <c r="M121">
        <v>925</v>
      </c>
      <c r="N121">
        <v>4</v>
      </c>
      <c r="O121" t="str">
        <f>("5")</f>
        <v>5</v>
      </c>
      <c r="P121" t="str">
        <f>("Droeven Joël")</f>
        <v>Droeven Joël</v>
      </c>
      <c r="Q121">
        <v>227</v>
      </c>
      <c r="R121">
        <v>4</v>
      </c>
    </row>
    <row r="122" spans="1:19" x14ac:dyDescent="0.3">
      <c r="A122" t="s">
        <v>1</v>
      </c>
      <c r="B122" s="1">
        <v>45578</v>
      </c>
      <c r="C122" t="str">
        <f t="shared" si="32"/>
        <v>73109</v>
      </c>
      <c r="D122" t="s">
        <v>3</v>
      </c>
      <c r="E122" t="str">
        <f t="shared" si="33"/>
        <v>9</v>
      </c>
      <c r="F122">
        <v>3297</v>
      </c>
      <c r="G122">
        <v>2042</v>
      </c>
      <c r="H122">
        <v>80</v>
      </c>
      <c r="I122" t="str">
        <f t="shared" si="34"/>
        <v>8</v>
      </c>
      <c r="J122" t="str">
        <f t="shared" si="35"/>
        <v>R.A.L.</v>
      </c>
      <c r="K122">
        <v>177</v>
      </c>
      <c r="L122">
        <v>748</v>
      </c>
      <c r="M122">
        <v>925</v>
      </c>
      <c r="N122">
        <v>4</v>
      </c>
      <c r="O122" t="str">
        <f>("6")</f>
        <v>6</v>
      </c>
      <c r="P122" t="str">
        <f>("Reuter Christel")</f>
        <v>Reuter Christel</v>
      </c>
      <c r="Q122">
        <v>162</v>
      </c>
      <c r="S122">
        <v>2</v>
      </c>
    </row>
    <row r="123" spans="1:19" x14ac:dyDescent="0.3">
      <c r="A123" t="s">
        <v>1</v>
      </c>
      <c r="B123" s="1">
        <v>45578</v>
      </c>
      <c r="C123" t="str">
        <f t="shared" si="32"/>
        <v>73109</v>
      </c>
      <c r="D123" t="s">
        <v>3</v>
      </c>
      <c r="E123" t="str">
        <f t="shared" si="33"/>
        <v>9</v>
      </c>
      <c r="F123">
        <v>3297</v>
      </c>
      <c r="G123">
        <v>2042</v>
      </c>
      <c r="H123">
        <v>80</v>
      </c>
      <c r="I123" t="str">
        <f t="shared" si="34"/>
        <v>8</v>
      </c>
      <c r="J123" t="str">
        <f t="shared" si="35"/>
        <v>R.A.L.</v>
      </c>
      <c r="K123">
        <v>177</v>
      </c>
      <c r="L123">
        <v>748</v>
      </c>
      <c r="M123">
        <v>925</v>
      </c>
      <c r="N123">
        <v>4</v>
      </c>
      <c r="O123" t="str">
        <f>("7")</f>
        <v>7</v>
      </c>
      <c r="P123" t="str">
        <f>("Hessel Eric")</f>
        <v>Hessel Eric</v>
      </c>
      <c r="Q123">
        <v>110</v>
      </c>
      <c r="S123">
        <v>5</v>
      </c>
    </row>
    <row r="124" spans="1:19" x14ac:dyDescent="0.3">
      <c r="A124" t="s">
        <v>1</v>
      </c>
      <c r="B124" s="1">
        <v>45578</v>
      </c>
      <c r="C124" t="str">
        <f t="shared" si="32"/>
        <v>73109</v>
      </c>
      <c r="D124" t="s">
        <v>3</v>
      </c>
      <c r="E124" t="str">
        <f t="shared" si="33"/>
        <v>9</v>
      </c>
      <c r="F124">
        <v>3297</v>
      </c>
      <c r="G124">
        <v>2042</v>
      </c>
      <c r="H124">
        <v>80</v>
      </c>
      <c r="I124" t="str">
        <f t="shared" si="34"/>
        <v>8</v>
      </c>
      <c r="J124" t="str">
        <f t="shared" si="35"/>
        <v>R.A.L.</v>
      </c>
      <c r="K124">
        <v>177</v>
      </c>
      <c r="L124">
        <v>748</v>
      </c>
      <c r="M124">
        <v>925</v>
      </c>
      <c r="N124">
        <v>4</v>
      </c>
      <c r="O124" t="str">
        <f>("8")</f>
        <v>8</v>
      </c>
      <c r="P124" t="str">
        <f>("Dedée Florence")</f>
        <v>Dedée Florence</v>
      </c>
      <c r="Q124">
        <v>156</v>
      </c>
      <c r="S124">
        <v>3</v>
      </c>
    </row>
    <row r="125" spans="1:19" x14ac:dyDescent="0.3">
      <c r="A125" t="s">
        <v>1</v>
      </c>
      <c r="B125" s="1">
        <v>45578</v>
      </c>
      <c r="C125" t="str">
        <f t="shared" si="32"/>
        <v>73109</v>
      </c>
      <c r="D125" t="s">
        <v>3</v>
      </c>
      <c r="E125" t="str">
        <f t="shared" si="33"/>
        <v>9</v>
      </c>
      <c r="F125">
        <v>3297</v>
      </c>
      <c r="G125">
        <v>2042</v>
      </c>
      <c r="H125">
        <v>80</v>
      </c>
      <c r="I125" t="str">
        <f t="shared" si="34"/>
        <v>8</v>
      </c>
      <c r="J125" t="str">
        <f t="shared" si="35"/>
        <v>R.A.L.</v>
      </c>
      <c r="K125">
        <v>177</v>
      </c>
      <c r="L125">
        <v>748</v>
      </c>
      <c r="M125">
        <v>925</v>
      </c>
      <c r="N125">
        <v>4</v>
      </c>
      <c r="O125" t="str">
        <f>("9")</f>
        <v>9</v>
      </c>
      <c r="P125" t="str">
        <f>("Lamy Pierre")</f>
        <v>Lamy Pierre</v>
      </c>
      <c r="Q125">
        <v>144</v>
      </c>
      <c r="S125">
        <v>4</v>
      </c>
    </row>
    <row r="126" spans="1:19" x14ac:dyDescent="0.3">
      <c r="A126" t="s">
        <v>1</v>
      </c>
      <c r="B126" s="1">
        <v>45578</v>
      </c>
      <c r="C126" t="str">
        <f t="shared" si="32"/>
        <v>73109</v>
      </c>
      <c r="D126" t="s">
        <v>3</v>
      </c>
      <c r="E126" t="str">
        <f t="shared" si="33"/>
        <v>9</v>
      </c>
      <c r="F126">
        <v>3297</v>
      </c>
      <c r="G126">
        <v>2042</v>
      </c>
      <c r="H126">
        <v>80</v>
      </c>
      <c r="I126" t="str">
        <f t="shared" ref="I126:I134" si="36">("9")</f>
        <v>9</v>
      </c>
      <c r="J126" t="str">
        <f t="shared" ref="J126:J134" si="37">("Voerbelangen")</f>
        <v>Voerbelangen</v>
      </c>
      <c r="K126">
        <v>111</v>
      </c>
      <c r="L126">
        <v>926</v>
      </c>
      <c r="M126">
        <v>1037</v>
      </c>
      <c r="N126">
        <v>5</v>
      </c>
      <c r="O126" t="str">
        <f>("1")</f>
        <v>1</v>
      </c>
      <c r="P126" t="str">
        <f>("Broers Hilde")</f>
        <v>Broers Hilde</v>
      </c>
      <c r="Q126">
        <v>610</v>
      </c>
      <c r="R126">
        <v>1</v>
      </c>
    </row>
    <row r="127" spans="1:19" x14ac:dyDescent="0.3">
      <c r="A127" t="s">
        <v>1</v>
      </c>
      <c r="B127" s="1">
        <v>45578</v>
      </c>
      <c r="C127" t="str">
        <f t="shared" si="32"/>
        <v>73109</v>
      </c>
      <c r="D127" t="s">
        <v>3</v>
      </c>
      <c r="E127" t="str">
        <f t="shared" si="33"/>
        <v>9</v>
      </c>
      <c r="F127">
        <v>3297</v>
      </c>
      <c r="G127">
        <v>2042</v>
      </c>
      <c r="H127">
        <v>80</v>
      </c>
      <c r="I127" t="str">
        <f t="shared" si="36"/>
        <v>9</v>
      </c>
      <c r="J127" t="str">
        <f t="shared" si="37"/>
        <v>Voerbelangen</v>
      </c>
      <c r="K127">
        <v>111</v>
      </c>
      <c r="L127">
        <v>926</v>
      </c>
      <c r="M127">
        <v>1037</v>
      </c>
      <c r="N127">
        <v>5</v>
      </c>
      <c r="O127" t="str">
        <f>("2")</f>
        <v>2</v>
      </c>
      <c r="P127" t="str">
        <f>("Plusquin Albert")</f>
        <v>Plusquin Albert</v>
      </c>
      <c r="Q127">
        <v>262</v>
      </c>
      <c r="S127">
        <v>2</v>
      </c>
    </row>
    <row r="128" spans="1:19" x14ac:dyDescent="0.3">
      <c r="A128" t="s">
        <v>1</v>
      </c>
      <c r="B128" s="1">
        <v>45578</v>
      </c>
      <c r="C128" t="str">
        <f t="shared" si="32"/>
        <v>73109</v>
      </c>
      <c r="D128" t="s">
        <v>3</v>
      </c>
      <c r="E128" t="str">
        <f t="shared" si="33"/>
        <v>9</v>
      </c>
      <c r="F128">
        <v>3297</v>
      </c>
      <c r="G128">
        <v>2042</v>
      </c>
      <c r="H128">
        <v>80</v>
      </c>
      <c r="I128" t="str">
        <f t="shared" si="36"/>
        <v>9</v>
      </c>
      <c r="J128" t="str">
        <f t="shared" si="37"/>
        <v>Voerbelangen</v>
      </c>
      <c r="K128">
        <v>111</v>
      </c>
      <c r="L128">
        <v>926</v>
      </c>
      <c r="M128">
        <v>1037</v>
      </c>
      <c r="N128">
        <v>5</v>
      </c>
      <c r="O128" t="str">
        <f>("3")</f>
        <v>3</v>
      </c>
      <c r="P128" t="str">
        <f>("Dodemont Alicia")</f>
        <v>Dodemont Alicia</v>
      </c>
      <c r="Q128">
        <v>315</v>
      </c>
      <c r="R128">
        <v>3</v>
      </c>
    </row>
    <row r="129" spans="1:19" x14ac:dyDescent="0.3">
      <c r="A129" t="s">
        <v>1</v>
      </c>
      <c r="B129" s="1">
        <v>45578</v>
      </c>
      <c r="C129" t="str">
        <f t="shared" si="32"/>
        <v>73109</v>
      </c>
      <c r="D129" t="s">
        <v>3</v>
      </c>
      <c r="E129" t="str">
        <f t="shared" si="33"/>
        <v>9</v>
      </c>
      <c r="F129">
        <v>3297</v>
      </c>
      <c r="G129">
        <v>2042</v>
      </c>
      <c r="H129">
        <v>80</v>
      </c>
      <c r="I129" t="str">
        <f t="shared" si="36"/>
        <v>9</v>
      </c>
      <c r="J129" t="str">
        <f t="shared" si="37"/>
        <v>Voerbelangen</v>
      </c>
      <c r="K129">
        <v>111</v>
      </c>
      <c r="L129">
        <v>926</v>
      </c>
      <c r="M129">
        <v>1037</v>
      </c>
      <c r="N129">
        <v>5</v>
      </c>
      <c r="O129" t="str">
        <f>("4")</f>
        <v>4</v>
      </c>
      <c r="P129" t="str">
        <f>("Heusschen Steven")</f>
        <v>Heusschen Steven</v>
      </c>
      <c r="Q129">
        <v>218</v>
      </c>
      <c r="S129">
        <v>3</v>
      </c>
    </row>
    <row r="130" spans="1:19" x14ac:dyDescent="0.3">
      <c r="A130" t="s">
        <v>1</v>
      </c>
      <c r="B130" s="1">
        <v>45578</v>
      </c>
      <c r="C130" t="str">
        <f t="shared" si="32"/>
        <v>73109</v>
      </c>
      <c r="D130" t="s">
        <v>3</v>
      </c>
      <c r="E130" t="str">
        <f t="shared" si="33"/>
        <v>9</v>
      </c>
      <c r="F130">
        <v>3297</v>
      </c>
      <c r="G130">
        <v>2042</v>
      </c>
      <c r="H130">
        <v>80</v>
      </c>
      <c r="I130" t="str">
        <f t="shared" si="36"/>
        <v>9</v>
      </c>
      <c r="J130" t="str">
        <f t="shared" si="37"/>
        <v>Voerbelangen</v>
      </c>
      <c r="K130">
        <v>111</v>
      </c>
      <c r="L130">
        <v>926</v>
      </c>
      <c r="M130">
        <v>1037</v>
      </c>
      <c r="N130">
        <v>5</v>
      </c>
      <c r="O130" t="str">
        <f>("5")</f>
        <v>5</v>
      </c>
      <c r="P130" t="str">
        <f>("Peerboom-Huynen Shanti")</f>
        <v>Peerboom-Huynen Shanti</v>
      </c>
      <c r="Q130">
        <v>301</v>
      </c>
      <c r="R130">
        <v>4</v>
      </c>
    </row>
    <row r="131" spans="1:19" x14ac:dyDescent="0.3">
      <c r="A131" t="s">
        <v>1</v>
      </c>
      <c r="B131" s="1">
        <v>45578</v>
      </c>
      <c r="C131" t="str">
        <f t="shared" si="32"/>
        <v>73109</v>
      </c>
      <c r="D131" t="s">
        <v>3</v>
      </c>
      <c r="E131" t="str">
        <f t="shared" si="33"/>
        <v>9</v>
      </c>
      <c r="F131">
        <v>3297</v>
      </c>
      <c r="G131">
        <v>2042</v>
      </c>
      <c r="H131">
        <v>80</v>
      </c>
      <c r="I131" t="str">
        <f t="shared" si="36"/>
        <v>9</v>
      </c>
      <c r="J131" t="str">
        <f t="shared" si="37"/>
        <v>Voerbelangen</v>
      </c>
      <c r="K131">
        <v>111</v>
      </c>
      <c r="L131">
        <v>926</v>
      </c>
      <c r="M131">
        <v>1037</v>
      </c>
      <c r="N131">
        <v>5</v>
      </c>
      <c r="O131" t="str">
        <f>("6")</f>
        <v>6</v>
      </c>
      <c r="P131" t="str">
        <f>("Theelen Guy")</f>
        <v>Theelen Guy</v>
      </c>
      <c r="Q131">
        <v>265</v>
      </c>
      <c r="S131">
        <v>1</v>
      </c>
    </row>
    <row r="132" spans="1:19" x14ac:dyDescent="0.3">
      <c r="A132" t="s">
        <v>1</v>
      </c>
      <c r="B132" s="1">
        <v>45578</v>
      </c>
      <c r="C132" t="str">
        <f t="shared" si="32"/>
        <v>73109</v>
      </c>
      <c r="D132" t="s">
        <v>3</v>
      </c>
      <c r="E132" t="str">
        <f t="shared" si="33"/>
        <v>9</v>
      </c>
      <c r="F132">
        <v>3297</v>
      </c>
      <c r="G132">
        <v>2042</v>
      </c>
      <c r="H132">
        <v>80</v>
      </c>
      <c r="I132" t="str">
        <f t="shared" si="36"/>
        <v>9</v>
      </c>
      <c r="J132" t="str">
        <f t="shared" si="37"/>
        <v>Voerbelangen</v>
      </c>
      <c r="K132">
        <v>111</v>
      </c>
      <c r="L132">
        <v>926</v>
      </c>
      <c r="M132">
        <v>1037</v>
      </c>
      <c r="N132">
        <v>5</v>
      </c>
      <c r="O132" t="str">
        <f>("7")</f>
        <v>7</v>
      </c>
      <c r="P132" t="str">
        <f>("Loop Christel")</f>
        <v>Loop Christel</v>
      </c>
      <c r="Q132">
        <v>413</v>
      </c>
      <c r="R132">
        <v>2</v>
      </c>
    </row>
    <row r="133" spans="1:19" x14ac:dyDescent="0.3">
      <c r="A133" t="s">
        <v>1</v>
      </c>
      <c r="B133" s="1">
        <v>45578</v>
      </c>
      <c r="C133" t="str">
        <f t="shared" si="32"/>
        <v>73109</v>
      </c>
      <c r="D133" t="s">
        <v>3</v>
      </c>
      <c r="E133" t="str">
        <f t="shared" si="33"/>
        <v>9</v>
      </c>
      <c r="F133">
        <v>3297</v>
      </c>
      <c r="G133">
        <v>2042</v>
      </c>
      <c r="H133">
        <v>80</v>
      </c>
      <c r="I133" t="str">
        <f t="shared" si="36"/>
        <v>9</v>
      </c>
      <c r="J133" t="str">
        <f t="shared" si="37"/>
        <v>Voerbelangen</v>
      </c>
      <c r="K133">
        <v>111</v>
      </c>
      <c r="L133">
        <v>926</v>
      </c>
      <c r="M133">
        <v>1037</v>
      </c>
      <c r="N133">
        <v>5</v>
      </c>
      <c r="O133" t="str">
        <f>("8")</f>
        <v>8</v>
      </c>
      <c r="P133" t="str">
        <f>("Theunissen Mark")</f>
        <v>Theunissen Mark</v>
      </c>
      <c r="Q133">
        <v>211</v>
      </c>
      <c r="S133">
        <v>4</v>
      </c>
    </row>
    <row r="134" spans="1:19" x14ac:dyDescent="0.3">
      <c r="A134" t="s">
        <v>1</v>
      </c>
      <c r="B134" s="1">
        <v>45578</v>
      </c>
      <c r="C134" t="str">
        <f t="shared" si="32"/>
        <v>73109</v>
      </c>
      <c r="D134" t="s">
        <v>3</v>
      </c>
      <c r="E134" t="str">
        <f t="shared" si="33"/>
        <v>9</v>
      </c>
      <c r="F134">
        <v>3297</v>
      </c>
      <c r="G134">
        <v>2042</v>
      </c>
      <c r="H134">
        <v>80</v>
      </c>
      <c r="I134" t="str">
        <f t="shared" si="36"/>
        <v>9</v>
      </c>
      <c r="J134" t="str">
        <f t="shared" si="37"/>
        <v>Voerbelangen</v>
      </c>
      <c r="K134">
        <v>111</v>
      </c>
      <c r="L134">
        <v>926</v>
      </c>
      <c r="M134">
        <v>1037</v>
      </c>
      <c r="N134">
        <v>5</v>
      </c>
      <c r="O134" t="str">
        <f>("9")</f>
        <v>9</v>
      </c>
      <c r="P134" t="str">
        <f>("Buysen-Baillien Lizzy")</f>
        <v>Buysen-Baillien Lizzy</v>
      </c>
      <c r="Q134">
        <v>280</v>
      </c>
      <c r="R134">
        <v>5</v>
      </c>
    </row>
    <row r="135" spans="1:19" x14ac:dyDescent="0.3">
      <c r="A135" t="s">
        <v>1</v>
      </c>
      <c r="B135" s="1">
        <v>45578</v>
      </c>
      <c r="C135" t="str">
        <f t="shared" ref="C135:C167" si="38">("23102")</f>
        <v>23102</v>
      </c>
      <c r="D135" t="s">
        <v>2</v>
      </c>
      <c r="E135" t="str">
        <f t="shared" ref="E135:E167" si="39">("11")</f>
        <v>11</v>
      </c>
      <c r="F135">
        <v>11547</v>
      </c>
      <c r="G135">
        <v>6252</v>
      </c>
      <c r="H135">
        <v>462</v>
      </c>
      <c r="I135" t="str">
        <f t="shared" ref="I135:I145" si="40">("8")</f>
        <v>8</v>
      </c>
      <c r="J135" t="str">
        <f t="shared" ref="J135:J145" si="41">("LB Wemmel")</f>
        <v>LB Wemmel</v>
      </c>
      <c r="K135">
        <v>569</v>
      </c>
      <c r="L135">
        <v>1919</v>
      </c>
      <c r="M135">
        <v>2488</v>
      </c>
      <c r="N135">
        <v>5</v>
      </c>
      <c r="O135" t="str">
        <f>("1")</f>
        <v>1</v>
      </c>
      <c r="P135" t="str">
        <f>("Hermans Armand")</f>
        <v>Hermans Armand</v>
      </c>
      <c r="Q135">
        <v>946</v>
      </c>
      <c r="R135">
        <v>1</v>
      </c>
    </row>
    <row r="136" spans="1:19" x14ac:dyDescent="0.3">
      <c r="A136" t="s">
        <v>1</v>
      </c>
      <c r="B136" s="1">
        <v>45578</v>
      </c>
      <c r="C136" t="str">
        <f t="shared" si="38"/>
        <v>23102</v>
      </c>
      <c r="D136" t="s">
        <v>2</v>
      </c>
      <c r="E136" t="str">
        <f t="shared" si="39"/>
        <v>11</v>
      </c>
      <c r="F136">
        <v>11547</v>
      </c>
      <c r="G136">
        <v>6252</v>
      </c>
      <c r="H136">
        <v>462</v>
      </c>
      <c r="I136" t="str">
        <f t="shared" si="40"/>
        <v>8</v>
      </c>
      <c r="J136" t="str">
        <f t="shared" si="41"/>
        <v>LB Wemmel</v>
      </c>
      <c r="K136">
        <v>569</v>
      </c>
      <c r="L136">
        <v>1919</v>
      </c>
      <c r="M136">
        <v>2488</v>
      </c>
      <c r="N136">
        <v>5</v>
      </c>
      <c r="O136" t="str">
        <f>("2")</f>
        <v>2</v>
      </c>
      <c r="P136" t="str">
        <f>("Vansteenkiste Inès")</f>
        <v>Vansteenkiste Inès</v>
      </c>
      <c r="Q136">
        <v>501</v>
      </c>
      <c r="R136">
        <v>2</v>
      </c>
    </row>
    <row r="137" spans="1:19" x14ac:dyDescent="0.3">
      <c r="A137" t="s">
        <v>1</v>
      </c>
      <c r="B137" s="1">
        <v>45578</v>
      </c>
      <c r="C137" t="str">
        <f t="shared" si="38"/>
        <v>23102</v>
      </c>
      <c r="D137" t="s">
        <v>2</v>
      </c>
      <c r="E137" t="str">
        <f t="shared" si="39"/>
        <v>11</v>
      </c>
      <c r="F137">
        <v>11547</v>
      </c>
      <c r="G137">
        <v>6252</v>
      </c>
      <c r="H137">
        <v>462</v>
      </c>
      <c r="I137" t="str">
        <f t="shared" si="40"/>
        <v>8</v>
      </c>
      <c r="J137" t="str">
        <f t="shared" si="41"/>
        <v>LB Wemmel</v>
      </c>
      <c r="K137">
        <v>569</v>
      </c>
      <c r="L137">
        <v>1919</v>
      </c>
      <c r="M137">
        <v>2488</v>
      </c>
      <c r="N137">
        <v>5</v>
      </c>
      <c r="O137" t="str">
        <f>("3")</f>
        <v>3</v>
      </c>
      <c r="P137" t="str">
        <f>("Joseph Marc")</f>
        <v>Joseph Marc</v>
      </c>
      <c r="Q137">
        <v>458</v>
      </c>
      <c r="R137">
        <v>4</v>
      </c>
    </row>
    <row r="138" spans="1:19" x14ac:dyDescent="0.3">
      <c r="A138" t="s">
        <v>1</v>
      </c>
      <c r="B138" s="1">
        <v>45578</v>
      </c>
      <c r="C138" t="str">
        <f t="shared" si="38"/>
        <v>23102</v>
      </c>
      <c r="D138" t="s">
        <v>2</v>
      </c>
      <c r="E138" t="str">
        <f t="shared" si="39"/>
        <v>11</v>
      </c>
      <c r="F138">
        <v>11547</v>
      </c>
      <c r="G138">
        <v>6252</v>
      </c>
      <c r="H138">
        <v>462</v>
      </c>
      <c r="I138" t="str">
        <f t="shared" si="40"/>
        <v>8</v>
      </c>
      <c r="J138" t="str">
        <f t="shared" si="41"/>
        <v>LB Wemmel</v>
      </c>
      <c r="K138">
        <v>569</v>
      </c>
      <c r="L138">
        <v>1919</v>
      </c>
      <c r="M138">
        <v>2488</v>
      </c>
      <c r="N138">
        <v>5</v>
      </c>
      <c r="O138" t="str">
        <f>("4")</f>
        <v>4</v>
      </c>
      <c r="P138" t="str">
        <f>("Delers Carol")</f>
        <v>Delers Carol</v>
      </c>
      <c r="Q138">
        <v>127</v>
      </c>
      <c r="S138">
        <v>4</v>
      </c>
    </row>
    <row r="139" spans="1:19" x14ac:dyDescent="0.3">
      <c r="A139" t="s">
        <v>1</v>
      </c>
      <c r="B139" s="1">
        <v>45578</v>
      </c>
      <c r="C139" t="str">
        <f t="shared" si="38"/>
        <v>23102</v>
      </c>
      <c r="D139" t="s">
        <v>2</v>
      </c>
      <c r="E139" t="str">
        <f t="shared" si="39"/>
        <v>11</v>
      </c>
      <c r="F139">
        <v>11547</v>
      </c>
      <c r="G139">
        <v>6252</v>
      </c>
      <c r="H139">
        <v>462</v>
      </c>
      <c r="I139" t="str">
        <f t="shared" si="40"/>
        <v>8</v>
      </c>
      <c r="J139" t="str">
        <f t="shared" si="41"/>
        <v>LB Wemmel</v>
      </c>
      <c r="K139">
        <v>569</v>
      </c>
      <c r="L139">
        <v>1919</v>
      </c>
      <c r="M139">
        <v>2488</v>
      </c>
      <c r="N139">
        <v>5</v>
      </c>
      <c r="O139" t="str">
        <f>("5")</f>
        <v>5</v>
      </c>
      <c r="P139" t="str">
        <f>("Van Den Brande Paul")</f>
        <v>Van Den Brande Paul</v>
      </c>
      <c r="Q139">
        <v>194</v>
      </c>
      <c r="S139">
        <v>2</v>
      </c>
    </row>
    <row r="140" spans="1:19" x14ac:dyDescent="0.3">
      <c r="A140" t="s">
        <v>1</v>
      </c>
      <c r="B140" s="1">
        <v>45578</v>
      </c>
      <c r="C140" t="str">
        <f t="shared" si="38"/>
        <v>23102</v>
      </c>
      <c r="D140" t="s">
        <v>2</v>
      </c>
      <c r="E140" t="str">
        <f t="shared" si="39"/>
        <v>11</v>
      </c>
      <c r="F140">
        <v>11547</v>
      </c>
      <c r="G140">
        <v>6252</v>
      </c>
      <c r="H140">
        <v>462</v>
      </c>
      <c r="I140" t="str">
        <f t="shared" si="40"/>
        <v>8</v>
      </c>
      <c r="J140" t="str">
        <f t="shared" si="41"/>
        <v>LB Wemmel</v>
      </c>
      <c r="K140">
        <v>569</v>
      </c>
      <c r="L140">
        <v>1919</v>
      </c>
      <c r="M140">
        <v>2488</v>
      </c>
      <c r="N140">
        <v>5</v>
      </c>
      <c r="O140" t="str">
        <f>("6")</f>
        <v>6</v>
      </c>
      <c r="P140" t="str">
        <f>("Abdel Massih Anne")</f>
        <v>Abdel Massih Anne</v>
      </c>
      <c r="Q140">
        <v>164</v>
      </c>
      <c r="S140">
        <v>3</v>
      </c>
    </row>
    <row r="141" spans="1:19" x14ac:dyDescent="0.3">
      <c r="A141" t="s">
        <v>1</v>
      </c>
      <c r="B141" s="1">
        <v>45578</v>
      </c>
      <c r="C141" t="str">
        <f t="shared" si="38"/>
        <v>23102</v>
      </c>
      <c r="D141" t="s">
        <v>2</v>
      </c>
      <c r="E141" t="str">
        <f t="shared" si="39"/>
        <v>11</v>
      </c>
      <c r="F141">
        <v>11547</v>
      </c>
      <c r="G141">
        <v>6252</v>
      </c>
      <c r="H141">
        <v>462</v>
      </c>
      <c r="I141" t="str">
        <f t="shared" si="40"/>
        <v>8</v>
      </c>
      <c r="J141" t="str">
        <f t="shared" si="41"/>
        <v>LB Wemmel</v>
      </c>
      <c r="K141">
        <v>569</v>
      </c>
      <c r="L141">
        <v>1919</v>
      </c>
      <c r="M141">
        <v>2488</v>
      </c>
      <c r="N141">
        <v>5</v>
      </c>
      <c r="O141" t="str">
        <f>("7")</f>
        <v>7</v>
      </c>
      <c r="P141" t="str">
        <f>("Van Buggenhout Kelly")</f>
        <v>Van Buggenhout Kelly</v>
      </c>
      <c r="Q141">
        <v>210</v>
      </c>
      <c r="S141">
        <v>1</v>
      </c>
    </row>
    <row r="142" spans="1:19" x14ac:dyDescent="0.3">
      <c r="A142" t="s">
        <v>1</v>
      </c>
      <c r="B142" s="1">
        <v>45578</v>
      </c>
      <c r="C142" t="str">
        <f t="shared" si="38"/>
        <v>23102</v>
      </c>
      <c r="D142" t="s">
        <v>2</v>
      </c>
      <c r="E142" t="str">
        <f t="shared" si="39"/>
        <v>11</v>
      </c>
      <c r="F142">
        <v>11547</v>
      </c>
      <c r="G142">
        <v>6252</v>
      </c>
      <c r="H142">
        <v>462</v>
      </c>
      <c r="I142" t="str">
        <f t="shared" si="40"/>
        <v>8</v>
      </c>
      <c r="J142" t="str">
        <f t="shared" si="41"/>
        <v>LB Wemmel</v>
      </c>
      <c r="K142">
        <v>569</v>
      </c>
      <c r="L142">
        <v>1919</v>
      </c>
      <c r="M142">
        <v>2488</v>
      </c>
      <c r="N142">
        <v>5</v>
      </c>
      <c r="O142" t="str">
        <f>("8")</f>
        <v>8</v>
      </c>
      <c r="P142" t="str">
        <f>("Medina Perez Lourdes")</f>
        <v>Medina Perez Lourdes</v>
      </c>
      <c r="Q142">
        <v>107</v>
      </c>
      <c r="S142">
        <v>5</v>
      </c>
    </row>
    <row r="143" spans="1:19" x14ac:dyDescent="0.3">
      <c r="A143" t="s">
        <v>1</v>
      </c>
      <c r="B143" s="1">
        <v>45578</v>
      </c>
      <c r="C143" t="str">
        <f t="shared" si="38"/>
        <v>23102</v>
      </c>
      <c r="D143" t="s">
        <v>2</v>
      </c>
      <c r="E143" t="str">
        <f t="shared" si="39"/>
        <v>11</v>
      </c>
      <c r="F143">
        <v>11547</v>
      </c>
      <c r="G143">
        <v>6252</v>
      </c>
      <c r="H143">
        <v>462</v>
      </c>
      <c r="I143" t="str">
        <f t="shared" si="40"/>
        <v>8</v>
      </c>
      <c r="J143" t="str">
        <f t="shared" si="41"/>
        <v>LB Wemmel</v>
      </c>
      <c r="K143">
        <v>569</v>
      </c>
      <c r="L143">
        <v>1919</v>
      </c>
      <c r="M143">
        <v>2488</v>
      </c>
      <c r="N143">
        <v>5</v>
      </c>
      <c r="O143" t="str">
        <f>("9")</f>
        <v>9</v>
      </c>
      <c r="P143" t="str">
        <f>("Valck Eric")</f>
        <v>Valck Eric</v>
      </c>
      <c r="Q143">
        <v>98</v>
      </c>
      <c r="S143">
        <v>6</v>
      </c>
    </row>
    <row r="144" spans="1:19" x14ac:dyDescent="0.3">
      <c r="A144" t="s">
        <v>1</v>
      </c>
      <c r="B144" s="1">
        <v>45578</v>
      </c>
      <c r="C144" t="str">
        <f t="shared" si="38"/>
        <v>23102</v>
      </c>
      <c r="D144" t="s">
        <v>2</v>
      </c>
      <c r="E144" t="str">
        <f t="shared" si="39"/>
        <v>11</v>
      </c>
      <c r="F144">
        <v>11547</v>
      </c>
      <c r="G144">
        <v>6252</v>
      </c>
      <c r="H144">
        <v>462</v>
      </c>
      <c r="I144" t="str">
        <f t="shared" si="40"/>
        <v>8</v>
      </c>
      <c r="J144" t="str">
        <f t="shared" si="41"/>
        <v>LB Wemmel</v>
      </c>
      <c r="K144">
        <v>569</v>
      </c>
      <c r="L144">
        <v>1919</v>
      </c>
      <c r="M144">
        <v>2488</v>
      </c>
      <c r="N144">
        <v>5</v>
      </c>
      <c r="O144" t="str">
        <f>("10")</f>
        <v>10</v>
      </c>
      <c r="P144" t="str">
        <f>("Waxweiler Louis")</f>
        <v>Waxweiler Louis</v>
      </c>
      <c r="Q144">
        <v>253</v>
      </c>
      <c r="R144">
        <v>5</v>
      </c>
    </row>
    <row r="145" spans="1:19" x14ac:dyDescent="0.3">
      <c r="A145" t="s">
        <v>1</v>
      </c>
      <c r="B145" s="1">
        <v>45578</v>
      </c>
      <c r="C145" t="str">
        <f t="shared" si="38"/>
        <v>23102</v>
      </c>
      <c r="D145" t="s">
        <v>2</v>
      </c>
      <c r="E145" t="str">
        <f t="shared" si="39"/>
        <v>11</v>
      </c>
      <c r="F145">
        <v>11547</v>
      </c>
      <c r="G145">
        <v>6252</v>
      </c>
      <c r="H145">
        <v>462</v>
      </c>
      <c r="I145" t="str">
        <f t="shared" si="40"/>
        <v>8</v>
      </c>
      <c r="J145" t="str">
        <f t="shared" si="41"/>
        <v>LB Wemmel</v>
      </c>
      <c r="K145">
        <v>569</v>
      </c>
      <c r="L145">
        <v>1919</v>
      </c>
      <c r="M145">
        <v>2488</v>
      </c>
      <c r="N145">
        <v>5</v>
      </c>
      <c r="O145" t="str">
        <f>("11")</f>
        <v>11</v>
      </c>
      <c r="P145" t="str">
        <f>("Vanderhaegen Annie")</f>
        <v>Vanderhaegen Annie</v>
      </c>
      <c r="Q145">
        <v>495</v>
      </c>
      <c r="R145">
        <v>3</v>
      </c>
    </row>
    <row r="146" spans="1:19" x14ac:dyDescent="0.3">
      <c r="A146" t="s">
        <v>1</v>
      </c>
      <c r="B146" s="1">
        <v>45578</v>
      </c>
      <c r="C146" t="str">
        <f t="shared" si="38"/>
        <v>23102</v>
      </c>
      <c r="D146" t="s">
        <v>2</v>
      </c>
      <c r="E146" t="str">
        <f t="shared" si="39"/>
        <v>11</v>
      </c>
      <c r="F146">
        <v>11547</v>
      </c>
      <c r="G146">
        <v>6252</v>
      </c>
      <c r="H146">
        <v>462</v>
      </c>
      <c r="I146" t="str">
        <f t="shared" ref="I146:I156" si="42">("9")</f>
        <v>9</v>
      </c>
      <c r="J146" t="str">
        <f t="shared" ref="J146:J156" si="43">("WEMMEL PLUS!")</f>
        <v>WEMMEL PLUS!</v>
      </c>
      <c r="K146">
        <v>462</v>
      </c>
      <c r="L146">
        <v>1162</v>
      </c>
      <c r="M146">
        <v>1624</v>
      </c>
      <c r="N146">
        <v>3</v>
      </c>
      <c r="O146" t="str">
        <f>("1")</f>
        <v>1</v>
      </c>
      <c r="P146" t="str">
        <f>("Rapaille-De Ridder Arlette")</f>
        <v>Rapaille-De Ridder Arlette</v>
      </c>
      <c r="Q146">
        <v>393</v>
      </c>
      <c r="R146">
        <v>2</v>
      </c>
    </row>
    <row r="147" spans="1:19" x14ac:dyDescent="0.3">
      <c r="A147" t="s">
        <v>1</v>
      </c>
      <c r="B147" s="1">
        <v>45578</v>
      </c>
      <c r="C147" t="str">
        <f t="shared" si="38"/>
        <v>23102</v>
      </c>
      <c r="D147" t="s">
        <v>2</v>
      </c>
      <c r="E147" t="str">
        <f t="shared" si="39"/>
        <v>11</v>
      </c>
      <c r="F147">
        <v>11547</v>
      </c>
      <c r="G147">
        <v>6252</v>
      </c>
      <c r="H147">
        <v>462</v>
      </c>
      <c r="I147" t="str">
        <f t="shared" si="42"/>
        <v>9</v>
      </c>
      <c r="J147" t="str">
        <f t="shared" si="43"/>
        <v>WEMMEL PLUS!</v>
      </c>
      <c r="K147">
        <v>462</v>
      </c>
      <c r="L147">
        <v>1162</v>
      </c>
      <c r="M147">
        <v>1624</v>
      </c>
      <c r="N147">
        <v>3</v>
      </c>
      <c r="O147" t="str">
        <f>("2")</f>
        <v>2</v>
      </c>
      <c r="P147" t="str">
        <f>("Desmet Kevin")</f>
        <v>Desmet Kevin</v>
      </c>
      <c r="Q147">
        <v>163</v>
      </c>
      <c r="S147">
        <v>3</v>
      </c>
    </row>
    <row r="148" spans="1:19" x14ac:dyDescent="0.3">
      <c r="A148" t="s">
        <v>1</v>
      </c>
      <c r="B148" s="1">
        <v>45578</v>
      </c>
      <c r="C148" t="str">
        <f t="shared" si="38"/>
        <v>23102</v>
      </c>
      <c r="D148" t="s">
        <v>2</v>
      </c>
      <c r="E148" t="str">
        <f t="shared" si="39"/>
        <v>11</v>
      </c>
      <c r="F148">
        <v>11547</v>
      </c>
      <c r="G148">
        <v>6252</v>
      </c>
      <c r="H148">
        <v>462</v>
      </c>
      <c r="I148" t="str">
        <f t="shared" si="42"/>
        <v>9</v>
      </c>
      <c r="J148" t="str">
        <f t="shared" si="43"/>
        <v>WEMMEL PLUS!</v>
      </c>
      <c r="K148">
        <v>462</v>
      </c>
      <c r="L148">
        <v>1162</v>
      </c>
      <c r="M148">
        <v>1624</v>
      </c>
      <c r="N148">
        <v>3</v>
      </c>
      <c r="O148" t="str">
        <f>("3")</f>
        <v>3</v>
      </c>
      <c r="P148" t="str">
        <f>("Van Acker-Verbelen Mireille")</f>
        <v>Van Acker-Verbelen Mireille</v>
      </c>
      <c r="Q148">
        <v>164</v>
      </c>
      <c r="S148">
        <v>2</v>
      </c>
    </row>
    <row r="149" spans="1:19" x14ac:dyDescent="0.3">
      <c r="A149" t="s">
        <v>1</v>
      </c>
      <c r="B149" s="1">
        <v>45578</v>
      </c>
      <c r="C149" t="str">
        <f t="shared" si="38"/>
        <v>23102</v>
      </c>
      <c r="D149" t="s">
        <v>2</v>
      </c>
      <c r="E149" t="str">
        <f t="shared" si="39"/>
        <v>11</v>
      </c>
      <c r="F149">
        <v>11547</v>
      </c>
      <c r="G149">
        <v>6252</v>
      </c>
      <c r="H149">
        <v>462</v>
      </c>
      <c r="I149" t="str">
        <f t="shared" si="42"/>
        <v>9</v>
      </c>
      <c r="J149" t="str">
        <f t="shared" si="43"/>
        <v>WEMMEL PLUS!</v>
      </c>
      <c r="K149">
        <v>462</v>
      </c>
      <c r="L149">
        <v>1162</v>
      </c>
      <c r="M149">
        <v>1624</v>
      </c>
      <c r="N149">
        <v>3</v>
      </c>
      <c r="O149" t="str">
        <f>("4")</f>
        <v>4</v>
      </c>
      <c r="P149" t="str">
        <f>("Vervacke Jean-Michel")</f>
        <v>Vervacke Jean-Michel</v>
      </c>
      <c r="Q149">
        <v>76</v>
      </c>
      <c r="S149">
        <v>6</v>
      </c>
    </row>
    <row r="150" spans="1:19" x14ac:dyDescent="0.3">
      <c r="A150" t="s">
        <v>1</v>
      </c>
      <c r="B150" s="1">
        <v>45578</v>
      </c>
      <c r="C150" t="str">
        <f t="shared" si="38"/>
        <v>23102</v>
      </c>
      <c r="D150" t="s">
        <v>2</v>
      </c>
      <c r="E150" t="str">
        <f t="shared" si="39"/>
        <v>11</v>
      </c>
      <c r="F150">
        <v>11547</v>
      </c>
      <c r="G150">
        <v>6252</v>
      </c>
      <c r="H150">
        <v>462</v>
      </c>
      <c r="I150" t="str">
        <f t="shared" si="42"/>
        <v>9</v>
      </c>
      <c r="J150" t="str">
        <f t="shared" si="43"/>
        <v>WEMMEL PLUS!</v>
      </c>
      <c r="K150">
        <v>462</v>
      </c>
      <c r="L150">
        <v>1162</v>
      </c>
      <c r="M150">
        <v>1624</v>
      </c>
      <c r="N150">
        <v>3</v>
      </c>
      <c r="O150" t="str">
        <f>("5")</f>
        <v>5</v>
      </c>
      <c r="P150" t="str">
        <f>("Hermann Géraldine")</f>
        <v>Hermann Géraldine</v>
      </c>
      <c r="Q150">
        <v>178</v>
      </c>
      <c r="S150">
        <v>1</v>
      </c>
    </row>
    <row r="151" spans="1:19" x14ac:dyDescent="0.3">
      <c r="A151" t="s">
        <v>1</v>
      </c>
      <c r="B151" s="1">
        <v>45578</v>
      </c>
      <c r="C151" t="str">
        <f t="shared" si="38"/>
        <v>23102</v>
      </c>
      <c r="D151" t="s">
        <v>2</v>
      </c>
      <c r="E151" t="str">
        <f t="shared" si="39"/>
        <v>11</v>
      </c>
      <c r="F151">
        <v>11547</v>
      </c>
      <c r="G151">
        <v>6252</v>
      </c>
      <c r="H151">
        <v>462</v>
      </c>
      <c r="I151" t="str">
        <f t="shared" si="42"/>
        <v>9</v>
      </c>
      <c r="J151" t="str">
        <f t="shared" si="43"/>
        <v>WEMMEL PLUS!</v>
      </c>
      <c r="K151">
        <v>462</v>
      </c>
      <c r="L151">
        <v>1162</v>
      </c>
      <c r="M151">
        <v>1624</v>
      </c>
      <c r="N151">
        <v>3</v>
      </c>
      <c r="O151" t="str">
        <f>("6")</f>
        <v>6</v>
      </c>
      <c r="P151" t="str">
        <f>("Aydin Faruk")</f>
        <v>Aydin Faruk</v>
      </c>
      <c r="Q151">
        <v>248</v>
      </c>
      <c r="R151">
        <v>3</v>
      </c>
    </row>
    <row r="152" spans="1:19" x14ac:dyDescent="0.3">
      <c r="A152" t="s">
        <v>1</v>
      </c>
      <c r="B152" s="1">
        <v>45578</v>
      </c>
      <c r="C152" t="str">
        <f t="shared" si="38"/>
        <v>23102</v>
      </c>
      <c r="D152" t="s">
        <v>2</v>
      </c>
      <c r="E152" t="str">
        <f t="shared" si="39"/>
        <v>11</v>
      </c>
      <c r="F152">
        <v>11547</v>
      </c>
      <c r="G152">
        <v>6252</v>
      </c>
      <c r="H152">
        <v>462</v>
      </c>
      <c r="I152" t="str">
        <f t="shared" si="42"/>
        <v>9</v>
      </c>
      <c r="J152" t="str">
        <f t="shared" si="43"/>
        <v>WEMMEL PLUS!</v>
      </c>
      <c r="K152">
        <v>462</v>
      </c>
      <c r="L152">
        <v>1162</v>
      </c>
      <c r="M152">
        <v>1624</v>
      </c>
      <c r="N152">
        <v>3</v>
      </c>
      <c r="O152" t="str">
        <f>("7")</f>
        <v>7</v>
      </c>
      <c r="P152" t="str">
        <f>("Mombeek Thierry")</f>
        <v>Mombeek Thierry</v>
      </c>
      <c r="Q152">
        <v>92</v>
      </c>
      <c r="S152">
        <v>5</v>
      </c>
    </row>
    <row r="153" spans="1:19" x14ac:dyDescent="0.3">
      <c r="A153" t="s">
        <v>1</v>
      </c>
      <c r="B153" s="1">
        <v>45578</v>
      </c>
      <c r="C153" t="str">
        <f t="shared" si="38"/>
        <v>23102</v>
      </c>
      <c r="D153" t="s">
        <v>2</v>
      </c>
      <c r="E153" t="str">
        <f t="shared" si="39"/>
        <v>11</v>
      </c>
      <c r="F153">
        <v>11547</v>
      </c>
      <c r="G153">
        <v>6252</v>
      </c>
      <c r="H153">
        <v>462</v>
      </c>
      <c r="I153" t="str">
        <f t="shared" si="42"/>
        <v>9</v>
      </c>
      <c r="J153" t="str">
        <f t="shared" si="43"/>
        <v>WEMMEL PLUS!</v>
      </c>
      <c r="K153">
        <v>462</v>
      </c>
      <c r="L153">
        <v>1162</v>
      </c>
      <c r="M153">
        <v>1624</v>
      </c>
      <c r="N153">
        <v>3</v>
      </c>
      <c r="O153" t="str">
        <f>("8")</f>
        <v>8</v>
      </c>
      <c r="P153" t="str">
        <f>("De Mesmaeker Marie-jeanne")</f>
        <v>De Mesmaeker Marie-jeanne</v>
      </c>
      <c r="Q153">
        <v>97</v>
      </c>
      <c r="S153">
        <v>4</v>
      </c>
    </row>
    <row r="154" spans="1:19" x14ac:dyDescent="0.3">
      <c r="A154" t="s">
        <v>1</v>
      </c>
      <c r="B154" s="1">
        <v>45578</v>
      </c>
      <c r="C154" t="str">
        <f t="shared" si="38"/>
        <v>23102</v>
      </c>
      <c r="D154" t="s">
        <v>2</v>
      </c>
      <c r="E154" t="str">
        <f t="shared" si="39"/>
        <v>11</v>
      </c>
      <c r="F154">
        <v>11547</v>
      </c>
      <c r="G154">
        <v>6252</v>
      </c>
      <c r="H154">
        <v>462</v>
      </c>
      <c r="I154" t="str">
        <f t="shared" si="42"/>
        <v>9</v>
      </c>
      <c r="J154" t="str">
        <f t="shared" si="43"/>
        <v>WEMMEL PLUS!</v>
      </c>
      <c r="K154">
        <v>462</v>
      </c>
      <c r="L154">
        <v>1162</v>
      </c>
      <c r="M154">
        <v>1624</v>
      </c>
      <c r="N154">
        <v>3</v>
      </c>
      <c r="O154" t="str">
        <f>("9")</f>
        <v>9</v>
      </c>
      <c r="P154" t="str">
        <f>("Maeterlinck Michel")</f>
        <v>Maeterlinck Michel</v>
      </c>
      <c r="Q154">
        <v>55</v>
      </c>
      <c r="S154">
        <v>8</v>
      </c>
    </row>
    <row r="155" spans="1:19" x14ac:dyDescent="0.3">
      <c r="A155" t="s">
        <v>1</v>
      </c>
      <c r="B155" s="1">
        <v>45578</v>
      </c>
      <c r="C155" t="str">
        <f t="shared" si="38"/>
        <v>23102</v>
      </c>
      <c r="D155" t="s">
        <v>2</v>
      </c>
      <c r="E155" t="str">
        <f t="shared" si="39"/>
        <v>11</v>
      </c>
      <c r="F155">
        <v>11547</v>
      </c>
      <c r="G155">
        <v>6252</v>
      </c>
      <c r="H155">
        <v>462</v>
      </c>
      <c r="I155" t="str">
        <f t="shared" si="42"/>
        <v>9</v>
      </c>
      <c r="J155" t="str">
        <f t="shared" si="43"/>
        <v>WEMMEL PLUS!</v>
      </c>
      <c r="K155">
        <v>462</v>
      </c>
      <c r="L155">
        <v>1162</v>
      </c>
      <c r="M155">
        <v>1624</v>
      </c>
      <c r="N155">
        <v>3</v>
      </c>
      <c r="O155" t="str">
        <f>("10")</f>
        <v>10</v>
      </c>
      <c r="P155" t="str">
        <f>("Bardèche Jean Louis")</f>
        <v>Bardèche Jean Louis</v>
      </c>
      <c r="Q155">
        <v>63</v>
      </c>
      <c r="S155">
        <v>7</v>
      </c>
    </row>
    <row r="156" spans="1:19" x14ac:dyDescent="0.3">
      <c r="A156" t="s">
        <v>1</v>
      </c>
      <c r="B156" s="1">
        <v>45578</v>
      </c>
      <c r="C156" t="str">
        <f t="shared" si="38"/>
        <v>23102</v>
      </c>
      <c r="D156" t="s">
        <v>2</v>
      </c>
      <c r="E156" t="str">
        <f t="shared" si="39"/>
        <v>11</v>
      </c>
      <c r="F156">
        <v>11547</v>
      </c>
      <c r="G156">
        <v>6252</v>
      </c>
      <c r="H156">
        <v>462</v>
      </c>
      <c r="I156" t="str">
        <f t="shared" si="42"/>
        <v>9</v>
      </c>
      <c r="J156" t="str">
        <f t="shared" si="43"/>
        <v>WEMMEL PLUS!</v>
      </c>
      <c r="K156">
        <v>462</v>
      </c>
      <c r="L156">
        <v>1162</v>
      </c>
      <c r="M156">
        <v>1624</v>
      </c>
      <c r="N156">
        <v>3</v>
      </c>
      <c r="O156" t="str">
        <f>("11")</f>
        <v>11</v>
      </c>
      <c r="P156" t="str">
        <f>("Andries-White Jane")</f>
        <v>Andries-White Jane</v>
      </c>
      <c r="Q156">
        <v>399</v>
      </c>
      <c r="R156">
        <v>1</v>
      </c>
    </row>
    <row r="157" spans="1:19" x14ac:dyDescent="0.3">
      <c r="A157" t="s">
        <v>1</v>
      </c>
      <c r="B157" s="1">
        <v>45578</v>
      </c>
      <c r="C157" t="str">
        <f t="shared" si="38"/>
        <v>23102</v>
      </c>
      <c r="D157" t="s">
        <v>2</v>
      </c>
      <c r="E157" t="str">
        <f t="shared" si="39"/>
        <v>11</v>
      </c>
      <c r="F157">
        <v>11547</v>
      </c>
      <c r="G157">
        <v>6252</v>
      </c>
      <c r="H157">
        <v>462</v>
      </c>
      <c r="I157" t="str">
        <f t="shared" ref="I157:I167" si="44">("10")</f>
        <v>10</v>
      </c>
      <c r="J157" t="str">
        <f t="shared" ref="J157:J167" si="45">("IC-GB")</f>
        <v>IC-GB</v>
      </c>
      <c r="K157">
        <v>484</v>
      </c>
      <c r="L157">
        <v>1194</v>
      </c>
      <c r="M157">
        <v>1678</v>
      </c>
      <c r="N157">
        <v>3</v>
      </c>
      <c r="O157" t="str">
        <f>("1")</f>
        <v>1</v>
      </c>
      <c r="P157" t="str">
        <f>("Noltincx Didier")</f>
        <v>Noltincx Didier</v>
      </c>
      <c r="Q157">
        <v>505</v>
      </c>
      <c r="R157">
        <v>1</v>
      </c>
    </row>
    <row r="158" spans="1:19" x14ac:dyDescent="0.3">
      <c r="A158" t="s">
        <v>1</v>
      </c>
      <c r="B158" s="1">
        <v>45578</v>
      </c>
      <c r="C158" t="str">
        <f t="shared" si="38"/>
        <v>23102</v>
      </c>
      <c r="D158" t="s">
        <v>2</v>
      </c>
      <c r="E158" t="str">
        <f t="shared" si="39"/>
        <v>11</v>
      </c>
      <c r="F158">
        <v>11547</v>
      </c>
      <c r="G158">
        <v>6252</v>
      </c>
      <c r="H158">
        <v>462</v>
      </c>
      <c r="I158" t="str">
        <f t="shared" si="44"/>
        <v>10</v>
      </c>
      <c r="J158" t="str">
        <f t="shared" si="45"/>
        <v>IC-GB</v>
      </c>
      <c r="K158">
        <v>484</v>
      </c>
      <c r="L158">
        <v>1194</v>
      </c>
      <c r="M158">
        <v>1678</v>
      </c>
      <c r="N158">
        <v>3</v>
      </c>
      <c r="O158" t="str">
        <f>("2")</f>
        <v>2</v>
      </c>
      <c r="P158" t="str">
        <f>("Mertens Cindy")</f>
        <v>Mertens Cindy</v>
      </c>
      <c r="Q158">
        <v>268</v>
      </c>
      <c r="R158">
        <v>2</v>
      </c>
    </row>
    <row r="159" spans="1:19" x14ac:dyDescent="0.3">
      <c r="A159" t="s">
        <v>1</v>
      </c>
      <c r="B159" s="1">
        <v>45578</v>
      </c>
      <c r="C159" t="str">
        <f t="shared" si="38"/>
        <v>23102</v>
      </c>
      <c r="D159" t="s">
        <v>2</v>
      </c>
      <c r="E159" t="str">
        <f t="shared" si="39"/>
        <v>11</v>
      </c>
      <c r="F159">
        <v>11547</v>
      </c>
      <c r="G159">
        <v>6252</v>
      </c>
      <c r="H159">
        <v>462</v>
      </c>
      <c r="I159" t="str">
        <f t="shared" si="44"/>
        <v>10</v>
      </c>
      <c r="J159" t="str">
        <f t="shared" si="45"/>
        <v>IC-GB</v>
      </c>
      <c r="K159">
        <v>484</v>
      </c>
      <c r="L159">
        <v>1194</v>
      </c>
      <c r="M159">
        <v>1678</v>
      </c>
      <c r="N159">
        <v>3</v>
      </c>
      <c r="O159" t="str">
        <f>("3")</f>
        <v>3</v>
      </c>
      <c r="P159" t="str">
        <f>("Galluccio Roberto")</f>
        <v>Galluccio Roberto</v>
      </c>
      <c r="Q159">
        <v>114</v>
      </c>
      <c r="S159">
        <v>6</v>
      </c>
    </row>
    <row r="160" spans="1:19" x14ac:dyDescent="0.3">
      <c r="A160" t="s">
        <v>1</v>
      </c>
      <c r="B160" s="1">
        <v>45578</v>
      </c>
      <c r="C160" t="str">
        <f t="shared" si="38"/>
        <v>23102</v>
      </c>
      <c r="D160" t="s">
        <v>2</v>
      </c>
      <c r="E160" t="str">
        <f t="shared" si="39"/>
        <v>11</v>
      </c>
      <c r="F160">
        <v>11547</v>
      </c>
      <c r="G160">
        <v>6252</v>
      </c>
      <c r="H160">
        <v>462</v>
      </c>
      <c r="I160" t="str">
        <f t="shared" si="44"/>
        <v>10</v>
      </c>
      <c r="J160" t="str">
        <f t="shared" si="45"/>
        <v>IC-GB</v>
      </c>
      <c r="K160">
        <v>484</v>
      </c>
      <c r="L160">
        <v>1194</v>
      </c>
      <c r="M160">
        <v>1678</v>
      </c>
      <c r="N160">
        <v>3</v>
      </c>
      <c r="O160" t="str">
        <f>("4")</f>
        <v>4</v>
      </c>
      <c r="P160" t="str">
        <f>("Khamal Arbit Houda")</f>
        <v>Khamal Arbit Houda</v>
      </c>
      <c r="Q160">
        <v>215</v>
      </c>
      <c r="S160">
        <v>1</v>
      </c>
    </row>
    <row r="161" spans="1:19" x14ac:dyDescent="0.3">
      <c r="A161" t="s">
        <v>1</v>
      </c>
      <c r="B161" s="1">
        <v>45578</v>
      </c>
      <c r="C161" t="str">
        <f t="shared" si="38"/>
        <v>23102</v>
      </c>
      <c r="D161" t="s">
        <v>2</v>
      </c>
      <c r="E161" t="str">
        <f t="shared" si="39"/>
        <v>11</v>
      </c>
      <c r="F161">
        <v>11547</v>
      </c>
      <c r="G161">
        <v>6252</v>
      </c>
      <c r="H161">
        <v>462</v>
      </c>
      <c r="I161" t="str">
        <f t="shared" si="44"/>
        <v>10</v>
      </c>
      <c r="J161" t="str">
        <f t="shared" si="45"/>
        <v>IC-GB</v>
      </c>
      <c r="K161">
        <v>484</v>
      </c>
      <c r="L161">
        <v>1194</v>
      </c>
      <c r="M161">
        <v>1678</v>
      </c>
      <c r="N161">
        <v>3</v>
      </c>
      <c r="O161" t="str">
        <f>("5")</f>
        <v>5</v>
      </c>
      <c r="P161" t="str">
        <f>("Schollen Guido")</f>
        <v>Schollen Guido</v>
      </c>
      <c r="Q161">
        <v>255</v>
      </c>
      <c r="R161">
        <v>3</v>
      </c>
    </row>
    <row r="162" spans="1:19" x14ac:dyDescent="0.3">
      <c r="A162" t="s">
        <v>1</v>
      </c>
      <c r="B162" s="1">
        <v>45578</v>
      </c>
      <c r="C162" t="str">
        <f t="shared" si="38"/>
        <v>23102</v>
      </c>
      <c r="D162" t="s">
        <v>2</v>
      </c>
      <c r="E162" t="str">
        <f t="shared" si="39"/>
        <v>11</v>
      </c>
      <c r="F162">
        <v>11547</v>
      </c>
      <c r="G162">
        <v>6252</v>
      </c>
      <c r="H162">
        <v>462</v>
      </c>
      <c r="I162" t="str">
        <f t="shared" si="44"/>
        <v>10</v>
      </c>
      <c r="J162" t="str">
        <f t="shared" si="45"/>
        <v>IC-GB</v>
      </c>
      <c r="K162">
        <v>484</v>
      </c>
      <c r="L162">
        <v>1194</v>
      </c>
      <c r="M162">
        <v>1678</v>
      </c>
      <c r="N162">
        <v>3</v>
      </c>
      <c r="O162" t="str">
        <f>("6")</f>
        <v>6</v>
      </c>
      <c r="P162" t="str">
        <f>("Ceuppens Michaëlla")</f>
        <v>Ceuppens Michaëlla</v>
      </c>
      <c r="Q162">
        <v>95</v>
      </c>
      <c r="S162">
        <v>8</v>
      </c>
    </row>
    <row r="163" spans="1:19" x14ac:dyDescent="0.3">
      <c r="A163" t="s">
        <v>1</v>
      </c>
      <c r="B163" s="1">
        <v>45578</v>
      </c>
      <c r="C163" t="str">
        <f t="shared" si="38"/>
        <v>23102</v>
      </c>
      <c r="D163" t="s">
        <v>2</v>
      </c>
      <c r="E163" t="str">
        <f t="shared" si="39"/>
        <v>11</v>
      </c>
      <c r="F163">
        <v>11547</v>
      </c>
      <c r="G163">
        <v>6252</v>
      </c>
      <c r="H163">
        <v>462</v>
      </c>
      <c r="I163" t="str">
        <f t="shared" si="44"/>
        <v>10</v>
      </c>
      <c r="J163" t="str">
        <f t="shared" si="45"/>
        <v>IC-GB</v>
      </c>
      <c r="K163">
        <v>484</v>
      </c>
      <c r="L163">
        <v>1194</v>
      </c>
      <c r="M163">
        <v>1678</v>
      </c>
      <c r="N163">
        <v>3</v>
      </c>
      <c r="O163" t="str">
        <f>("7")</f>
        <v>7</v>
      </c>
      <c r="P163" t="str">
        <f>("Stubbe Alain")</f>
        <v>Stubbe Alain</v>
      </c>
      <c r="Q163">
        <v>142</v>
      </c>
      <c r="S163">
        <v>3</v>
      </c>
    </row>
    <row r="164" spans="1:19" x14ac:dyDescent="0.3">
      <c r="A164" t="s">
        <v>1</v>
      </c>
      <c r="B164" s="1">
        <v>45578</v>
      </c>
      <c r="C164" t="str">
        <f t="shared" si="38"/>
        <v>23102</v>
      </c>
      <c r="D164" t="s">
        <v>2</v>
      </c>
      <c r="E164" t="str">
        <f t="shared" si="39"/>
        <v>11</v>
      </c>
      <c r="F164">
        <v>11547</v>
      </c>
      <c r="G164">
        <v>6252</v>
      </c>
      <c r="H164">
        <v>462</v>
      </c>
      <c r="I164" t="str">
        <f t="shared" si="44"/>
        <v>10</v>
      </c>
      <c r="J164" t="str">
        <f t="shared" si="45"/>
        <v>IC-GB</v>
      </c>
      <c r="K164">
        <v>484</v>
      </c>
      <c r="L164">
        <v>1194</v>
      </c>
      <c r="M164">
        <v>1678</v>
      </c>
      <c r="N164">
        <v>3</v>
      </c>
      <c r="O164" t="str">
        <f>("8")</f>
        <v>8</v>
      </c>
      <c r="P164" t="str">
        <f>("Decoster Sandrine")</f>
        <v>Decoster Sandrine</v>
      </c>
      <c r="Q164">
        <v>132</v>
      </c>
      <c r="S164">
        <v>4</v>
      </c>
    </row>
    <row r="165" spans="1:19" x14ac:dyDescent="0.3">
      <c r="A165" t="s">
        <v>1</v>
      </c>
      <c r="B165" s="1">
        <v>45578</v>
      </c>
      <c r="C165" t="str">
        <f t="shared" si="38"/>
        <v>23102</v>
      </c>
      <c r="D165" t="s">
        <v>2</v>
      </c>
      <c r="E165" t="str">
        <f t="shared" si="39"/>
        <v>11</v>
      </c>
      <c r="F165">
        <v>11547</v>
      </c>
      <c r="G165">
        <v>6252</v>
      </c>
      <c r="H165">
        <v>462</v>
      </c>
      <c r="I165" t="str">
        <f t="shared" si="44"/>
        <v>10</v>
      </c>
      <c r="J165" t="str">
        <f t="shared" si="45"/>
        <v>IC-GB</v>
      </c>
      <c r="K165">
        <v>484</v>
      </c>
      <c r="L165">
        <v>1194</v>
      </c>
      <c r="M165">
        <v>1678</v>
      </c>
      <c r="N165">
        <v>3</v>
      </c>
      <c r="O165" t="str">
        <f>("9")</f>
        <v>9</v>
      </c>
      <c r="P165" t="str">
        <f>("Durieux Stéphanie")</f>
        <v>Durieux Stéphanie</v>
      </c>
      <c r="Q165">
        <v>98</v>
      </c>
      <c r="S165">
        <v>7</v>
      </c>
    </row>
    <row r="166" spans="1:19" x14ac:dyDescent="0.3">
      <c r="A166" t="s">
        <v>1</v>
      </c>
      <c r="B166" s="1">
        <v>45578</v>
      </c>
      <c r="C166" t="str">
        <f t="shared" si="38"/>
        <v>23102</v>
      </c>
      <c r="D166" t="s">
        <v>2</v>
      </c>
      <c r="E166" t="str">
        <f t="shared" si="39"/>
        <v>11</v>
      </c>
      <c r="F166">
        <v>11547</v>
      </c>
      <c r="G166">
        <v>6252</v>
      </c>
      <c r="H166">
        <v>462</v>
      </c>
      <c r="I166" t="str">
        <f t="shared" si="44"/>
        <v>10</v>
      </c>
      <c r="J166" t="str">
        <f t="shared" si="45"/>
        <v>IC-GB</v>
      </c>
      <c r="K166">
        <v>484</v>
      </c>
      <c r="L166">
        <v>1194</v>
      </c>
      <c r="M166">
        <v>1678</v>
      </c>
      <c r="N166">
        <v>3</v>
      </c>
      <c r="O166" t="str">
        <f>("10")</f>
        <v>10</v>
      </c>
      <c r="P166" t="str">
        <f>("Van Ingelgem Didier")</f>
        <v>Van Ingelgem Didier</v>
      </c>
      <c r="Q166">
        <v>121</v>
      </c>
      <c r="S166">
        <v>5</v>
      </c>
    </row>
    <row r="167" spans="1:19" x14ac:dyDescent="0.3">
      <c r="A167" t="s">
        <v>1</v>
      </c>
      <c r="B167" s="1">
        <v>45578</v>
      </c>
      <c r="C167" t="str">
        <f t="shared" si="38"/>
        <v>23102</v>
      </c>
      <c r="D167" t="s">
        <v>2</v>
      </c>
      <c r="E167" t="str">
        <f t="shared" si="39"/>
        <v>11</v>
      </c>
      <c r="F167">
        <v>11547</v>
      </c>
      <c r="G167">
        <v>6252</v>
      </c>
      <c r="H167">
        <v>462</v>
      </c>
      <c r="I167" t="str">
        <f t="shared" si="44"/>
        <v>10</v>
      </c>
      <c r="J167" t="str">
        <f t="shared" si="45"/>
        <v>IC-GB</v>
      </c>
      <c r="K167">
        <v>484</v>
      </c>
      <c r="L167">
        <v>1194</v>
      </c>
      <c r="M167">
        <v>1678</v>
      </c>
      <c r="N167">
        <v>3</v>
      </c>
      <c r="O167" t="str">
        <f>("11")</f>
        <v>11</v>
      </c>
      <c r="P167" t="str">
        <f>("Carpriau Vanessa")</f>
        <v>Carpriau Vanessa</v>
      </c>
      <c r="Q167">
        <v>211</v>
      </c>
      <c r="S167">
        <v>2</v>
      </c>
    </row>
    <row r="168" spans="1:19" x14ac:dyDescent="0.3">
      <c r="A168" t="s">
        <v>1</v>
      </c>
      <c r="B168" s="1">
        <v>45578</v>
      </c>
      <c r="C168" t="str">
        <f t="shared" ref="C168:C194" si="46">("23103")</f>
        <v>23103</v>
      </c>
      <c r="D168" t="s">
        <v>0</v>
      </c>
      <c r="E168" t="str">
        <f t="shared" ref="E168:E194" si="47">("9")</f>
        <v>9</v>
      </c>
      <c r="F168">
        <v>9092</v>
      </c>
      <c r="G168">
        <v>5973</v>
      </c>
      <c r="H168">
        <v>263</v>
      </c>
      <c r="I168" t="str">
        <f t="shared" ref="I168:I176" si="48">("8")</f>
        <v>8</v>
      </c>
      <c r="J168" t="str">
        <f t="shared" ref="J168:J176" si="49">("WOplus")</f>
        <v>WOplus</v>
      </c>
      <c r="K168">
        <v>204</v>
      </c>
      <c r="L168">
        <v>389</v>
      </c>
      <c r="M168">
        <v>593</v>
      </c>
      <c r="N168">
        <v>0</v>
      </c>
      <c r="O168" t="str">
        <f>("1")</f>
        <v>1</v>
      </c>
      <c r="P168" t="str">
        <f>("De Nil Etienne")</f>
        <v>De Nil Etienne</v>
      </c>
      <c r="Q168">
        <v>115</v>
      </c>
    </row>
    <row r="169" spans="1:19" x14ac:dyDescent="0.3">
      <c r="A169" t="s">
        <v>1</v>
      </c>
      <c r="B169" s="1">
        <v>45578</v>
      </c>
      <c r="C169" t="str">
        <f t="shared" si="46"/>
        <v>23103</v>
      </c>
      <c r="D169" t="s">
        <v>0</v>
      </c>
      <c r="E169" t="str">
        <f t="shared" si="47"/>
        <v>9</v>
      </c>
      <c r="F169">
        <v>9092</v>
      </c>
      <c r="G169">
        <v>5973</v>
      </c>
      <c r="H169">
        <v>263</v>
      </c>
      <c r="I169" t="str">
        <f t="shared" si="48"/>
        <v>8</v>
      </c>
      <c r="J169" t="str">
        <f t="shared" si="49"/>
        <v>WOplus</v>
      </c>
      <c r="K169">
        <v>204</v>
      </c>
      <c r="L169">
        <v>389</v>
      </c>
      <c r="M169">
        <v>593</v>
      </c>
      <c r="N169">
        <v>0</v>
      </c>
      <c r="O169" t="str">
        <f>("2")</f>
        <v>2</v>
      </c>
      <c r="P169" t="str">
        <f>("De Bruyn Mathilde")</f>
        <v>De Bruyn Mathilde</v>
      </c>
      <c r="Q169">
        <v>83</v>
      </c>
    </row>
    <row r="170" spans="1:19" x14ac:dyDescent="0.3">
      <c r="A170" t="s">
        <v>1</v>
      </c>
      <c r="B170" s="1">
        <v>45578</v>
      </c>
      <c r="C170" t="str">
        <f t="shared" si="46"/>
        <v>23103</v>
      </c>
      <c r="D170" t="s">
        <v>0</v>
      </c>
      <c r="E170" t="str">
        <f t="shared" si="47"/>
        <v>9</v>
      </c>
      <c r="F170">
        <v>9092</v>
      </c>
      <c r="G170">
        <v>5973</v>
      </c>
      <c r="H170">
        <v>263</v>
      </c>
      <c r="I170" t="str">
        <f t="shared" si="48"/>
        <v>8</v>
      </c>
      <c r="J170" t="str">
        <f t="shared" si="49"/>
        <v>WOplus</v>
      </c>
      <c r="K170">
        <v>204</v>
      </c>
      <c r="L170">
        <v>389</v>
      </c>
      <c r="M170">
        <v>593</v>
      </c>
      <c r="N170">
        <v>0</v>
      </c>
      <c r="O170" t="str">
        <f>("3")</f>
        <v>3</v>
      </c>
      <c r="P170" t="str">
        <f>("Vandervorst Rudi")</f>
        <v>Vandervorst Rudi</v>
      </c>
      <c r="Q170">
        <v>132</v>
      </c>
    </row>
    <row r="171" spans="1:19" x14ac:dyDescent="0.3">
      <c r="A171" t="s">
        <v>1</v>
      </c>
      <c r="B171" s="1">
        <v>45578</v>
      </c>
      <c r="C171" t="str">
        <f t="shared" si="46"/>
        <v>23103</v>
      </c>
      <c r="D171" t="s">
        <v>0</v>
      </c>
      <c r="E171" t="str">
        <f t="shared" si="47"/>
        <v>9</v>
      </c>
      <c r="F171">
        <v>9092</v>
      </c>
      <c r="G171">
        <v>5973</v>
      </c>
      <c r="H171">
        <v>263</v>
      </c>
      <c r="I171" t="str">
        <f t="shared" si="48"/>
        <v>8</v>
      </c>
      <c r="J171" t="str">
        <f t="shared" si="49"/>
        <v>WOplus</v>
      </c>
      <c r="K171">
        <v>204</v>
      </c>
      <c r="L171">
        <v>389</v>
      </c>
      <c r="M171">
        <v>593</v>
      </c>
      <c r="N171">
        <v>0</v>
      </c>
      <c r="O171" t="str">
        <f>("4")</f>
        <v>4</v>
      </c>
      <c r="P171" t="str">
        <f>("Swalus Fabienne")</f>
        <v>Swalus Fabienne</v>
      </c>
      <c r="Q171">
        <v>94</v>
      </c>
    </row>
    <row r="172" spans="1:19" x14ac:dyDescent="0.3">
      <c r="A172" t="s">
        <v>1</v>
      </c>
      <c r="B172" s="1">
        <v>45578</v>
      </c>
      <c r="C172" t="str">
        <f t="shared" si="46"/>
        <v>23103</v>
      </c>
      <c r="D172" t="s">
        <v>0</v>
      </c>
      <c r="E172" t="str">
        <f t="shared" si="47"/>
        <v>9</v>
      </c>
      <c r="F172">
        <v>9092</v>
      </c>
      <c r="G172">
        <v>5973</v>
      </c>
      <c r="H172">
        <v>263</v>
      </c>
      <c r="I172" t="str">
        <f t="shared" si="48"/>
        <v>8</v>
      </c>
      <c r="J172" t="str">
        <f t="shared" si="49"/>
        <v>WOplus</v>
      </c>
      <c r="K172">
        <v>204</v>
      </c>
      <c r="L172">
        <v>389</v>
      </c>
      <c r="M172">
        <v>593</v>
      </c>
      <c r="N172">
        <v>0</v>
      </c>
      <c r="O172" t="str">
        <f>("5")</f>
        <v>5</v>
      </c>
      <c r="P172" t="str">
        <f>("Pauwels Maddy")</f>
        <v>Pauwels Maddy</v>
      </c>
      <c r="Q172">
        <v>55</v>
      </c>
    </row>
    <row r="173" spans="1:19" x14ac:dyDescent="0.3">
      <c r="A173" t="s">
        <v>1</v>
      </c>
      <c r="B173" s="1">
        <v>45578</v>
      </c>
      <c r="C173" t="str">
        <f t="shared" si="46"/>
        <v>23103</v>
      </c>
      <c r="D173" t="s">
        <v>0</v>
      </c>
      <c r="E173" t="str">
        <f t="shared" si="47"/>
        <v>9</v>
      </c>
      <c r="F173">
        <v>9092</v>
      </c>
      <c r="G173">
        <v>5973</v>
      </c>
      <c r="H173">
        <v>263</v>
      </c>
      <c r="I173" t="str">
        <f t="shared" si="48"/>
        <v>8</v>
      </c>
      <c r="J173" t="str">
        <f t="shared" si="49"/>
        <v>WOplus</v>
      </c>
      <c r="K173">
        <v>204</v>
      </c>
      <c r="L173">
        <v>389</v>
      </c>
      <c r="M173">
        <v>593</v>
      </c>
      <c r="N173">
        <v>0</v>
      </c>
      <c r="O173" t="str">
        <f>("6")</f>
        <v>6</v>
      </c>
      <c r="P173" t="str">
        <f>("Wellens Rony")</f>
        <v>Wellens Rony</v>
      </c>
      <c r="Q173">
        <v>41</v>
      </c>
    </row>
    <row r="174" spans="1:19" x14ac:dyDescent="0.3">
      <c r="A174" t="s">
        <v>1</v>
      </c>
      <c r="B174" s="1">
        <v>45578</v>
      </c>
      <c r="C174" t="str">
        <f t="shared" si="46"/>
        <v>23103</v>
      </c>
      <c r="D174" t="s">
        <v>0</v>
      </c>
      <c r="E174" t="str">
        <f t="shared" si="47"/>
        <v>9</v>
      </c>
      <c r="F174">
        <v>9092</v>
      </c>
      <c r="G174">
        <v>5973</v>
      </c>
      <c r="H174">
        <v>263</v>
      </c>
      <c r="I174" t="str">
        <f t="shared" si="48"/>
        <v>8</v>
      </c>
      <c r="J174" t="str">
        <f t="shared" si="49"/>
        <v>WOplus</v>
      </c>
      <c r="K174">
        <v>204</v>
      </c>
      <c r="L174">
        <v>389</v>
      </c>
      <c r="M174">
        <v>593</v>
      </c>
      <c r="N174">
        <v>0</v>
      </c>
      <c r="O174" t="str">
        <f>("7")</f>
        <v>7</v>
      </c>
      <c r="P174" t="str">
        <f>("Verstraeten Nadia")</f>
        <v>Verstraeten Nadia</v>
      </c>
      <c r="Q174">
        <v>66</v>
      </c>
    </row>
    <row r="175" spans="1:19" x14ac:dyDescent="0.3">
      <c r="A175" t="s">
        <v>1</v>
      </c>
      <c r="B175" s="1">
        <v>45578</v>
      </c>
      <c r="C175" t="str">
        <f t="shared" si="46"/>
        <v>23103</v>
      </c>
      <c r="D175" t="s">
        <v>0</v>
      </c>
      <c r="E175" t="str">
        <f t="shared" si="47"/>
        <v>9</v>
      </c>
      <c r="F175">
        <v>9092</v>
      </c>
      <c r="G175">
        <v>5973</v>
      </c>
      <c r="H175">
        <v>263</v>
      </c>
      <c r="I175" t="str">
        <f t="shared" si="48"/>
        <v>8</v>
      </c>
      <c r="J175" t="str">
        <f t="shared" si="49"/>
        <v>WOplus</v>
      </c>
      <c r="K175">
        <v>204</v>
      </c>
      <c r="L175">
        <v>389</v>
      </c>
      <c r="M175">
        <v>593</v>
      </c>
      <c r="N175">
        <v>0</v>
      </c>
      <c r="O175" t="str">
        <f>("8")</f>
        <v>8</v>
      </c>
      <c r="P175" t="str">
        <f>("Erbuer John")</f>
        <v>Erbuer John</v>
      </c>
      <c r="Q175">
        <v>44</v>
      </c>
    </row>
    <row r="176" spans="1:19" x14ac:dyDescent="0.3">
      <c r="A176" t="s">
        <v>1</v>
      </c>
      <c r="B176" s="1">
        <v>45578</v>
      </c>
      <c r="C176" t="str">
        <f t="shared" si="46"/>
        <v>23103</v>
      </c>
      <c r="D176" t="s">
        <v>0</v>
      </c>
      <c r="E176" t="str">
        <f t="shared" si="47"/>
        <v>9</v>
      </c>
      <c r="F176">
        <v>9092</v>
      </c>
      <c r="G176">
        <v>5973</v>
      </c>
      <c r="H176">
        <v>263</v>
      </c>
      <c r="I176" t="str">
        <f t="shared" si="48"/>
        <v>8</v>
      </c>
      <c r="J176" t="str">
        <f t="shared" si="49"/>
        <v>WOplus</v>
      </c>
      <c r="K176">
        <v>204</v>
      </c>
      <c r="L176">
        <v>389</v>
      </c>
      <c r="M176">
        <v>593</v>
      </c>
      <c r="N176">
        <v>0</v>
      </c>
      <c r="O176" t="str">
        <f>("9")</f>
        <v>9</v>
      </c>
      <c r="P176" t="str">
        <f>("Vanderperren Ludwig")</f>
        <v>Vanderperren Ludwig</v>
      </c>
      <c r="Q176">
        <v>83</v>
      </c>
    </row>
    <row r="177" spans="1:19" x14ac:dyDescent="0.3">
      <c r="A177" t="s">
        <v>1</v>
      </c>
      <c r="B177" s="1">
        <v>45578</v>
      </c>
      <c r="C177" t="str">
        <f t="shared" si="46"/>
        <v>23103</v>
      </c>
      <c r="D177" t="s">
        <v>0</v>
      </c>
      <c r="E177" t="str">
        <f t="shared" si="47"/>
        <v>9</v>
      </c>
      <c r="F177">
        <v>9092</v>
      </c>
      <c r="G177">
        <v>5973</v>
      </c>
      <c r="H177">
        <v>263</v>
      </c>
      <c r="I177" t="str">
        <f t="shared" ref="I177:I185" si="50">("9")</f>
        <v>9</v>
      </c>
      <c r="J177" t="str">
        <f t="shared" ref="J177:J185" si="51">("LB Wezembeek-Oppem")</f>
        <v>LB Wezembeek-Oppem</v>
      </c>
      <c r="K177">
        <v>731</v>
      </c>
      <c r="L177">
        <v>1637</v>
      </c>
      <c r="M177">
        <v>2368</v>
      </c>
      <c r="N177">
        <v>4</v>
      </c>
      <c r="O177" t="str">
        <f>("1")</f>
        <v>1</v>
      </c>
      <c r="P177" t="str">
        <f>("Jaubert Murielle")</f>
        <v>Jaubert Murielle</v>
      </c>
      <c r="Q177">
        <v>860</v>
      </c>
      <c r="R177">
        <v>1</v>
      </c>
    </row>
    <row r="178" spans="1:19" x14ac:dyDescent="0.3">
      <c r="A178" t="s">
        <v>1</v>
      </c>
      <c r="B178" s="1">
        <v>45578</v>
      </c>
      <c r="C178" t="str">
        <f t="shared" si="46"/>
        <v>23103</v>
      </c>
      <c r="D178" t="s">
        <v>0</v>
      </c>
      <c r="E178" t="str">
        <f t="shared" si="47"/>
        <v>9</v>
      </c>
      <c r="F178">
        <v>9092</v>
      </c>
      <c r="G178">
        <v>5973</v>
      </c>
      <c r="H178">
        <v>263</v>
      </c>
      <c r="I178" t="str">
        <f t="shared" si="50"/>
        <v>9</v>
      </c>
      <c r="J178" t="str">
        <f t="shared" si="51"/>
        <v>LB Wezembeek-Oppem</v>
      </c>
      <c r="K178">
        <v>731</v>
      </c>
      <c r="L178">
        <v>1637</v>
      </c>
      <c r="M178">
        <v>2368</v>
      </c>
      <c r="N178">
        <v>4</v>
      </c>
      <c r="O178" t="str">
        <f>("2")</f>
        <v>2</v>
      </c>
      <c r="P178" t="str">
        <f>("Franck Alexandre")</f>
        <v>Franck Alexandre</v>
      </c>
      <c r="Q178">
        <v>163</v>
      </c>
      <c r="S178">
        <v>3</v>
      </c>
    </row>
    <row r="179" spans="1:19" x14ac:dyDescent="0.3">
      <c r="A179" t="s">
        <v>1</v>
      </c>
      <c r="B179" s="1">
        <v>45578</v>
      </c>
      <c r="C179" t="str">
        <f t="shared" si="46"/>
        <v>23103</v>
      </c>
      <c r="D179" t="s">
        <v>0</v>
      </c>
      <c r="E179" t="str">
        <f t="shared" si="47"/>
        <v>9</v>
      </c>
      <c r="F179">
        <v>9092</v>
      </c>
      <c r="G179">
        <v>5973</v>
      </c>
      <c r="H179">
        <v>263</v>
      </c>
      <c r="I179" t="str">
        <f t="shared" si="50"/>
        <v>9</v>
      </c>
      <c r="J179" t="str">
        <f t="shared" si="51"/>
        <v>LB Wezembeek-Oppem</v>
      </c>
      <c r="K179">
        <v>731</v>
      </c>
      <c r="L179">
        <v>1637</v>
      </c>
      <c r="M179">
        <v>2368</v>
      </c>
      <c r="N179">
        <v>4</v>
      </c>
      <c r="O179" t="str">
        <f>("3")</f>
        <v>3</v>
      </c>
      <c r="P179" t="str">
        <f>("Goethals Isabelle")</f>
        <v>Goethals Isabelle</v>
      </c>
      <c r="Q179">
        <v>357</v>
      </c>
      <c r="R179">
        <v>2</v>
      </c>
    </row>
    <row r="180" spans="1:19" x14ac:dyDescent="0.3">
      <c r="A180" t="s">
        <v>1</v>
      </c>
      <c r="B180" s="1">
        <v>45578</v>
      </c>
      <c r="C180" t="str">
        <f t="shared" si="46"/>
        <v>23103</v>
      </c>
      <c r="D180" t="s">
        <v>0</v>
      </c>
      <c r="E180" t="str">
        <f t="shared" si="47"/>
        <v>9</v>
      </c>
      <c r="F180">
        <v>9092</v>
      </c>
      <c r="G180">
        <v>5973</v>
      </c>
      <c r="H180">
        <v>263</v>
      </c>
      <c r="I180" t="str">
        <f t="shared" si="50"/>
        <v>9</v>
      </c>
      <c r="J180" t="str">
        <f t="shared" si="51"/>
        <v>LB Wezembeek-Oppem</v>
      </c>
      <c r="K180">
        <v>731</v>
      </c>
      <c r="L180">
        <v>1637</v>
      </c>
      <c r="M180">
        <v>2368</v>
      </c>
      <c r="N180">
        <v>4</v>
      </c>
      <c r="O180" t="str">
        <f>("4")</f>
        <v>4</v>
      </c>
      <c r="P180" t="str">
        <f>("Sibille Charles-Antoine")</f>
        <v>Sibille Charles-Antoine</v>
      </c>
      <c r="Q180">
        <v>270</v>
      </c>
      <c r="R180">
        <v>3</v>
      </c>
    </row>
    <row r="181" spans="1:19" x14ac:dyDescent="0.3">
      <c r="A181" t="s">
        <v>1</v>
      </c>
      <c r="B181" s="1">
        <v>45578</v>
      </c>
      <c r="C181" t="str">
        <f t="shared" si="46"/>
        <v>23103</v>
      </c>
      <c r="D181" t="s">
        <v>0</v>
      </c>
      <c r="E181" t="str">
        <f t="shared" si="47"/>
        <v>9</v>
      </c>
      <c r="F181">
        <v>9092</v>
      </c>
      <c r="G181">
        <v>5973</v>
      </c>
      <c r="H181">
        <v>263</v>
      </c>
      <c r="I181" t="str">
        <f t="shared" si="50"/>
        <v>9</v>
      </c>
      <c r="J181" t="str">
        <f t="shared" si="51"/>
        <v>LB Wezembeek-Oppem</v>
      </c>
      <c r="K181">
        <v>731</v>
      </c>
      <c r="L181">
        <v>1637</v>
      </c>
      <c r="M181">
        <v>2368</v>
      </c>
      <c r="N181">
        <v>4</v>
      </c>
      <c r="O181" t="str">
        <f>("5")</f>
        <v>5</v>
      </c>
      <c r="P181" t="str">
        <f>("Tsiebos-Dinzey Nicole")</f>
        <v>Tsiebos-Dinzey Nicole</v>
      </c>
      <c r="Q181">
        <v>197</v>
      </c>
      <c r="S181">
        <v>2</v>
      </c>
    </row>
    <row r="182" spans="1:19" x14ac:dyDescent="0.3">
      <c r="A182" t="s">
        <v>1</v>
      </c>
      <c r="B182" s="1">
        <v>45578</v>
      </c>
      <c r="C182" t="str">
        <f t="shared" si="46"/>
        <v>23103</v>
      </c>
      <c r="D182" t="s">
        <v>0</v>
      </c>
      <c r="E182" t="str">
        <f t="shared" si="47"/>
        <v>9</v>
      </c>
      <c r="F182">
        <v>9092</v>
      </c>
      <c r="G182">
        <v>5973</v>
      </c>
      <c r="H182">
        <v>263</v>
      </c>
      <c r="I182" t="str">
        <f t="shared" si="50"/>
        <v>9</v>
      </c>
      <c r="J182" t="str">
        <f t="shared" si="51"/>
        <v>LB Wezembeek-Oppem</v>
      </c>
      <c r="K182">
        <v>731</v>
      </c>
      <c r="L182">
        <v>1637</v>
      </c>
      <c r="M182">
        <v>2368</v>
      </c>
      <c r="N182">
        <v>4</v>
      </c>
      <c r="O182" t="str">
        <f>("6")</f>
        <v>6</v>
      </c>
      <c r="P182" t="str">
        <f>("Degroide Nathanaël")</f>
        <v>Degroide Nathanaël</v>
      </c>
      <c r="Q182">
        <v>154</v>
      </c>
      <c r="S182">
        <v>5</v>
      </c>
    </row>
    <row r="183" spans="1:19" x14ac:dyDescent="0.3">
      <c r="A183" t="s">
        <v>1</v>
      </c>
      <c r="B183" s="1">
        <v>45578</v>
      </c>
      <c r="C183" t="str">
        <f t="shared" si="46"/>
        <v>23103</v>
      </c>
      <c r="D183" t="s">
        <v>0</v>
      </c>
      <c r="E183" t="str">
        <f t="shared" si="47"/>
        <v>9</v>
      </c>
      <c r="F183">
        <v>9092</v>
      </c>
      <c r="G183">
        <v>5973</v>
      </c>
      <c r="H183">
        <v>263</v>
      </c>
      <c r="I183" t="str">
        <f t="shared" si="50"/>
        <v>9</v>
      </c>
      <c r="J183" t="str">
        <f t="shared" si="51"/>
        <v>LB Wezembeek-Oppem</v>
      </c>
      <c r="K183">
        <v>731</v>
      </c>
      <c r="L183">
        <v>1637</v>
      </c>
      <c r="M183">
        <v>2368</v>
      </c>
      <c r="N183">
        <v>4</v>
      </c>
      <c r="O183" t="str">
        <f>("7")</f>
        <v>7</v>
      </c>
      <c r="P183" t="str">
        <f>("Cornely Marc")</f>
        <v>Cornely Marc</v>
      </c>
      <c r="Q183">
        <v>158</v>
      </c>
      <c r="S183">
        <v>4</v>
      </c>
    </row>
    <row r="184" spans="1:19" x14ac:dyDescent="0.3">
      <c r="A184" t="s">
        <v>1</v>
      </c>
      <c r="B184" s="1">
        <v>45578</v>
      </c>
      <c r="C184" t="str">
        <f t="shared" si="46"/>
        <v>23103</v>
      </c>
      <c r="D184" t="s">
        <v>0</v>
      </c>
      <c r="E184" t="str">
        <f t="shared" si="47"/>
        <v>9</v>
      </c>
      <c r="F184">
        <v>9092</v>
      </c>
      <c r="G184">
        <v>5973</v>
      </c>
      <c r="H184">
        <v>263</v>
      </c>
      <c r="I184" t="str">
        <f t="shared" si="50"/>
        <v>9</v>
      </c>
      <c r="J184" t="str">
        <f t="shared" si="51"/>
        <v>LB Wezembeek-Oppem</v>
      </c>
      <c r="K184">
        <v>731</v>
      </c>
      <c r="L184">
        <v>1637</v>
      </c>
      <c r="M184">
        <v>2368</v>
      </c>
      <c r="N184">
        <v>4</v>
      </c>
      <c r="O184" t="str">
        <f>("8")</f>
        <v>8</v>
      </c>
      <c r="P184" t="str">
        <f>("Geerseau Desmet Nicole")</f>
        <v>Geerseau Desmet Nicole</v>
      </c>
      <c r="Q184">
        <v>224</v>
      </c>
      <c r="S184">
        <v>1</v>
      </c>
    </row>
    <row r="185" spans="1:19" x14ac:dyDescent="0.3">
      <c r="A185" t="s">
        <v>1</v>
      </c>
      <c r="B185" s="1">
        <v>45578</v>
      </c>
      <c r="C185" t="str">
        <f t="shared" si="46"/>
        <v>23103</v>
      </c>
      <c r="D185" t="s">
        <v>0</v>
      </c>
      <c r="E185" t="str">
        <f t="shared" si="47"/>
        <v>9</v>
      </c>
      <c r="F185">
        <v>9092</v>
      </c>
      <c r="G185">
        <v>5973</v>
      </c>
      <c r="H185">
        <v>263</v>
      </c>
      <c r="I185" t="str">
        <f t="shared" si="50"/>
        <v>9</v>
      </c>
      <c r="J185" t="str">
        <f t="shared" si="51"/>
        <v>LB Wezembeek-Oppem</v>
      </c>
      <c r="K185">
        <v>731</v>
      </c>
      <c r="L185">
        <v>1637</v>
      </c>
      <c r="M185">
        <v>2368</v>
      </c>
      <c r="N185">
        <v>4</v>
      </c>
      <c r="O185" t="str">
        <f>("9")</f>
        <v>9</v>
      </c>
      <c r="P185" t="str">
        <f>("Bernard Béatrice")</f>
        <v>Bernard Béatrice</v>
      </c>
      <c r="Q185">
        <v>249</v>
      </c>
      <c r="R185">
        <v>4</v>
      </c>
    </row>
    <row r="186" spans="1:19" x14ac:dyDescent="0.3">
      <c r="A186" t="s">
        <v>1</v>
      </c>
      <c r="B186" s="1">
        <v>45578</v>
      </c>
      <c r="C186" t="str">
        <f t="shared" si="46"/>
        <v>23103</v>
      </c>
      <c r="D186" t="s">
        <v>0</v>
      </c>
      <c r="E186" t="str">
        <f t="shared" si="47"/>
        <v>9</v>
      </c>
      <c r="F186">
        <v>9092</v>
      </c>
      <c r="G186">
        <v>5973</v>
      </c>
      <c r="H186">
        <v>263</v>
      </c>
      <c r="I186" t="str">
        <f t="shared" ref="I186:I194" si="52">("10")</f>
        <v>10</v>
      </c>
      <c r="J186" t="str">
        <f t="shared" ref="J186:J194" si="53">("Horizon")</f>
        <v>Horizon</v>
      </c>
      <c r="K186">
        <v>635</v>
      </c>
      <c r="L186">
        <v>2114</v>
      </c>
      <c r="M186">
        <v>2749</v>
      </c>
      <c r="N186">
        <v>5</v>
      </c>
      <c r="O186" t="str">
        <f>("1")</f>
        <v>1</v>
      </c>
      <c r="P186" t="str">
        <f>("Silverberg Antoine")</f>
        <v>Silverberg Antoine</v>
      </c>
      <c r="Q186">
        <v>828</v>
      </c>
      <c r="R186">
        <v>1</v>
      </c>
    </row>
    <row r="187" spans="1:19" x14ac:dyDescent="0.3">
      <c r="A187" t="s">
        <v>1</v>
      </c>
      <c r="B187" s="1">
        <v>45578</v>
      </c>
      <c r="C187" t="str">
        <f t="shared" si="46"/>
        <v>23103</v>
      </c>
      <c r="D187" t="s">
        <v>0</v>
      </c>
      <c r="E187" t="str">
        <f t="shared" si="47"/>
        <v>9</v>
      </c>
      <c r="F187">
        <v>9092</v>
      </c>
      <c r="G187">
        <v>5973</v>
      </c>
      <c r="H187">
        <v>263</v>
      </c>
      <c r="I187" t="str">
        <f t="shared" si="52"/>
        <v>10</v>
      </c>
      <c r="J187" t="str">
        <f t="shared" si="53"/>
        <v>Horizon</v>
      </c>
      <c r="K187">
        <v>635</v>
      </c>
      <c r="L187">
        <v>2114</v>
      </c>
      <c r="M187">
        <v>2749</v>
      </c>
      <c r="N187">
        <v>5</v>
      </c>
      <c r="O187" t="str">
        <f>("2")</f>
        <v>2</v>
      </c>
      <c r="P187" t="str">
        <f>("Servranckx Anne-Marie")</f>
        <v>Servranckx Anne-Marie</v>
      </c>
      <c r="Q187">
        <v>317</v>
      </c>
      <c r="S187">
        <v>2</v>
      </c>
    </row>
    <row r="188" spans="1:19" x14ac:dyDescent="0.3">
      <c r="A188" t="s">
        <v>1</v>
      </c>
      <c r="B188" s="1">
        <v>45578</v>
      </c>
      <c r="C188" t="str">
        <f t="shared" si="46"/>
        <v>23103</v>
      </c>
      <c r="D188" t="s">
        <v>0</v>
      </c>
      <c r="E188" t="str">
        <f t="shared" si="47"/>
        <v>9</v>
      </c>
      <c r="F188">
        <v>9092</v>
      </c>
      <c r="G188">
        <v>5973</v>
      </c>
      <c r="H188">
        <v>263</v>
      </c>
      <c r="I188" t="str">
        <f t="shared" si="52"/>
        <v>10</v>
      </c>
      <c r="J188" t="str">
        <f t="shared" si="53"/>
        <v>Horizon</v>
      </c>
      <c r="K188">
        <v>635</v>
      </c>
      <c r="L188">
        <v>2114</v>
      </c>
      <c r="M188">
        <v>2749</v>
      </c>
      <c r="N188">
        <v>5</v>
      </c>
      <c r="O188" t="str">
        <f>("3")</f>
        <v>3</v>
      </c>
      <c r="P188" t="str">
        <f>("Baertsoen Eddy")</f>
        <v>Baertsoen Eddy</v>
      </c>
      <c r="Q188">
        <v>139</v>
      </c>
      <c r="S188">
        <v>4</v>
      </c>
    </row>
    <row r="189" spans="1:19" x14ac:dyDescent="0.3">
      <c r="A189" t="s">
        <v>1</v>
      </c>
      <c r="B189" s="1">
        <v>45578</v>
      </c>
      <c r="C189" t="str">
        <f t="shared" si="46"/>
        <v>23103</v>
      </c>
      <c r="D189" t="s">
        <v>0</v>
      </c>
      <c r="E189" t="str">
        <f t="shared" si="47"/>
        <v>9</v>
      </c>
      <c r="F189">
        <v>9092</v>
      </c>
      <c r="G189">
        <v>5973</v>
      </c>
      <c r="H189">
        <v>263</v>
      </c>
      <c r="I189" t="str">
        <f t="shared" si="52"/>
        <v>10</v>
      </c>
      <c r="J189" t="str">
        <f t="shared" si="53"/>
        <v>Horizon</v>
      </c>
      <c r="K189">
        <v>635</v>
      </c>
      <c r="L189">
        <v>2114</v>
      </c>
      <c r="M189">
        <v>2749</v>
      </c>
      <c r="N189">
        <v>5</v>
      </c>
      <c r="O189" t="str">
        <f>("4")</f>
        <v>4</v>
      </c>
      <c r="P189" t="str">
        <f>("Tollenaere Céline")</f>
        <v>Tollenaere Céline</v>
      </c>
      <c r="Q189">
        <v>589</v>
      </c>
      <c r="R189">
        <v>2</v>
      </c>
    </row>
    <row r="190" spans="1:19" x14ac:dyDescent="0.3">
      <c r="A190" t="s">
        <v>1</v>
      </c>
      <c r="B190" s="1">
        <v>45578</v>
      </c>
      <c r="C190" t="str">
        <f t="shared" si="46"/>
        <v>23103</v>
      </c>
      <c r="D190" t="s">
        <v>0</v>
      </c>
      <c r="E190" t="str">
        <f t="shared" si="47"/>
        <v>9</v>
      </c>
      <c r="F190">
        <v>9092</v>
      </c>
      <c r="G190">
        <v>5973</v>
      </c>
      <c r="H190">
        <v>263</v>
      </c>
      <c r="I190" t="str">
        <f t="shared" si="52"/>
        <v>10</v>
      </c>
      <c r="J190" t="str">
        <f t="shared" si="53"/>
        <v>Horizon</v>
      </c>
      <c r="K190">
        <v>635</v>
      </c>
      <c r="L190">
        <v>2114</v>
      </c>
      <c r="M190">
        <v>2749</v>
      </c>
      <c r="N190">
        <v>5</v>
      </c>
      <c r="O190" t="str">
        <f>("5")</f>
        <v>5</v>
      </c>
      <c r="P190" t="str">
        <f>("Panneels Jan")</f>
        <v>Panneels Jan</v>
      </c>
      <c r="Q190">
        <v>391</v>
      </c>
      <c r="R190">
        <v>5</v>
      </c>
    </row>
    <row r="191" spans="1:19" x14ac:dyDescent="0.3">
      <c r="A191" t="s">
        <v>1</v>
      </c>
      <c r="B191" s="1">
        <v>45578</v>
      </c>
      <c r="C191" t="str">
        <f t="shared" si="46"/>
        <v>23103</v>
      </c>
      <c r="D191" t="s">
        <v>0</v>
      </c>
      <c r="E191" t="str">
        <f t="shared" si="47"/>
        <v>9</v>
      </c>
      <c r="F191">
        <v>9092</v>
      </c>
      <c r="G191">
        <v>5973</v>
      </c>
      <c r="H191">
        <v>263</v>
      </c>
      <c r="I191" t="str">
        <f t="shared" si="52"/>
        <v>10</v>
      </c>
      <c r="J191" t="str">
        <f t="shared" si="53"/>
        <v>Horizon</v>
      </c>
      <c r="K191">
        <v>635</v>
      </c>
      <c r="L191">
        <v>2114</v>
      </c>
      <c r="M191">
        <v>2749</v>
      </c>
      <c r="N191">
        <v>5</v>
      </c>
      <c r="O191" t="str">
        <f>("6")</f>
        <v>6</v>
      </c>
      <c r="P191" t="str">
        <f>("Kelecom Baudouin")</f>
        <v>Kelecom Baudouin</v>
      </c>
      <c r="Q191">
        <v>587</v>
      </c>
      <c r="R191">
        <v>3</v>
      </c>
    </row>
    <row r="192" spans="1:19" x14ac:dyDescent="0.3">
      <c r="A192" t="s">
        <v>1</v>
      </c>
      <c r="B192" s="1">
        <v>45578</v>
      </c>
      <c r="C192" t="str">
        <f t="shared" si="46"/>
        <v>23103</v>
      </c>
      <c r="D192" t="s">
        <v>0</v>
      </c>
      <c r="E192" t="str">
        <f t="shared" si="47"/>
        <v>9</v>
      </c>
      <c r="F192">
        <v>9092</v>
      </c>
      <c r="G192">
        <v>5973</v>
      </c>
      <c r="H192">
        <v>263</v>
      </c>
      <c r="I192" t="str">
        <f t="shared" si="52"/>
        <v>10</v>
      </c>
      <c r="J192" t="str">
        <f t="shared" si="53"/>
        <v>Horizon</v>
      </c>
      <c r="K192">
        <v>635</v>
      </c>
      <c r="L192">
        <v>2114</v>
      </c>
      <c r="M192">
        <v>2749</v>
      </c>
      <c r="N192">
        <v>5</v>
      </c>
      <c r="O192" t="str">
        <f>("7")</f>
        <v>7</v>
      </c>
      <c r="P192" t="str">
        <f>("de Crombrugghe de Picquen Martine")</f>
        <v>de Crombrugghe de Picquen Martine</v>
      </c>
      <c r="Q192">
        <v>318</v>
      </c>
      <c r="S192">
        <v>1</v>
      </c>
    </row>
    <row r="193" spans="1:19" x14ac:dyDescent="0.3">
      <c r="A193" t="s">
        <v>1</v>
      </c>
      <c r="B193" s="1">
        <v>45578</v>
      </c>
      <c r="C193" t="str">
        <f t="shared" si="46"/>
        <v>23103</v>
      </c>
      <c r="D193" t="s">
        <v>0</v>
      </c>
      <c r="E193" t="str">
        <f t="shared" si="47"/>
        <v>9</v>
      </c>
      <c r="F193">
        <v>9092</v>
      </c>
      <c r="G193">
        <v>5973</v>
      </c>
      <c r="H193">
        <v>263</v>
      </c>
      <c r="I193" t="str">
        <f t="shared" si="52"/>
        <v>10</v>
      </c>
      <c r="J193" t="str">
        <f t="shared" si="53"/>
        <v>Horizon</v>
      </c>
      <c r="K193">
        <v>635</v>
      </c>
      <c r="L193">
        <v>2114</v>
      </c>
      <c r="M193">
        <v>2749</v>
      </c>
      <c r="N193">
        <v>5</v>
      </c>
      <c r="O193" t="str">
        <f>("8")</f>
        <v>8</v>
      </c>
      <c r="P193" t="str">
        <f>("Mehta Mandana")</f>
        <v>Mehta Mandana</v>
      </c>
      <c r="Q193">
        <v>186</v>
      </c>
      <c r="S193">
        <v>3</v>
      </c>
    </row>
    <row r="194" spans="1:19" x14ac:dyDescent="0.3">
      <c r="A194" t="s">
        <v>1</v>
      </c>
      <c r="B194" s="1">
        <v>45578</v>
      </c>
      <c r="C194" t="str">
        <f t="shared" si="46"/>
        <v>23103</v>
      </c>
      <c r="D194" t="s">
        <v>0</v>
      </c>
      <c r="E194" t="str">
        <f t="shared" si="47"/>
        <v>9</v>
      </c>
      <c r="F194">
        <v>9092</v>
      </c>
      <c r="G194">
        <v>5973</v>
      </c>
      <c r="H194">
        <v>263</v>
      </c>
      <c r="I194" t="str">
        <f t="shared" si="52"/>
        <v>10</v>
      </c>
      <c r="J194" t="str">
        <f t="shared" si="53"/>
        <v>Horizon</v>
      </c>
      <c r="K194">
        <v>635</v>
      </c>
      <c r="L194">
        <v>2114</v>
      </c>
      <c r="M194">
        <v>2749</v>
      </c>
      <c r="N194">
        <v>5</v>
      </c>
      <c r="O194" t="str">
        <f>("9")</f>
        <v>9</v>
      </c>
      <c r="P194" t="str">
        <f>("Hermesse Jean")</f>
        <v>Hermesse Jean</v>
      </c>
      <c r="Q194">
        <v>513</v>
      </c>
      <c r="R194">
        <v>4</v>
      </c>
    </row>
  </sheetData>
  <autoFilter ref="A1:S194" xr:uid="{B5CA61A5-B8F2-4463-A12F-D329EC9CD02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algemeen</vt:lpstr>
      <vt:lpstr>lijsten</vt:lpstr>
      <vt:lpstr>kandidaten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Coudron, Jan</dc:creator>
  <cp:lastModifiedBy>Coudron Jan</cp:lastModifiedBy>
  <dcterms:created xsi:type="dcterms:W3CDTF">2015-06-05T18:17:20Z</dcterms:created>
  <dcterms:modified xsi:type="dcterms:W3CDTF">2024-10-15T20:14:13Z</dcterms:modified>
</cp:coreProperties>
</file>