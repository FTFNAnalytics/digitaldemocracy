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an_coudron_vlaanderen_be/Documents/Bureaublad/cevi_export-resultaten-vlaanderen_2024-10-15_1755/nieuw/Publiek/"/>
    </mc:Choice>
  </mc:AlternateContent>
  <xr:revisionPtr revIDLastSave="63" documentId="8_{2BE36468-270F-488B-9ABB-3AE4E070DEB8}" xr6:coauthVersionLast="47" xr6:coauthVersionMax="47" xr10:uidLastSave="{1F75DBB5-DB06-486E-BEE9-F0DFABD496D2}"/>
  <bookViews>
    <workbookView xWindow="-28920" yWindow="-120" windowWidth="29040" windowHeight="15840" xr2:uid="{729EDB24-94BE-4DBE-8AF8-BE452DDF0530}"/>
  </bookViews>
  <sheets>
    <sheet name="algemeen" sheetId="1" r:id="rId1"/>
    <sheet name="lijsten" sheetId="2" r:id="rId2"/>
    <sheet name="kandidaten" sheetId="3" r:id="rId3"/>
  </sheets>
  <definedNames>
    <definedName name="_xlnm._FilterDatabase" localSheetId="2" hidden="1">kandidaten!$A$1:$S$1</definedName>
    <definedName name="_xlnm._FilterDatabase" localSheetId="1" hidden="1">lijsten!$A$1:$O$131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C2" i="3"/>
  <c r="E2" i="3"/>
  <c r="I2" i="3"/>
  <c r="J2" i="3"/>
  <c r="O2" i="3"/>
  <c r="P2" i="3"/>
  <c r="C3" i="3"/>
  <c r="E3" i="3"/>
  <c r="I3" i="3"/>
  <c r="J3" i="3"/>
  <c r="O3" i="3"/>
  <c r="P3" i="3"/>
  <c r="C4" i="3"/>
  <c r="E4" i="3"/>
  <c r="I4" i="3"/>
  <c r="J4" i="3"/>
  <c r="O4" i="3"/>
  <c r="P4" i="3"/>
  <c r="C5" i="3"/>
  <c r="E5" i="3"/>
  <c r="I5" i="3"/>
  <c r="J5" i="3"/>
  <c r="O5" i="3"/>
  <c r="P5" i="3"/>
  <c r="C6" i="3"/>
  <c r="E6" i="3"/>
  <c r="I6" i="3"/>
  <c r="J6" i="3"/>
  <c r="O6" i="3"/>
  <c r="P6" i="3"/>
  <c r="C7" i="3"/>
  <c r="E7" i="3"/>
  <c r="I7" i="3"/>
  <c r="J7" i="3"/>
  <c r="O7" i="3"/>
  <c r="P7" i="3"/>
  <c r="C8" i="3"/>
  <c r="E8" i="3"/>
  <c r="I8" i="3"/>
  <c r="J8" i="3"/>
  <c r="O8" i="3"/>
  <c r="P8" i="3"/>
  <c r="C9" i="3"/>
  <c r="E9" i="3"/>
  <c r="I9" i="3"/>
  <c r="J9" i="3"/>
  <c r="O9" i="3"/>
  <c r="P9" i="3"/>
  <c r="C10" i="3"/>
  <c r="E10" i="3"/>
  <c r="I10" i="3"/>
  <c r="J10" i="3"/>
  <c r="O10" i="3"/>
  <c r="P10" i="3"/>
  <c r="C11" i="3"/>
  <c r="E11" i="3"/>
  <c r="I11" i="3"/>
  <c r="J11" i="3"/>
  <c r="O11" i="3"/>
  <c r="P11" i="3"/>
  <c r="C12" i="3"/>
  <c r="E12" i="3"/>
  <c r="I12" i="3"/>
  <c r="J12" i="3"/>
  <c r="O12" i="3"/>
  <c r="P12" i="3"/>
  <c r="C13" i="3"/>
  <c r="E13" i="3"/>
  <c r="I13" i="3"/>
  <c r="J13" i="3"/>
  <c r="O13" i="3"/>
  <c r="P13" i="3"/>
  <c r="C14" i="3"/>
  <c r="E14" i="3"/>
  <c r="I14" i="3"/>
  <c r="J14" i="3"/>
  <c r="O14" i="3"/>
  <c r="P14" i="3"/>
  <c r="C15" i="3"/>
  <c r="E15" i="3"/>
  <c r="I15" i="3"/>
  <c r="J15" i="3"/>
  <c r="O15" i="3"/>
  <c r="P15" i="3"/>
  <c r="C16" i="3"/>
  <c r="E16" i="3"/>
  <c r="I16" i="3"/>
  <c r="J16" i="3"/>
  <c r="O16" i="3"/>
  <c r="P16" i="3"/>
  <c r="C17" i="3"/>
  <c r="E17" i="3"/>
  <c r="I17" i="3"/>
  <c r="J17" i="3"/>
  <c r="O17" i="3"/>
  <c r="P17" i="3"/>
  <c r="C18" i="3"/>
  <c r="E18" i="3"/>
  <c r="I18" i="3"/>
  <c r="J18" i="3"/>
  <c r="O18" i="3"/>
  <c r="P18" i="3"/>
  <c r="C19" i="3"/>
  <c r="E19" i="3"/>
  <c r="I19" i="3"/>
  <c r="J19" i="3"/>
  <c r="O19" i="3"/>
  <c r="P19" i="3"/>
  <c r="C20" i="3"/>
  <c r="E20" i="3"/>
  <c r="I20" i="3"/>
  <c r="J20" i="3"/>
  <c r="O20" i="3"/>
  <c r="P20" i="3"/>
  <c r="C21" i="3"/>
  <c r="E21" i="3"/>
  <c r="I21" i="3"/>
  <c r="J21" i="3"/>
  <c r="O21" i="3"/>
  <c r="P21" i="3"/>
  <c r="C22" i="3"/>
  <c r="E22" i="3"/>
  <c r="I22" i="3"/>
  <c r="J22" i="3"/>
  <c r="O22" i="3"/>
  <c r="P22" i="3"/>
  <c r="C23" i="3"/>
  <c r="E23" i="3"/>
  <c r="I23" i="3"/>
  <c r="J23" i="3"/>
  <c r="O23" i="3"/>
  <c r="P23" i="3"/>
  <c r="C24" i="3"/>
  <c r="E24" i="3"/>
  <c r="I24" i="3"/>
  <c r="J24" i="3"/>
  <c r="O24" i="3"/>
  <c r="P24" i="3"/>
  <c r="C25" i="3"/>
  <c r="E25" i="3"/>
  <c r="I25" i="3"/>
  <c r="J25" i="3"/>
  <c r="O25" i="3"/>
  <c r="P25" i="3"/>
  <c r="C26" i="3"/>
  <c r="E26" i="3"/>
  <c r="I26" i="3"/>
  <c r="J26" i="3"/>
  <c r="O26" i="3"/>
  <c r="P26" i="3"/>
  <c r="C27" i="3"/>
  <c r="E27" i="3"/>
  <c r="I27" i="3"/>
  <c r="J27" i="3"/>
  <c r="O27" i="3"/>
  <c r="P27" i="3"/>
  <c r="C28" i="3"/>
  <c r="E28" i="3"/>
  <c r="I28" i="3"/>
  <c r="J28" i="3"/>
  <c r="O28" i="3"/>
  <c r="P28" i="3"/>
  <c r="C29" i="3"/>
  <c r="E29" i="3"/>
  <c r="I29" i="3"/>
  <c r="J29" i="3"/>
  <c r="O29" i="3"/>
  <c r="P29" i="3"/>
  <c r="C30" i="3"/>
  <c r="E30" i="3"/>
  <c r="I30" i="3"/>
  <c r="J30" i="3"/>
  <c r="O30" i="3"/>
  <c r="P30" i="3"/>
  <c r="C31" i="3"/>
  <c r="E31" i="3"/>
  <c r="I31" i="3"/>
  <c r="J31" i="3"/>
  <c r="O31" i="3"/>
  <c r="P31" i="3"/>
  <c r="C32" i="3"/>
  <c r="E32" i="3"/>
  <c r="I32" i="3"/>
  <c r="J32" i="3"/>
  <c r="O32" i="3"/>
  <c r="P32" i="3"/>
  <c r="C33" i="3"/>
  <c r="E33" i="3"/>
  <c r="I33" i="3"/>
  <c r="J33" i="3"/>
  <c r="O33" i="3"/>
  <c r="P33" i="3"/>
  <c r="C34" i="3"/>
  <c r="E34" i="3"/>
  <c r="I34" i="3"/>
  <c r="J34" i="3"/>
  <c r="O34" i="3"/>
  <c r="P34" i="3"/>
  <c r="C35" i="3"/>
  <c r="E35" i="3"/>
  <c r="I35" i="3"/>
  <c r="J35" i="3"/>
  <c r="O35" i="3"/>
  <c r="P35" i="3"/>
  <c r="C36" i="3"/>
  <c r="E36" i="3"/>
  <c r="I36" i="3"/>
  <c r="J36" i="3"/>
  <c r="O36" i="3"/>
  <c r="P36" i="3"/>
  <c r="C37" i="3"/>
  <c r="E37" i="3"/>
  <c r="I37" i="3"/>
  <c r="J37" i="3"/>
  <c r="O37" i="3"/>
  <c r="P37" i="3"/>
  <c r="C38" i="3"/>
  <c r="E38" i="3"/>
  <c r="I38" i="3"/>
  <c r="J38" i="3"/>
  <c r="O38" i="3"/>
  <c r="P38" i="3"/>
  <c r="C39" i="3"/>
  <c r="E39" i="3"/>
  <c r="I39" i="3"/>
  <c r="J39" i="3"/>
  <c r="O39" i="3"/>
  <c r="P39" i="3"/>
  <c r="C40" i="3"/>
  <c r="E40" i="3"/>
  <c r="I40" i="3"/>
  <c r="J40" i="3"/>
  <c r="O40" i="3"/>
  <c r="P40" i="3"/>
  <c r="C41" i="3"/>
  <c r="E41" i="3"/>
  <c r="I41" i="3"/>
  <c r="J41" i="3"/>
  <c r="O41" i="3"/>
  <c r="P41" i="3"/>
  <c r="C42" i="3"/>
  <c r="E42" i="3"/>
  <c r="I42" i="3"/>
  <c r="J42" i="3"/>
  <c r="O42" i="3"/>
  <c r="P42" i="3"/>
  <c r="C43" i="3"/>
  <c r="E43" i="3"/>
  <c r="I43" i="3"/>
  <c r="J43" i="3"/>
  <c r="O43" i="3"/>
  <c r="P43" i="3"/>
  <c r="C44" i="3"/>
  <c r="E44" i="3"/>
  <c r="I44" i="3"/>
  <c r="J44" i="3"/>
  <c r="O44" i="3"/>
  <c r="P44" i="3"/>
  <c r="C45" i="3"/>
  <c r="E45" i="3"/>
  <c r="I45" i="3"/>
  <c r="J45" i="3"/>
  <c r="O45" i="3"/>
  <c r="P45" i="3"/>
  <c r="C46" i="3"/>
  <c r="E46" i="3"/>
  <c r="I46" i="3"/>
  <c r="J46" i="3"/>
  <c r="O46" i="3"/>
  <c r="P46" i="3"/>
  <c r="C47" i="3"/>
  <c r="E47" i="3"/>
  <c r="I47" i="3"/>
  <c r="J47" i="3"/>
  <c r="O47" i="3"/>
  <c r="P47" i="3"/>
  <c r="C48" i="3"/>
  <c r="E48" i="3"/>
  <c r="I48" i="3"/>
  <c r="J48" i="3"/>
  <c r="O48" i="3"/>
  <c r="P48" i="3"/>
  <c r="C49" i="3"/>
  <c r="E49" i="3"/>
  <c r="I49" i="3"/>
  <c r="J49" i="3"/>
  <c r="O49" i="3"/>
  <c r="P49" i="3"/>
  <c r="C50" i="3"/>
  <c r="E50" i="3"/>
  <c r="I50" i="3"/>
  <c r="J50" i="3"/>
  <c r="O50" i="3"/>
  <c r="P50" i="3"/>
  <c r="C51" i="3"/>
  <c r="E51" i="3"/>
  <c r="I51" i="3"/>
  <c r="J51" i="3"/>
  <c r="O51" i="3"/>
  <c r="P51" i="3"/>
  <c r="C52" i="3"/>
  <c r="E52" i="3"/>
  <c r="I52" i="3"/>
  <c r="J52" i="3"/>
  <c r="O52" i="3"/>
  <c r="P52" i="3"/>
  <c r="C53" i="3"/>
  <c r="E53" i="3"/>
  <c r="I53" i="3"/>
  <c r="J53" i="3"/>
  <c r="O53" i="3"/>
  <c r="P53" i="3"/>
  <c r="C54" i="3"/>
  <c r="E54" i="3"/>
  <c r="I54" i="3"/>
  <c r="J54" i="3"/>
  <c r="O54" i="3"/>
  <c r="P54" i="3"/>
  <c r="C55" i="3"/>
  <c r="E55" i="3"/>
  <c r="I55" i="3"/>
  <c r="J55" i="3"/>
  <c r="O55" i="3"/>
  <c r="P55" i="3"/>
  <c r="C56" i="3"/>
  <c r="E56" i="3"/>
  <c r="I56" i="3"/>
  <c r="J56" i="3"/>
  <c r="O56" i="3"/>
  <c r="P56" i="3"/>
  <c r="C57" i="3"/>
  <c r="E57" i="3"/>
  <c r="I57" i="3"/>
  <c r="J57" i="3"/>
  <c r="O57" i="3"/>
  <c r="P57" i="3"/>
  <c r="C58" i="3"/>
  <c r="E58" i="3"/>
  <c r="I58" i="3"/>
  <c r="J58" i="3"/>
  <c r="O58" i="3"/>
  <c r="P58" i="3"/>
  <c r="C59" i="3"/>
  <c r="E59" i="3"/>
  <c r="I59" i="3"/>
  <c r="J59" i="3"/>
  <c r="O59" i="3"/>
  <c r="P59" i="3"/>
  <c r="C60" i="3"/>
  <c r="E60" i="3"/>
  <c r="I60" i="3"/>
  <c r="J60" i="3"/>
  <c r="O60" i="3"/>
  <c r="P60" i="3"/>
  <c r="C61" i="3"/>
  <c r="E61" i="3"/>
  <c r="I61" i="3"/>
  <c r="J61" i="3"/>
  <c r="O61" i="3"/>
  <c r="P61" i="3"/>
  <c r="C62" i="3"/>
  <c r="E62" i="3"/>
  <c r="I62" i="3"/>
  <c r="J62" i="3"/>
  <c r="O62" i="3"/>
  <c r="P62" i="3"/>
  <c r="C63" i="3"/>
  <c r="E63" i="3"/>
  <c r="I63" i="3"/>
  <c r="J63" i="3"/>
  <c r="O63" i="3"/>
  <c r="P63" i="3"/>
  <c r="C64" i="3"/>
  <c r="E64" i="3"/>
  <c r="I64" i="3"/>
  <c r="J64" i="3"/>
  <c r="O64" i="3"/>
  <c r="P64" i="3"/>
  <c r="C65" i="3"/>
  <c r="E65" i="3"/>
  <c r="I65" i="3"/>
  <c r="J65" i="3"/>
  <c r="O65" i="3"/>
  <c r="P65" i="3"/>
  <c r="C66" i="3"/>
  <c r="E66" i="3"/>
  <c r="I66" i="3"/>
  <c r="J66" i="3"/>
  <c r="O66" i="3"/>
  <c r="P66" i="3"/>
  <c r="C67" i="3"/>
  <c r="E67" i="3"/>
  <c r="I67" i="3"/>
  <c r="J67" i="3"/>
  <c r="O67" i="3"/>
  <c r="P67" i="3"/>
  <c r="C68" i="3"/>
  <c r="E68" i="3"/>
  <c r="I68" i="3"/>
  <c r="J68" i="3"/>
  <c r="O68" i="3"/>
  <c r="P68" i="3"/>
  <c r="C69" i="3"/>
  <c r="E69" i="3"/>
  <c r="I69" i="3"/>
  <c r="J69" i="3"/>
  <c r="O69" i="3"/>
  <c r="P69" i="3"/>
  <c r="C70" i="3"/>
  <c r="E70" i="3"/>
  <c r="I70" i="3"/>
  <c r="J70" i="3"/>
  <c r="O70" i="3"/>
  <c r="P70" i="3"/>
  <c r="C71" i="3"/>
  <c r="E71" i="3"/>
  <c r="I71" i="3"/>
  <c r="J71" i="3"/>
  <c r="O71" i="3"/>
  <c r="P71" i="3"/>
  <c r="C72" i="3"/>
  <c r="E72" i="3"/>
  <c r="I72" i="3"/>
  <c r="J72" i="3"/>
  <c r="O72" i="3"/>
  <c r="P72" i="3"/>
  <c r="C73" i="3"/>
  <c r="E73" i="3"/>
  <c r="I73" i="3"/>
  <c r="J73" i="3"/>
  <c r="O73" i="3"/>
  <c r="P73" i="3"/>
  <c r="C74" i="3"/>
  <c r="E74" i="3"/>
  <c r="I74" i="3"/>
  <c r="J74" i="3"/>
  <c r="O74" i="3"/>
  <c r="P74" i="3"/>
  <c r="C75" i="3"/>
  <c r="E75" i="3"/>
  <c r="I75" i="3"/>
  <c r="J75" i="3"/>
  <c r="O75" i="3"/>
  <c r="P75" i="3"/>
  <c r="C76" i="3"/>
  <c r="E76" i="3"/>
  <c r="I76" i="3"/>
  <c r="J76" i="3"/>
  <c r="O76" i="3"/>
  <c r="P76" i="3"/>
  <c r="C77" i="3"/>
  <c r="E77" i="3"/>
  <c r="I77" i="3"/>
  <c r="J77" i="3"/>
  <c r="O77" i="3"/>
  <c r="P77" i="3"/>
  <c r="C78" i="3"/>
  <c r="E78" i="3"/>
  <c r="I78" i="3"/>
  <c r="J78" i="3"/>
  <c r="O78" i="3"/>
  <c r="P78" i="3"/>
  <c r="C79" i="3"/>
  <c r="E79" i="3"/>
  <c r="I79" i="3"/>
  <c r="J79" i="3"/>
  <c r="O79" i="3"/>
  <c r="P79" i="3"/>
  <c r="C80" i="3"/>
  <c r="E80" i="3"/>
  <c r="I80" i="3"/>
  <c r="J80" i="3"/>
  <c r="O80" i="3"/>
  <c r="P80" i="3"/>
  <c r="C81" i="3"/>
  <c r="E81" i="3"/>
  <c r="I81" i="3"/>
  <c r="J81" i="3"/>
  <c r="O81" i="3"/>
  <c r="P81" i="3"/>
  <c r="C82" i="3"/>
  <c r="E82" i="3"/>
  <c r="I82" i="3"/>
  <c r="J82" i="3"/>
  <c r="O82" i="3"/>
  <c r="P82" i="3"/>
  <c r="C83" i="3"/>
  <c r="E83" i="3"/>
  <c r="I83" i="3"/>
  <c r="J83" i="3"/>
  <c r="O83" i="3"/>
  <c r="P83" i="3"/>
  <c r="C84" i="3"/>
  <c r="E84" i="3"/>
  <c r="I84" i="3"/>
  <c r="J84" i="3"/>
  <c r="O84" i="3"/>
  <c r="P84" i="3"/>
  <c r="C85" i="3"/>
  <c r="E85" i="3"/>
  <c r="I85" i="3"/>
  <c r="J85" i="3"/>
  <c r="O85" i="3"/>
  <c r="P85" i="3"/>
  <c r="C86" i="3"/>
  <c r="E86" i="3"/>
  <c r="I86" i="3"/>
  <c r="J86" i="3"/>
  <c r="O86" i="3"/>
  <c r="P86" i="3"/>
  <c r="C87" i="3"/>
  <c r="E87" i="3"/>
  <c r="I87" i="3"/>
  <c r="J87" i="3"/>
  <c r="O87" i="3"/>
  <c r="P87" i="3"/>
  <c r="C88" i="3"/>
  <c r="E88" i="3"/>
  <c r="I88" i="3"/>
  <c r="J88" i="3"/>
  <c r="O88" i="3"/>
  <c r="P88" i="3"/>
  <c r="C89" i="3"/>
  <c r="E89" i="3"/>
  <c r="I89" i="3"/>
  <c r="J89" i="3"/>
  <c r="O89" i="3"/>
  <c r="P89" i="3"/>
  <c r="C90" i="3"/>
  <c r="E90" i="3"/>
  <c r="I90" i="3"/>
  <c r="J90" i="3"/>
  <c r="O90" i="3"/>
  <c r="P90" i="3"/>
  <c r="C91" i="3"/>
  <c r="E91" i="3"/>
  <c r="I91" i="3"/>
  <c r="J91" i="3"/>
  <c r="O91" i="3"/>
  <c r="P91" i="3"/>
  <c r="C92" i="3"/>
  <c r="E92" i="3"/>
  <c r="I92" i="3"/>
  <c r="J92" i="3"/>
  <c r="O92" i="3"/>
  <c r="P92" i="3"/>
  <c r="C93" i="3"/>
  <c r="E93" i="3"/>
  <c r="I93" i="3"/>
  <c r="J93" i="3"/>
  <c r="O93" i="3"/>
  <c r="P93" i="3"/>
  <c r="C94" i="3"/>
  <c r="E94" i="3"/>
  <c r="I94" i="3"/>
  <c r="J94" i="3"/>
  <c r="O94" i="3"/>
  <c r="P94" i="3"/>
  <c r="C95" i="3"/>
  <c r="E95" i="3"/>
  <c r="I95" i="3"/>
  <c r="J95" i="3"/>
  <c r="O95" i="3"/>
  <c r="P95" i="3"/>
  <c r="C96" i="3"/>
  <c r="E96" i="3"/>
  <c r="I96" i="3"/>
  <c r="J96" i="3"/>
  <c r="O96" i="3"/>
  <c r="P96" i="3"/>
  <c r="C97" i="3"/>
  <c r="E97" i="3"/>
  <c r="I97" i="3"/>
  <c r="J97" i="3"/>
  <c r="O97" i="3"/>
  <c r="P97" i="3"/>
  <c r="C98" i="3"/>
  <c r="E98" i="3"/>
  <c r="I98" i="3"/>
  <c r="J98" i="3"/>
  <c r="O98" i="3"/>
  <c r="P98" i="3"/>
  <c r="C99" i="3"/>
  <c r="E99" i="3"/>
  <c r="I99" i="3"/>
  <c r="J99" i="3"/>
  <c r="O99" i="3"/>
  <c r="P99" i="3"/>
  <c r="C100" i="3"/>
  <c r="E100" i="3"/>
  <c r="I100" i="3"/>
  <c r="J100" i="3"/>
  <c r="O100" i="3"/>
  <c r="P100" i="3"/>
  <c r="C101" i="3"/>
  <c r="E101" i="3"/>
  <c r="I101" i="3"/>
  <c r="J101" i="3"/>
  <c r="O101" i="3"/>
  <c r="P101" i="3"/>
  <c r="C102" i="3"/>
  <c r="E102" i="3"/>
  <c r="I102" i="3"/>
  <c r="J102" i="3"/>
  <c r="O102" i="3"/>
  <c r="P102" i="3"/>
  <c r="C103" i="3"/>
  <c r="E103" i="3"/>
  <c r="I103" i="3"/>
  <c r="J103" i="3"/>
  <c r="O103" i="3"/>
  <c r="P103" i="3"/>
  <c r="C104" i="3"/>
  <c r="E104" i="3"/>
  <c r="I104" i="3"/>
  <c r="J104" i="3"/>
  <c r="O104" i="3"/>
  <c r="P104" i="3"/>
  <c r="C105" i="3"/>
  <c r="E105" i="3"/>
  <c r="I105" i="3"/>
  <c r="J105" i="3"/>
  <c r="O105" i="3"/>
  <c r="P105" i="3"/>
  <c r="C106" i="3"/>
  <c r="E106" i="3"/>
  <c r="I106" i="3"/>
  <c r="J106" i="3"/>
  <c r="O106" i="3"/>
  <c r="P106" i="3"/>
  <c r="C107" i="3"/>
  <c r="E107" i="3"/>
  <c r="I107" i="3"/>
  <c r="J107" i="3"/>
  <c r="O107" i="3"/>
  <c r="P107" i="3"/>
  <c r="C108" i="3"/>
  <c r="E108" i="3"/>
  <c r="I108" i="3"/>
  <c r="J108" i="3"/>
  <c r="O108" i="3"/>
  <c r="P108" i="3"/>
  <c r="C109" i="3"/>
  <c r="E109" i="3"/>
  <c r="I109" i="3"/>
  <c r="J109" i="3"/>
  <c r="O109" i="3"/>
  <c r="P109" i="3"/>
  <c r="C110" i="3"/>
  <c r="E110" i="3"/>
  <c r="I110" i="3"/>
  <c r="J110" i="3"/>
  <c r="O110" i="3"/>
  <c r="P110" i="3"/>
  <c r="C111" i="3"/>
  <c r="E111" i="3"/>
  <c r="I111" i="3"/>
  <c r="J111" i="3"/>
  <c r="O111" i="3"/>
  <c r="P111" i="3"/>
  <c r="C112" i="3"/>
  <c r="E112" i="3"/>
  <c r="I112" i="3"/>
  <c r="J112" i="3"/>
  <c r="O112" i="3"/>
  <c r="P112" i="3"/>
  <c r="C113" i="3"/>
  <c r="E113" i="3"/>
  <c r="I113" i="3"/>
  <c r="J113" i="3"/>
  <c r="O113" i="3"/>
  <c r="P113" i="3"/>
  <c r="C114" i="3"/>
  <c r="E114" i="3"/>
  <c r="I114" i="3"/>
  <c r="J114" i="3"/>
  <c r="O114" i="3"/>
  <c r="P114" i="3"/>
  <c r="C115" i="3"/>
  <c r="E115" i="3"/>
  <c r="I115" i="3"/>
  <c r="J115" i="3"/>
  <c r="O115" i="3"/>
  <c r="P115" i="3"/>
  <c r="C116" i="3"/>
  <c r="E116" i="3"/>
  <c r="I116" i="3"/>
  <c r="J116" i="3"/>
  <c r="O116" i="3"/>
  <c r="P116" i="3"/>
  <c r="C117" i="3"/>
  <c r="E117" i="3"/>
  <c r="I117" i="3"/>
  <c r="J117" i="3"/>
  <c r="O117" i="3"/>
  <c r="P117" i="3"/>
  <c r="C118" i="3"/>
  <c r="E118" i="3"/>
  <c r="I118" i="3"/>
  <c r="J118" i="3"/>
  <c r="O118" i="3"/>
  <c r="P118" i="3"/>
  <c r="C119" i="3"/>
  <c r="E119" i="3"/>
  <c r="I119" i="3"/>
  <c r="J119" i="3"/>
  <c r="O119" i="3"/>
  <c r="P119" i="3"/>
  <c r="C120" i="3"/>
  <c r="E120" i="3"/>
  <c r="I120" i="3"/>
  <c r="J120" i="3"/>
  <c r="O120" i="3"/>
  <c r="P120" i="3"/>
  <c r="C121" i="3"/>
  <c r="E121" i="3"/>
  <c r="I121" i="3"/>
  <c r="J121" i="3"/>
  <c r="O121" i="3"/>
  <c r="P121" i="3"/>
  <c r="C122" i="3"/>
  <c r="E122" i="3"/>
  <c r="I122" i="3"/>
  <c r="J122" i="3"/>
  <c r="O122" i="3"/>
  <c r="P122" i="3"/>
  <c r="C123" i="3"/>
  <c r="E123" i="3"/>
  <c r="I123" i="3"/>
  <c r="J123" i="3"/>
  <c r="O123" i="3"/>
  <c r="P123" i="3"/>
  <c r="C124" i="3"/>
  <c r="E124" i="3"/>
  <c r="I124" i="3"/>
  <c r="J124" i="3"/>
  <c r="O124" i="3"/>
  <c r="P124" i="3"/>
  <c r="C125" i="3"/>
  <c r="E125" i="3"/>
  <c r="I125" i="3"/>
  <c r="J125" i="3"/>
  <c r="O125" i="3"/>
  <c r="P125" i="3"/>
  <c r="C126" i="3"/>
  <c r="E126" i="3"/>
  <c r="I126" i="3"/>
  <c r="J126" i="3"/>
  <c r="O126" i="3"/>
  <c r="P126" i="3"/>
  <c r="C127" i="3"/>
  <c r="E127" i="3"/>
  <c r="I127" i="3"/>
  <c r="J127" i="3"/>
  <c r="O127" i="3"/>
  <c r="P127" i="3"/>
  <c r="C128" i="3"/>
  <c r="E128" i="3"/>
  <c r="I128" i="3"/>
  <c r="J128" i="3"/>
  <c r="O128" i="3"/>
  <c r="P128" i="3"/>
  <c r="C129" i="3"/>
  <c r="E129" i="3"/>
  <c r="I129" i="3"/>
  <c r="J129" i="3"/>
  <c r="O129" i="3"/>
  <c r="P129" i="3"/>
  <c r="C130" i="3"/>
  <c r="E130" i="3"/>
  <c r="I130" i="3"/>
  <c r="J130" i="3"/>
  <c r="O130" i="3"/>
  <c r="P130" i="3"/>
  <c r="C131" i="3"/>
  <c r="E131" i="3"/>
  <c r="I131" i="3"/>
  <c r="J131" i="3"/>
  <c r="O131" i="3"/>
  <c r="P131" i="3"/>
  <c r="C132" i="3"/>
  <c r="E132" i="3"/>
  <c r="I132" i="3"/>
  <c r="J132" i="3"/>
  <c r="O132" i="3"/>
  <c r="P132" i="3"/>
  <c r="C133" i="3"/>
  <c r="E133" i="3"/>
  <c r="I133" i="3"/>
  <c r="J133" i="3"/>
  <c r="O133" i="3"/>
  <c r="P133" i="3"/>
  <c r="C134" i="3"/>
  <c r="E134" i="3"/>
  <c r="I134" i="3"/>
  <c r="J134" i="3"/>
  <c r="O134" i="3"/>
  <c r="P134" i="3"/>
  <c r="C135" i="3"/>
  <c r="E135" i="3"/>
  <c r="I135" i="3"/>
  <c r="J135" i="3"/>
  <c r="O135" i="3"/>
  <c r="P135" i="3"/>
  <c r="C136" i="3"/>
  <c r="E136" i="3"/>
  <c r="I136" i="3"/>
  <c r="J136" i="3"/>
  <c r="O136" i="3"/>
  <c r="P136" i="3"/>
  <c r="C137" i="3"/>
  <c r="E137" i="3"/>
  <c r="I137" i="3"/>
  <c r="J137" i="3"/>
  <c r="O137" i="3"/>
  <c r="P137" i="3"/>
  <c r="C138" i="3"/>
  <c r="E138" i="3"/>
  <c r="I138" i="3"/>
  <c r="J138" i="3"/>
  <c r="O138" i="3"/>
  <c r="P138" i="3"/>
  <c r="C139" i="3"/>
  <c r="E139" i="3"/>
  <c r="I139" i="3"/>
  <c r="J139" i="3"/>
  <c r="O139" i="3"/>
  <c r="P139" i="3"/>
  <c r="C140" i="3"/>
  <c r="E140" i="3"/>
  <c r="I140" i="3"/>
  <c r="J140" i="3"/>
  <c r="O140" i="3"/>
  <c r="P140" i="3"/>
  <c r="C141" i="3"/>
  <c r="E141" i="3"/>
  <c r="I141" i="3"/>
  <c r="J141" i="3"/>
  <c r="O141" i="3"/>
  <c r="P141" i="3"/>
  <c r="C142" i="3"/>
  <c r="E142" i="3"/>
  <c r="I142" i="3"/>
  <c r="J142" i="3"/>
  <c r="O142" i="3"/>
  <c r="P142" i="3"/>
  <c r="C143" i="3"/>
  <c r="E143" i="3"/>
  <c r="I143" i="3"/>
  <c r="J143" i="3"/>
  <c r="O143" i="3"/>
  <c r="P143" i="3"/>
  <c r="C144" i="3"/>
  <c r="E144" i="3"/>
  <c r="I144" i="3"/>
  <c r="J144" i="3"/>
  <c r="O144" i="3"/>
  <c r="P144" i="3"/>
  <c r="C145" i="3"/>
  <c r="E145" i="3"/>
  <c r="I145" i="3"/>
  <c r="J145" i="3"/>
  <c r="O145" i="3"/>
  <c r="P145" i="3"/>
  <c r="C146" i="3"/>
  <c r="E146" i="3"/>
  <c r="I146" i="3"/>
  <c r="J146" i="3"/>
  <c r="O146" i="3"/>
  <c r="P146" i="3"/>
  <c r="C147" i="3"/>
  <c r="E147" i="3"/>
  <c r="I147" i="3"/>
  <c r="J147" i="3"/>
  <c r="O147" i="3"/>
  <c r="P147" i="3"/>
  <c r="C148" i="3"/>
  <c r="E148" i="3"/>
  <c r="I148" i="3"/>
  <c r="J148" i="3"/>
  <c r="O148" i="3"/>
  <c r="P148" i="3"/>
  <c r="C149" i="3"/>
  <c r="E149" i="3"/>
  <c r="I149" i="3"/>
  <c r="J149" i="3"/>
  <c r="O149" i="3"/>
  <c r="P149" i="3"/>
  <c r="C150" i="3"/>
  <c r="E150" i="3"/>
  <c r="I150" i="3"/>
  <c r="J150" i="3"/>
  <c r="O150" i="3"/>
  <c r="P150" i="3"/>
  <c r="C151" i="3"/>
  <c r="E151" i="3"/>
  <c r="I151" i="3"/>
  <c r="J151" i="3"/>
  <c r="O151" i="3"/>
  <c r="P151" i="3"/>
  <c r="C152" i="3"/>
  <c r="E152" i="3"/>
  <c r="I152" i="3"/>
  <c r="J152" i="3"/>
  <c r="O152" i="3"/>
  <c r="P152" i="3"/>
  <c r="C153" i="3"/>
  <c r="E153" i="3"/>
  <c r="I153" i="3"/>
  <c r="J153" i="3"/>
  <c r="O153" i="3"/>
  <c r="P153" i="3"/>
  <c r="C154" i="3"/>
  <c r="E154" i="3"/>
  <c r="I154" i="3"/>
  <c r="J154" i="3"/>
  <c r="O154" i="3"/>
  <c r="P154" i="3"/>
  <c r="C155" i="3"/>
  <c r="E155" i="3"/>
  <c r="I155" i="3"/>
  <c r="J155" i="3"/>
  <c r="O155" i="3"/>
  <c r="P155" i="3"/>
  <c r="C156" i="3"/>
  <c r="E156" i="3"/>
  <c r="I156" i="3"/>
  <c r="J156" i="3"/>
  <c r="O156" i="3"/>
  <c r="P156" i="3"/>
  <c r="C157" i="3"/>
  <c r="E157" i="3"/>
  <c r="I157" i="3"/>
  <c r="J157" i="3"/>
  <c r="O157" i="3"/>
  <c r="P157" i="3"/>
  <c r="C158" i="3"/>
  <c r="E158" i="3"/>
  <c r="I158" i="3"/>
  <c r="J158" i="3"/>
  <c r="O158" i="3"/>
  <c r="P158" i="3"/>
  <c r="C159" i="3"/>
  <c r="E159" i="3"/>
  <c r="I159" i="3"/>
  <c r="J159" i="3"/>
  <c r="O159" i="3"/>
  <c r="P159" i="3"/>
  <c r="C160" i="3"/>
  <c r="E160" i="3"/>
  <c r="I160" i="3"/>
  <c r="J160" i="3"/>
  <c r="O160" i="3"/>
  <c r="P160" i="3"/>
  <c r="C161" i="3"/>
  <c r="E161" i="3"/>
  <c r="I161" i="3"/>
  <c r="J161" i="3"/>
  <c r="O161" i="3"/>
  <c r="P161" i="3"/>
  <c r="C162" i="3"/>
  <c r="E162" i="3"/>
  <c r="I162" i="3"/>
  <c r="J162" i="3"/>
  <c r="O162" i="3"/>
  <c r="P162" i="3"/>
  <c r="C163" i="3"/>
  <c r="E163" i="3"/>
  <c r="I163" i="3"/>
  <c r="J163" i="3"/>
  <c r="O163" i="3"/>
  <c r="P163" i="3"/>
  <c r="C164" i="3"/>
  <c r="E164" i="3"/>
  <c r="I164" i="3"/>
  <c r="J164" i="3"/>
  <c r="O164" i="3"/>
  <c r="P164" i="3"/>
  <c r="C165" i="3"/>
  <c r="E165" i="3"/>
  <c r="I165" i="3"/>
  <c r="J165" i="3"/>
  <c r="O165" i="3"/>
  <c r="P165" i="3"/>
  <c r="C166" i="3"/>
  <c r="E166" i="3"/>
  <c r="I166" i="3"/>
  <c r="J166" i="3"/>
  <c r="O166" i="3"/>
  <c r="P166" i="3"/>
  <c r="C167" i="3"/>
  <c r="E167" i="3"/>
  <c r="I167" i="3"/>
  <c r="J167" i="3"/>
  <c r="O167" i="3"/>
  <c r="P167" i="3"/>
  <c r="C168" i="3"/>
  <c r="E168" i="3"/>
  <c r="I168" i="3"/>
  <c r="J168" i="3"/>
  <c r="O168" i="3"/>
  <c r="P168" i="3"/>
  <c r="C169" i="3"/>
  <c r="E169" i="3"/>
  <c r="I169" i="3"/>
  <c r="J169" i="3"/>
  <c r="O169" i="3"/>
  <c r="P169" i="3"/>
  <c r="C170" i="3"/>
  <c r="E170" i="3"/>
  <c r="I170" i="3"/>
  <c r="J170" i="3"/>
  <c r="O170" i="3"/>
  <c r="P170" i="3"/>
  <c r="C171" i="3"/>
  <c r="E171" i="3"/>
  <c r="I171" i="3"/>
  <c r="J171" i="3"/>
  <c r="O171" i="3"/>
  <c r="P171" i="3"/>
  <c r="C172" i="3"/>
  <c r="E172" i="3"/>
  <c r="I172" i="3"/>
  <c r="J172" i="3"/>
  <c r="O172" i="3"/>
  <c r="P172" i="3"/>
  <c r="C173" i="3"/>
  <c r="E173" i="3"/>
  <c r="I173" i="3"/>
  <c r="J173" i="3"/>
  <c r="O173" i="3"/>
  <c r="P173" i="3"/>
  <c r="C174" i="3"/>
  <c r="E174" i="3"/>
  <c r="I174" i="3"/>
  <c r="J174" i="3"/>
  <c r="O174" i="3"/>
  <c r="P174" i="3"/>
  <c r="C175" i="3"/>
  <c r="E175" i="3"/>
  <c r="I175" i="3"/>
  <c r="J175" i="3"/>
  <c r="O175" i="3"/>
  <c r="P175" i="3"/>
  <c r="C176" i="3"/>
  <c r="E176" i="3"/>
  <c r="I176" i="3"/>
  <c r="J176" i="3"/>
  <c r="O176" i="3"/>
  <c r="P176" i="3"/>
  <c r="C177" i="3"/>
  <c r="E177" i="3"/>
  <c r="I177" i="3"/>
  <c r="J177" i="3"/>
  <c r="O177" i="3"/>
  <c r="P177" i="3"/>
  <c r="C178" i="3"/>
  <c r="E178" i="3"/>
  <c r="I178" i="3"/>
  <c r="J178" i="3"/>
  <c r="O178" i="3"/>
  <c r="P178" i="3"/>
  <c r="C179" i="3"/>
  <c r="E179" i="3"/>
  <c r="I179" i="3"/>
  <c r="J179" i="3"/>
  <c r="O179" i="3"/>
  <c r="P179" i="3"/>
  <c r="C180" i="3"/>
  <c r="E180" i="3"/>
  <c r="I180" i="3"/>
  <c r="J180" i="3"/>
  <c r="O180" i="3"/>
  <c r="P180" i="3"/>
  <c r="C181" i="3"/>
  <c r="E181" i="3"/>
  <c r="I181" i="3"/>
  <c r="J181" i="3"/>
  <c r="O181" i="3"/>
  <c r="P181" i="3"/>
  <c r="C182" i="3"/>
  <c r="E182" i="3"/>
  <c r="I182" i="3"/>
  <c r="J182" i="3"/>
  <c r="O182" i="3"/>
  <c r="P182" i="3"/>
  <c r="C183" i="3"/>
  <c r="E183" i="3"/>
  <c r="I183" i="3"/>
  <c r="J183" i="3"/>
  <c r="O183" i="3"/>
  <c r="P183" i="3"/>
  <c r="C184" i="3"/>
  <c r="E184" i="3"/>
  <c r="I184" i="3"/>
  <c r="J184" i="3"/>
  <c r="O184" i="3"/>
  <c r="P184" i="3"/>
  <c r="C185" i="3"/>
  <c r="E185" i="3"/>
  <c r="I185" i="3"/>
  <c r="J185" i="3"/>
  <c r="O185" i="3"/>
  <c r="P185" i="3"/>
  <c r="C186" i="3"/>
  <c r="E186" i="3"/>
  <c r="I186" i="3"/>
  <c r="J186" i="3"/>
  <c r="O186" i="3"/>
  <c r="P186" i="3"/>
  <c r="C187" i="3"/>
  <c r="E187" i="3"/>
  <c r="I187" i="3"/>
  <c r="J187" i="3"/>
  <c r="O187" i="3"/>
  <c r="P187" i="3"/>
  <c r="C188" i="3"/>
  <c r="E188" i="3"/>
  <c r="I188" i="3"/>
  <c r="J188" i="3"/>
  <c r="O188" i="3"/>
  <c r="P188" i="3"/>
  <c r="C189" i="3"/>
  <c r="E189" i="3"/>
  <c r="I189" i="3"/>
  <c r="J189" i="3"/>
  <c r="O189" i="3"/>
  <c r="P189" i="3"/>
  <c r="C190" i="3"/>
  <c r="E190" i="3"/>
  <c r="I190" i="3"/>
  <c r="J190" i="3"/>
  <c r="O190" i="3"/>
  <c r="P190" i="3"/>
  <c r="C191" i="3"/>
  <c r="E191" i="3"/>
  <c r="I191" i="3"/>
  <c r="J191" i="3"/>
  <c r="O191" i="3"/>
  <c r="P191" i="3"/>
  <c r="C192" i="3"/>
  <c r="E192" i="3"/>
  <c r="I192" i="3"/>
  <c r="J192" i="3"/>
  <c r="O192" i="3"/>
  <c r="P192" i="3"/>
  <c r="C193" i="3"/>
  <c r="E193" i="3"/>
  <c r="I193" i="3"/>
  <c r="J193" i="3"/>
  <c r="O193" i="3"/>
  <c r="P193" i="3"/>
  <c r="C194" i="3"/>
  <c r="E194" i="3"/>
  <c r="I194" i="3"/>
  <c r="J194" i="3"/>
  <c r="O194" i="3"/>
  <c r="P194" i="3"/>
  <c r="C195" i="3"/>
  <c r="E195" i="3"/>
  <c r="I195" i="3"/>
  <c r="J195" i="3"/>
  <c r="O195" i="3"/>
  <c r="P195" i="3"/>
  <c r="C196" i="3"/>
  <c r="E196" i="3"/>
  <c r="I196" i="3"/>
  <c r="J196" i="3"/>
  <c r="O196" i="3"/>
  <c r="P196" i="3"/>
  <c r="C197" i="3"/>
  <c r="E197" i="3"/>
  <c r="I197" i="3"/>
  <c r="J197" i="3"/>
  <c r="O197" i="3"/>
  <c r="P197" i="3"/>
  <c r="C198" i="3"/>
  <c r="E198" i="3"/>
  <c r="I198" i="3"/>
  <c r="J198" i="3"/>
  <c r="O198" i="3"/>
  <c r="P198" i="3"/>
  <c r="C199" i="3"/>
  <c r="E199" i="3"/>
  <c r="I199" i="3"/>
  <c r="J199" i="3"/>
  <c r="O199" i="3"/>
  <c r="P199" i="3"/>
  <c r="C200" i="3"/>
  <c r="E200" i="3"/>
  <c r="I200" i="3"/>
  <c r="J200" i="3"/>
  <c r="O200" i="3"/>
  <c r="P200" i="3"/>
  <c r="C201" i="3"/>
  <c r="E201" i="3"/>
  <c r="I201" i="3"/>
  <c r="J201" i="3"/>
  <c r="O201" i="3"/>
  <c r="P201" i="3"/>
  <c r="C202" i="3"/>
  <c r="E202" i="3"/>
  <c r="I202" i="3"/>
  <c r="J202" i="3"/>
  <c r="O202" i="3"/>
  <c r="P202" i="3"/>
  <c r="C203" i="3"/>
  <c r="E203" i="3"/>
  <c r="I203" i="3"/>
  <c r="J203" i="3"/>
  <c r="O203" i="3"/>
  <c r="P203" i="3"/>
  <c r="C204" i="3"/>
  <c r="E204" i="3"/>
  <c r="I204" i="3"/>
  <c r="J204" i="3"/>
  <c r="O204" i="3"/>
  <c r="P204" i="3"/>
  <c r="C205" i="3"/>
  <c r="E205" i="3"/>
  <c r="I205" i="3"/>
  <c r="J205" i="3"/>
  <c r="O205" i="3"/>
  <c r="P205" i="3"/>
  <c r="C206" i="3"/>
  <c r="E206" i="3"/>
  <c r="I206" i="3"/>
  <c r="J206" i="3"/>
  <c r="O206" i="3"/>
  <c r="P206" i="3"/>
  <c r="C207" i="3"/>
  <c r="E207" i="3"/>
  <c r="I207" i="3"/>
  <c r="J207" i="3"/>
  <c r="O207" i="3"/>
  <c r="P207" i="3"/>
  <c r="C208" i="3"/>
  <c r="E208" i="3"/>
  <c r="I208" i="3"/>
  <c r="J208" i="3"/>
  <c r="O208" i="3"/>
  <c r="P208" i="3"/>
  <c r="C209" i="3"/>
  <c r="E209" i="3"/>
  <c r="I209" i="3"/>
  <c r="J209" i="3"/>
  <c r="O209" i="3"/>
  <c r="P209" i="3"/>
  <c r="C210" i="3"/>
  <c r="E210" i="3"/>
  <c r="I210" i="3"/>
  <c r="J210" i="3"/>
  <c r="O210" i="3"/>
  <c r="P210" i="3"/>
  <c r="C211" i="3"/>
  <c r="E211" i="3"/>
  <c r="I211" i="3"/>
  <c r="J211" i="3"/>
  <c r="O211" i="3"/>
  <c r="P211" i="3"/>
  <c r="C212" i="3"/>
  <c r="E212" i="3"/>
  <c r="I212" i="3"/>
  <c r="J212" i="3"/>
  <c r="O212" i="3"/>
  <c r="P212" i="3"/>
  <c r="C213" i="3"/>
  <c r="E213" i="3"/>
  <c r="I213" i="3"/>
  <c r="J213" i="3"/>
  <c r="O213" i="3"/>
  <c r="P213" i="3"/>
  <c r="C214" i="3"/>
  <c r="E214" i="3"/>
  <c r="I214" i="3"/>
  <c r="J214" i="3"/>
  <c r="O214" i="3"/>
  <c r="P214" i="3"/>
  <c r="C215" i="3"/>
  <c r="E215" i="3"/>
  <c r="I215" i="3"/>
  <c r="J215" i="3"/>
  <c r="O215" i="3"/>
  <c r="P215" i="3"/>
  <c r="C216" i="3"/>
  <c r="E216" i="3"/>
  <c r="I216" i="3"/>
  <c r="J216" i="3"/>
  <c r="O216" i="3"/>
  <c r="P216" i="3"/>
  <c r="C217" i="3"/>
  <c r="E217" i="3"/>
  <c r="I217" i="3"/>
  <c r="J217" i="3"/>
  <c r="O217" i="3"/>
  <c r="P217" i="3"/>
  <c r="C218" i="3"/>
  <c r="E218" i="3"/>
  <c r="I218" i="3"/>
  <c r="J218" i="3"/>
  <c r="O218" i="3"/>
  <c r="P218" i="3"/>
  <c r="C219" i="3"/>
  <c r="E219" i="3"/>
  <c r="I219" i="3"/>
  <c r="J219" i="3"/>
  <c r="O219" i="3"/>
  <c r="P219" i="3"/>
  <c r="C220" i="3"/>
  <c r="E220" i="3"/>
  <c r="I220" i="3"/>
  <c r="J220" i="3"/>
  <c r="O220" i="3"/>
  <c r="P220" i="3"/>
  <c r="C221" i="3"/>
  <c r="E221" i="3"/>
  <c r="I221" i="3"/>
  <c r="J221" i="3"/>
  <c r="O221" i="3"/>
  <c r="P221" i="3"/>
  <c r="C222" i="3"/>
  <c r="E222" i="3"/>
  <c r="I222" i="3"/>
  <c r="J222" i="3"/>
  <c r="O222" i="3"/>
  <c r="P222" i="3"/>
  <c r="C223" i="3"/>
  <c r="E223" i="3"/>
  <c r="I223" i="3"/>
  <c r="J223" i="3"/>
  <c r="O223" i="3"/>
  <c r="P223" i="3"/>
  <c r="C224" i="3"/>
  <c r="E224" i="3"/>
  <c r="I224" i="3"/>
  <c r="J224" i="3"/>
  <c r="O224" i="3"/>
  <c r="P224" i="3"/>
  <c r="C225" i="3"/>
  <c r="E225" i="3"/>
  <c r="I225" i="3"/>
  <c r="J225" i="3"/>
  <c r="O225" i="3"/>
  <c r="P225" i="3"/>
  <c r="C226" i="3"/>
  <c r="E226" i="3"/>
  <c r="I226" i="3"/>
  <c r="J226" i="3"/>
  <c r="O226" i="3"/>
  <c r="P226" i="3"/>
  <c r="C227" i="3"/>
  <c r="E227" i="3"/>
  <c r="I227" i="3"/>
  <c r="J227" i="3"/>
  <c r="O227" i="3"/>
  <c r="P227" i="3"/>
  <c r="C228" i="3"/>
  <c r="E228" i="3"/>
  <c r="I228" i="3"/>
  <c r="J228" i="3"/>
  <c r="O228" i="3"/>
  <c r="P228" i="3"/>
  <c r="C229" i="3"/>
  <c r="E229" i="3"/>
  <c r="I229" i="3"/>
  <c r="J229" i="3"/>
  <c r="O229" i="3"/>
  <c r="P229" i="3"/>
  <c r="C230" i="3"/>
  <c r="E230" i="3"/>
  <c r="I230" i="3"/>
  <c r="J230" i="3"/>
  <c r="O230" i="3"/>
  <c r="P230" i="3"/>
  <c r="C231" i="3"/>
  <c r="E231" i="3"/>
  <c r="I231" i="3"/>
  <c r="J231" i="3"/>
  <c r="O231" i="3"/>
  <c r="P231" i="3"/>
  <c r="C232" i="3"/>
  <c r="E232" i="3"/>
  <c r="I232" i="3"/>
  <c r="J232" i="3"/>
  <c r="O232" i="3"/>
  <c r="P232" i="3"/>
  <c r="C233" i="3"/>
  <c r="E233" i="3"/>
  <c r="I233" i="3"/>
  <c r="J233" i="3"/>
  <c r="O233" i="3"/>
  <c r="P233" i="3"/>
  <c r="C234" i="3"/>
  <c r="E234" i="3"/>
  <c r="I234" i="3"/>
  <c r="J234" i="3"/>
  <c r="O234" i="3"/>
  <c r="P234" i="3"/>
  <c r="C235" i="3"/>
  <c r="E235" i="3"/>
  <c r="I235" i="3"/>
  <c r="J235" i="3"/>
  <c r="O235" i="3"/>
  <c r="P235" i="3"/>
  <c r="C236" i="3"/>
  <c r="E236" i="3"/>
  <c r="I236" i="3"/>
  <c r="J236" i="3"/>
  <c r="O236" i="3"/>
  <c r="P236" i="3"/>
  <c r="C237" i="3"/>
  <c r="E237" i="3"/>
  <c r="I237" i="3"/>
  <c r="J237" i="3"/>
  <c r="O237" i="3"/>
  <c r="P237" i="3"/>
  <c r="C238" i="3"/>
  <c r="E238" i="3"/>
  <c r="I238" i="3"/>
  <c r="J238" i="3"/>
  <c r="O238" i="3"/>
  <c r="P238" i="3"/>
  <c r="C239" i="3"/>
  <c r="E239" i="3"/>
  <c r="I239" i="3"/>
  <c r="J239" i="3"/>
  <c r="O239" i="3"/>
  <c r="P239" i="3"/>
  <c r="C240" i="3"/>
  <c r="E240" i="3"/>
  <c r="I240" i="3"/>
  <c r="J240" i="3"/>
  <c r="O240" i="3"/>
  <c r="P240" i="3"/>
  <c r="C241" i="3"/>
  <c r="E241" i="3"/>
  <c r="I241" i="3"/>
  <c r="J241" i="3"/>
  <c r="O241" i="3"/>
  <c r="P241" i="3"/>
  <c r="C242" i="3"/>
  <c r="E242" i="3"/>
  <c r="I242" i="3"/>
  <c r="J242" i="3"/>
  <c r="O242" i="3"/>
  <c r="P242" i="3"/>
  <c r="C243" i="3"/>
  <c r="E243" i="3"/>
  <c r="I243" i="3"/>
  <c r="J243" i="3"/>
  <c r="O243" i="3"/>
  <c r="P243" i="3"/>
  <c r="C244" i="3"/>
  <c r="E244" i="3"/>
  <c r="I244" i="3"/>
  <c r="J244" i="3"/>
  <c r="O244" i="3"/>
  <c r="P244" i="3"/>
  <c r="C245" i="3"/>
  <c r="E245" i="3"/>
  <c r="I245" i="3"/>
  <c r="J245" i="3"/>
  <c r="O245" i="3"/>
  <c r="P245" i="3"/>
  <c r="C246" i="3"/>
  <c r="E246" i="3"/>
  <c r="I246" i="3"/>
  <c r="J246" i="3"/>
  <c r="O246" i="3"/>
  <c r="P246" i="3"/>
  <c r="C247" i="3"/>
  <c r="E247" i="3"/>
  <c r="I247" i="3"/>
  <c r="J247" i="3"/>
  <c r="O247" i="3"/>
  <c r="P247" i="3"/>
  <c r="C248" i="3"/>
  <c r="E248" i="3"/>
  <c r="I248" i="3"/>
  <c r="J248" i="3"/>
  <c r="O248" i="3"/>
  <c r="P248" i="3"/>
  <c r="C249" i="3"/>
  <c r="E249" i="3"/>
  <c r="I249" i="3"/>
  <c r="J249" i="3"/>
  <c r="O249" i="3"/>
  <c r="P249" i="3"/>
  <c r="C250" i="3"/>
  <c r="E250" i="3"/>
  <c r="I250" i="3"/>
  <c r="J250" i="3"/>
  <c r="O250" i="3"/>
  <c r="P250" i="3"/>
  <c r="C251" i="3"/>
  <c r="E251" i="3"/>
  <c r="I251" i="3"/>
  <c r="J251" i="3"/>
  <c r="O251" i="3"/>
  <c r="P251" i="3"/>
  <c r="C252" i="3"/>
  <c r="E252" i="3"/>
  <c r="I252" i="3"/>
  <c r="J252" i="3"/>
  <c r="O252" i="3"/>
  <c r="P252" i="3"/>
  <c r="C253" i="3"/>
  <c r="E253" i="3"/>
  <c r="I253" i="3"/>
  <c r="J253" i="3"/>
  <c r="O253" i="3"/>
  <c r="P253" i="3"/>
  <c r="C254" i="3"/>
  <c r="E254" i="3"/>
  <c r="I254" i="3"/>
  <c r="J254" i="3"/>
  <c r="O254" i="3"/>
  <c r="P254" i="3"/>
  <c r="C255" i="3"/>
  <c r="E255" i="3"/>
  <c r="I255" i="3"/>
  <c r="J255" i="3"/>
  <c r="O255" i="3"/>
  <c r="P255" i="3"/>
  <c r="C256" i="3"/>
  <c r="E256" i="3"/>
  <c r="I256" i="3"/>
  <c r="J256" i="3"/>
  <c r="O256" i="3"/>
  <c r="P256" i="3"/>
  <c r="C257" i="3"/>
  <c r="E257" i="3"/>
  <c r="I257" i="3"/>
  <c r="J257" i="3"/>
  <c r="O257" i="3"/>
  <c r="P257" i="3"/>
  <c r="C258" i="3"/>
  <c r="E258" i="3"/>
  <c r="I258" i="3"/>
  <c r="J258" i="3"/>
  <c r="O258" i="3"/>
  <c r="P258" i="3"/>
  <c r="C259" i="3"/>
  <c r="E259" i="3"/>
  <c r="I259" i="3"/>
  <c r="J259" i="3"/>
  <c r="O259" i="3"/>
  <c r="P259" i="3"/>
  <c r="C260" i="3"/>
  <c r="E260" i="3"/>
  <c r="I260" i="3"/>
  <c r="J260" i="3"/>
  <c r="O260" i="3"/>
  <c r="P260" i="3"/>
  <c r="C261" i="3"/>
  <c r="E261" i="3"/>
  <c r="I261" i="3"/>
  <c r="J261" i="3"/>
  <c r="O261" i="3"/>
  <c r="P261" i="3"/>
  <c r="C262" i="3"/>
  <c r="E262" i="3"/>
  <c r="I262" i="3"/>
  <c r="J262" i="3"/>
  <c r="O262" i="3"/>
  <c r="P262" i="3"/>
  <c r="C263" i="3"/>
  <c r="E263" i="3"/>
  <c r="I263" i="3"/>
  <c r="J263" i="3"/>
  <c r="O263" i="3"/>
  <c r="P263" i="3"/>
  <c r="C264" i="3"/>
  <c r="E264" i="3"/>
  <c r="I264" i="3"/>
  <c r="J264" i="3"/>
  <c r="O264" i="3"/>
  <c r="P264" i="3"/>
  <c r="C265" i="3"/>
  <c r="E265" i="3"/>
  <c r="I265" i="3"/>
  <c r="J265" i="3"/>
  <c r="O265" i="3"/>
  <c r="P265" i="3"/>
  <c r="C266" i="3"/>
  <c r="E266" i="3"/>
  <c r="I266" i="3"/>
  <c r="J266" i="3"/>
  <c r="O266" i="3"/>
  <c r="P266" i="3"/>
  <c r="C267" i="3"/>
  <c r="E267" i="3"/>
  <c r="I267" i="3"/>
  <c r="J267" i="3"/>
  <c r="O267" i="3"/>
  <c r="P267" i="3"/>
  <c r="C268" i="3"/>
  <c r="E268" i="3"/>
  <c r="I268" i="3"/>
  <c r="J268" i="3"/>
  <c r="O268" i="3"/>
  <c r="P268" i="3"/>
  <c r="C269" i="3"/>
  <c r="E269" i="3"/>
  <c r="I269" i="3"/>
  <c r="J269" i="3"/>
  <c r="O269" i="3"/>
  <c r="P269" i="3"/>
  <c r="C270" i="3"/>
  <c r="E270" i="3"/>
  <c r="I270" i="3"/>
  <c r="J270" i="3"/>
  <c r="O270" i="3"/>
  <c r="P270" i="3"/>
  <c r="C271" i="3"/>
  <c r="E271" i="3"/>
  <c r="I271" i="3"/>
  <c r="J271" i="3"/>
  <c r="O271" i="3"/>
  <c r="P271" i="3"/>
  <c r="C272" i="3"/>
  <c r="E272" i="3"/>
  <c r="I272" i="3"/>
  <c r="J272" i="3"/>
  <c r="O272" i="3"/>
  <c r="P272" i="3"/>
  <c r="C273" i="3"/>
  <c r="E273" i="3"/>
  <c r="I273" i="3"/>
  <c r="J273" i="3"/>
  <c r="O273" i="3"/>
  <c r="P273" i="3"/>
  <c r="C274" i="3"/>
  <c r="E274" i="3"/>
  <c r="I274" i="3"/>
  <c r="J274" i="3"/>
  <c r="O274" i="3"/>
  <c r="P274" i="3"/>
  <c r="C275" i="3"/>
  <c r="E275" i="3"/>
  <c r="I275" i="3"/>
  <c r="J275" i="3"/>
  <c r="O275" i="3"/>
  <c r="P275" i="3"/>
  <c r="C276" i="3"/>
  <c r="E276" i="3"/>
  <c r="I276" i="3"/>
  <c r="J276" i="3"/>
  <c r="O276" i="3"/>
  <c r="P276" i="3"/>
  <c r="C277" i="3"/>
  <c r="E277" i="3"/>
  <c r="I277" i="3"/>
  <c r="J277" i="3"/>
  <c r="O277" i="3"/>
  <c r="P277" i="3"/>
  <c r="C278" i="3"/>
  <c r="E278" i="3"/>
  <c r="I278" i="3"/>
  <c r="J278" i="3"/>
  <c r="O278" i="3"/>
  <c r="P278" i="3"/>
  <c r="C279" i="3"/>
  <c r="E279" i="3"/>
  <c r="I279" i="3"/>
  <c r="J279" i="3"/>
  <c r="O279" i="3"/>
  <c r="P279" i="3"/>
  <c r="C280" i="3"/>
  <c r="E280" i="3"/>
  <c r="I280" i="3"/>
  <c r="J280" i="3"/>
  <c r="O280" i="3"/>
  <c r="P280" i="3"/>
  <c r="C281" i="3"/>
  <c r="E281" i="3"/>
  <c r="I281" i="3"/>
  <c r="J281" i="3"/>
  <c r="O281" i="3"/>
  <c r="P281" i="3"/>
  <c r="C282" i="3"/>
  <c r="E282" i="3"/>
  <c r="I282" i="3"/>
  <c r="J282" i="3"/>
  <c r="O282" i="3"/>
  <c r="P282" i="3"/>
  <c r="C283" i="3"/>
  <c r="E283" i="3"/>
  <c r="I283" i="3"/>
  <c r="J283" i="3"/>
  <c r="O283" i="3"/>
  <c r="P283" i="3"/>
  <c r="C284" i="3"/>
  <c r="E284" i="3"/>
  <c r="I284" i="3"/>
  <c r="J284" i="3"/>
  <c r="O284" i="3"/>
  <c r="P284" i="3"/>
  <c r="C285" i="3"/>
  <c r="E285" i="3"/>
  <c r="I285" i="3"/>
  <c r="J285" i="3"/>
  <c r="O285" i="3"/>
  <c r="P285" i="3"/>
  <c r="C286" i="3"/>
  <c r="E286" i="3"/>
  <c r="I286" i="3"/>
  <c r="J286" i="3"/>
  <c r="O286" i="3"/>
  <c r="P286" i="3"/>
  <c r="C287" i="3"/>
  <c r="E287" i="3"/>
  <c r="I287" i="3"/>
  <c r="J287" i="3"/>
  <c r="O287" i="3"/>
  <c r="P287" i="3"/>
  <c r="C288" i="3"/>
  <c r="E288" i="3"/>
  <c r="I288" i="3"/>
  <c r="J288" i="3"/>
  <c r="O288" i="3"/>
  <c r="P288" i="3"/>
  <c r="C289" i="3"/>
  <c r="E289" i="3"/>
  <c r="I289" i="3"/>
  <c r="J289" i="3"/>
  <c r="O289" i="3"/>
  <c r="P289" i="3"/>
  <c r="C290" i="3"/>
  <c r="E290" i="3"/>
  <c r="I290" i="3"/>
  <c r="J290" i="3"/>
  <c r="O290" i="3"/>
  <c r="P290" i="3"/>
  <c r="C291" i="3"/>
  <c r="E291" i="3"/>
  <c r="I291" i="3"/>
  <c r="J291" i="3"/>
  <c r="O291" i="3"/>
  <c r="P291" i="3"/>
  <c r="C292" i="3"/>
  <c r="E292" i="3"/>
  <c r="I292" i="3"/>
  <c r="J292" i="3"/>
  <c r="O292" i="3"/>
  <c r="P292" i="3"/>
  <c r="C293" i="3"/>
  <c r="E293" i="3"/>
  <c r="I293" i="3"/>
  <c r="J293" i="3"/>
  <c r="O293" i="3"/>
  <c r="P293" i="3"/>
  <c r="C294" i="3"/>
  <c r="E294" i="3"/>
  <c r="I294" i="3"/>
  <c r="J294" i="3"/>
  <c r="O294" i="3"/>
  <c r="P294" i="3"/>
  <c r="C295" i="3"/>
  <c r="E295" i="3"/>
  <c r="I295" i="3"/>
  <c r="J295" i="3"/>
  <c r="O295" i="3"/>
  <c r="P295" i="3"/>
  <c r="C296" i="3"/>
  <c r="E296" i="3"/>
  <c r="I296" i="3"/>
  <c r="J296" i="3"/>
  <c r="O296" i="3"/>
  <c r="P296" i="3"/>
  <c r="C297" i="3"/>
  <c r="E297" i="3"/>
  <c r="I297" i="3"/>
  <c r="J297" i="3"/>
  <c r="O297" i="3"/>
  <c r="P297" i="3"/>
  <c r="C298" i="3"/>
  <c r="E298" i="3"/>
  <c r="I298" i="3"/>
  <c r="J298" i="3"/>
  <c r="O298" i="3"/>
  <c r="P298" i="3"/>
  <c r="C299" i="3"/>
  <c r="E299" i="3"/>
  <c r="I299" i="3"/>
  <c r="J299" i="3"/>
  <c r="O299" i="3"/>
  <c r="P299" i="3"/>
  <c r="C300" i="3"/>
  <c r="E300" i="3"/>
  <c r="I300" i="3"/>
  <c r="J300" i="3"/>
  <c r="O300" i="3"/>
  <c r="P300" i="3"/>
  <c r="C301" i="3"/>
  <c r="E301" i="3"/>
  <c r="I301" i="3"/>
  <c r="J301" i="3"/>
  <c r="O301" i="3"/>
  <c r="P301" i="3"/>
  <c r="C302" i="3"/>
  <c r="E302" i="3"/>
  <c r="I302" i="3"/>
  <c r="J302" i="3"/>
  <c r="O302" i="3"/>
  <c r="P302" i="3"/>
  <c r="C303" i="3"/>
  <c r="E303" i="3"/>
  <c r="I303" i="3"/>
  <c r="J303" i="3"/>
  <c r="O303" i="3"/>
  <c r="P303" i="3"/>
  <c r="C304" i="3"/>
  <c r="E304" i="3"/>
  <c r="I304" i="3"/>
  <c r="J304" i="3"/>
  <c r="O304" i="3"/>
  <c r="P304" i="3"/>
  <c r="C305" i="3"/>
  <c r="E305" i="3"/>
  <c r="I305" i="3"/>
  <c r="J305" i="3"/>
  <c r="O305" i="3"/>
  <c r="P305" i="3"/>
  <c r="C306" i="3"/>
  <c r="E306" i="3"/>
  <c r="I306" i="3"/>
  <c r="J306" i="3"/>
  <c r="O306" i="3"/>
  <c r="P306" i="3"/>
  <c r="C307" i="3"/>
  <c r="E307" i="3"/>
  <c r="I307" i="3"/>
  <c r="J307" i="3"/>
  <c r="O307" i="3"/>
  <c r="P307" i="3"/>
  <c r="C308" i="3"/>
  <c r="E308" i="3"/>
  <c r="I308" i="3"/>
  <c r="J308" i="3"/>
  <c r="O308" i="3"/>
  <c r="P308" i="3"/>
  <c r="C309" i="3"/>
  <c r="E309" i="3"/>
  <c r="I309" i="3"/>
  <c r="J309" i="3"/>
  <c r="O309" i="3"/>
  <c r="P309" i="3"/>
  <c r="C310" i="3"/>
  <c r="E310" i="3"/>
  <c r="I310" i="3"/>
  <c r="J310" i="3"/>
  <c r="O310" i="3"/>
  <c r="P310" i="3"/>
  <c r="C311" i="3"/>
  <c r="E311" i="3"/>
  <c r="I311" i="3"/>
  <c r="J311" i="3"/>
  <c r="O311" i="3"/>
  <c r="P311" i="3"/>
  <c r="C312" i="3"/>
  <c r="E312" i="3"/>
  <c r="I312" i="3"/>
  <c r="J312" i="3"/>
  <c r="O312" i="3"/>
  <c r="P312" i="3"/>
  <c r="C313" i="3"/>
  <c r="E313" i="3"/>
  <c r="I313" i="3"/>
  <c r="J313" i="3"/>
  <c r="O313" i="3"/>
  <c r="P313" i="3"/>
  <c r="C314" i="3"/>
  <c r="E314" i="3"/>
  <c r="I314" i="3"/>
  <c r="J314" i="3"/>
  <c r="O314" i="3"/>
  <c r="P314" i="3"/>
  <c r="C315" i="3"/>
  <c r="E315" i="3"/>
  <c r="I315" i="3"/>
  <c r="J315" i="3"/>
  <c r="O315" i="3"/>
  <c r="P315" i="3"/>
  <c r="C316" i="3"/>
  <c r="E316" i="3"/>
  <c r="I316" i="3"/>
  <c r="J316" i="3"/>
  <c r="O316" i="3"/>
  <c r="P316" i="3"/>
  <c r="C317" i="3"/>
  <c r="E317" i="3"/>
  <c r="I317" i="3"/>
  <c r="J317" i="3"/>
  <c r="O317" i="3"/>
  <c r="P317" i="3"/>
  <c r="C318" i="3"/>
  <c r="E318" i="3"/>
  <c r="I318" i="3"/>
  <c r="J318" i="3"/>
  <c r="O318" i="3"/>
  <c r="P318" i="3"/>
  <c r="C319" i="3"/>
  <c r="E319" i="3"/>
  <c r="I319" i="3"/>
  <c r="J319" i="3"/>
  <c r="O319" i="3"/>
  <c r="P319" i="3"/>
  <c r="C320" i="3"/>
  <c r="E320" i="3"/>
  <c r="I320" i="3"/>
  <c r="J320" i="3"/>
  <c r="O320" i="3"/>
  <c r="P320" i="3"/>
  <c r="C321" i="3"/>
  <c r="E321" i="3"/>
  <c r="I321" i="3"/>
  <c r="J321" i="3"/>
  <c r="O321" i="3"/>
  <c r="P321" i="3"/>
  <c r="C322" i="3"/>
  <c r="E322" i="3"/>
  <c r="I322" i="3"/>
  <c r="J322" i="3"/>
  <c r="O322" i="3"/>
  <c r="P322" i="3"/>
  <c r="C323" i="3"/>
  <c r="E323" i="3"/>
  <c r="I323" i="3"/>
  <c r="J323" i="3"/>
  <c r="O323" i="3"/>
  <c r="P323" i="3"/>
  <c r="C324" i="3"/>
  <c r="E324" i="3"/>
  <c r="I324" i="3"/>
  <c r="J324" i="3"/>
  <c r="O324" i="3"/>
  <c r="P324" i="3"/>
  <c r="C325" i="3"/>
  <c r="E325" i="3"/>
  <c r="I325" i="3"/>
  <c r="J325" i="3"/>
  <c r="O325" i="3"/>
  <c r="P325" i="3"/>
  <c r="C326" i="3"/>
  <c r="E326" i="3"/>
  <c r="I326" i="3"/>
  <c r="J326" i="3"/>
  <c r="O326" i="3"/>
  <c r="P326" i="3"/>
  <c r="C327" i="3"/>
  <c r="E327" i="3"/>
  <c r="I327" i="3"/>
  <c r="J327" i="3"/>
  <c r="O327" i="3"/>
  <c r="P327" i="3"/>
  <c r="C328" i="3"/>
  <c r="E328" i="3"/>
  <c r="I328" i="3"/>
  <c r="J328" i="3"/>
  <c r="O328" i="3"/>
  <c r="P328" i="3"/>
  <c r="C329" i="3"/>
  <c r="E329" i="3"/>
  <c r="I329" i="3"/>
  <c r="J329" i="3"/>
  <c r="O329" i="3"/>
  <c r="P329" i="3"/>
  <c r="C330" i="3"/>
  <c r="E330" i="3"/>
  <c r="I330" i="3"/>
  <c r="J330" i="3"/>
  <c r="O330" i="3"/>
  <c r="P330" i="3"/>
  <c r="C331" i="3"/>
  <c r="E331" i="3"/>
  <c r="I331" i="3"/>
  <c r="J331" i="3"/>
  <c r="O331" i="3"/>
  <c r="P331" i="3"/>
  <c r="C332" i="3"/>
  <c r="E332" i="3"/>
  <c r="I332" i="3"/>
  <c r="J332" i="3"/>
  <c r="O332" i="3"/>
  <c r="P332" i="3"/>
  <c r="C333" i="3"/>
  <c r="E333" i="3"/>
  <c r="I333" i="3"/>
  <c r="J333" i="3"/>
  <c r="O333" i="3"/>
  <c r="P333" i="3"/>
  <c r="C334" i="3"/>
  <c r="E334" i="3"/>
  <c r="I334" i="3"/>
  <c r="J334" i="3"/>
  <c r="O334" i="3"/>
  <c r="P334" i="3"/>
  <c r="C335" i="3"/>
  <c r="E335" i="3"/>
  <c r="I335" i="3"/>
  <c r="J335" i="3"/>
  <c r="O335" i="3"/>
  <c r="P335" i="3"/>
  <c r="C336" i="3"/>
  <c r="E336" i="3"/>
  <c r="I336" i="3"/>
  <c r="J336" i="3"/>
  <c r="O336" i="3"/>
  <c r="P336" i="3"/>
  <c r="C337" i="3"/>
  <c r="E337" i="3"/>
  <c r="I337" i="3"/>
  <c r="J337" i="3"/>
  <c r="O337" i="3"/>
  <c r="P337" i="3"/>
  <c r="C338" i="3"/>
  <c r="E338" i="3"/>
  <c r="I338" i="3"/>
  <c r="J338" i="3"/>
  <c r="O338" i="3"/>
  <c r="P338" i="3"/>
  <c r="C339" i="3"/>
  <c r="E339" i="3"/>
  <c r="I339" i="3"/>
  <c r="J339" i="3"/>
  <c r="O339" i="3"/>
  <c r="P339" i="3"/>
  <c r="C340" i="3"/>
  <c r="E340" i="3"/>
  <c r="I340" i="3"/>
  <c r="J340" i="3"/>
  <c r="O340" i="3"/>
  <c r="P340" i="3"/>
  <c r="C341" i="3"/>
  <c r="E341" i="3"/>
  <c r="I341" i="3"/>
  <c r="J341" i="3"/>
  <c r="O341" i="3"/>
  <c r="P341" i="3"/>
  <c r="C342" i="3"/>
  <c r="E342" i="3"/>
  <c r="I342" i="3"/>
  <c r="J342" i="3"/>
  <c r="O342" i="3"/>
  <c r="P342" i="3"/>
  <c r="C343" i="3"/>
  <c r="E343" i="3"/>
  <c r="I343" i="3"/>
  <c r="J343" i="3"/>
  <c r="O343" i="3"/>
  <c r="P343" i="3"/>
  <c r="C344" i="3"/>
  <c r="E344" i="3"/>
  <c r="I344" i="3"/>
  <c r="J344" i="3"/>
  <c r="O344" i="3"/>
  <c r="P344" i="3"/>
  <c r="C345" i="3"/>
  <c r="E345" i="3"/>
  <c r="I345" i="3"/>
  <c r="J345" i="3"/>
  <c r="O345" i="3"/>
  <c r="P345" i="3"/>
  <c r="C346" i="3"/>
  <c r="E346" i="3"/>
  <c r="I346" i="3"/>
  <c r="J346" i="3"/>
  <c r="O346" i="3"/>
  <c r="P346" i="3"/>
  <c r="C347" i="3"/>
  <c r="E347" i="3"/>
  <c r="I347" i="3"/>
  <c r="J347" i="3"/>
  <c r="O347" i="3"/>
  <c r="P347" i="3"/>
  <c r="C348" i="3"/>
  <c r="E348" i="3"/>
  <c r="I348" i="3"/>
  <c r="J348" i="3"/>
  <c r="O348" i="3"/>
  <c r="P348" i="3"/>
  <c r="C349" i="3"/>
  <c r="E349" i="3"/>
  <c r="I349" i="3"/>
  <c r="J349" i="3"/>
  <c r="O349" i="3"/>
  <c r="P349" i="3"/>
  <c r="C350" i="3"/>
  <c r="E350" i="3"/>
  <c r="I350" i="3"/>
  <c r="J350" i="3"/>
  <c r="O350" i="3"/>
  <c r="P350" i="3"/>
  <c r="C351" i="3"/>
  <c r="E351" i="3"/>
  <c r="I351" i="3"/>
  <c r="J351" i="3"/>
  <c r="O351" i="3"/>
  <c r="P351" i="3"/>
  <c r="C352" i="3"/>
  <c r="E352" i="3"/>
  <c r="I352" i="3"/>
  <c r="J352" i="3"/>
  <c r="O352" i="3"/>
  <c r="P352" i="3"/>
  <c r="C353" i="3"/>
  <c r="E353" i="3"/>
  <c r="I353" i="3"/>
  <c r="J353" i="3"/>
  <c r="O353" i="3"/>
  <c r="P353" i="3"/>
  <c r="C354" i="3"/>
  <c r="E354" i="3"/>
  <c r="I354" i="3"/>
  <c r="J354" i="3"/>
  <c r="O354" i="3"/>
  <c r="P354" i="3"/>
  <c r="C355" i="3"/>
  <c r="E355" i="3"/>
  <c r="I355" i="3"/>
  <c r="J355" i="3"/>
  <c r="O355" i="3"/>
  <c r="P355" i="3"/>
  <c r="C356" i="3"/>
  <c r="E356" i="3"/>
  <c r="I356" i="3"/>
  <c r="J356" i="3"/>
  <c r="O356" i="3"/>
  <c r="P356" i="3"/>
  <c r="C357" i="3"/>
  <c r="E357" i="3"/>
  <c r="I357" i="3"/>
  <c r="J357" i="3"/>
  <c r="O357" i="3"/>
  <c r="P357" i="3"/>
  <c r="C358" i="3"/>
  <c r="E358" i="3"/>
  <c r="I358" i="3"/>
  <c r="J358" i="3"/>
  <c r="O358" i="3"/>
  <c r="P358" i="3"/>
  <c r="C359" i="3"/>
  <c r="E359" i="3"/>
  <c r="I359" i="3"/>
  <c r="J359" i="3"/>
  <c r="O359" i="3"/>
  <c r="P359" i="3"/>
  <c r="C360" i="3"/>
  <c r="E360" i="3"/>
  <c r="I360" i="3"/>
  <c r="J360" i="3"/>
  <c r="O360" i="3"/>
  <c r="P360" i="3"/>
  <c r="C361" i="3"/>
  <c r="E361" i="3"/>
  <c r="I361" i="3"/>
  <c r="J361" i="3"/>
  <c r="O361" i="3"/>
  <c r="P361" i="3"/>
  <c r="C362" i="3"/>
  <c r="E362" i="3"/>
  <c r="I362" i="3"/>
  <c r="J362" i="3"/>
  <c r="O362" i="3"/>
  <c r="P362" i="3"/>
  <c r="C363" i="3"/>
  <c r="E363" i="3"/>
  <c r="I363" i="3"/>
  <c r="J363" i="3"/>
  <c r="O363" i="3"/>
  <c r="P363" i="3"/>
  <c r="C364" i="3"/>
  <c r="E364" i="3"/>
  <c r="I364" i="3"/>
  <c r="J364" i="3"/>
  <c r="O364" i="3"/>
  <c r="P364" i="3"/>
  <c r="C365" i="3"/>
  <c r="E365" i="3"/>
  <c r="I365" i="3"/>
  <c r="J365" i="3"/>
  <c r="O365" i="3"/>
  <c r="P365" i="3"/>
  <c r="C366" i="3"/>
  <c r="E366" i="3"/>
  <c r="I366" i="3"/>
  <c r="J366" i="3"/>
  <c r="O366" i="3"/>
  <c r="P366" i="3"/>
  <c r="C367" i="3"/>
  <c r="E367" i="3"/>
  <c r="I367" i="3"/>
  <c r="J367" i="3"/>
  <c r="O367" i="3"/>
  <c r="P367" i="3"/>
  <c r="C368" i="3"/>
  <c r="E368" i="3"/>
  <c r="I368" i="3"/>
  <c r="J368" i="3"/>
  <c r="O368" i="3"/>
  <c r="P368" i="3"/>
  <c r="C369" i="3"/>
  <c r="E369" i="3"/>
  <c r="I369" i="3"/>
  <c r="J369" i="3"/>
  <c r="O369" i="3"/>
  <c r="P369" i="3"/>
  <c r="C370" i="3"/>
  <c r="E370" i="3"/>
  <c r="I370" i="3"/>
  <c r="J370" i="3"/>
  <c r="O370" i="3"/>
  <c r="P370" i="3"/>
  <c r="C371" i="3"/>
  <c r="E371" i="3"/>
  <c r="I371" i="3"/>
  <c r="J371" i="3"/>
  <c r="O371" i="3"/>
  <c r="P371" i="3"/>
  <c r="C372" i="3"/>
  <c r="E372" i="3"/>
  <c r="I372" i="3"/>
  <c r="J372" i="3"/>
  <c r="O372" i="3"/>
  <c r="P372" i="3"/>
  <c r="C373" i="3"/>
  <c r="E373" i="3"/>
  <c r="I373" i="3"/>
  <c r="J373" i="3"/>
  <c r="O373" i="3"/>
  <c r="P373" i="3"/>
  <c r="C374" i="3"/>
  <c r="E374" i="3"/>
  <c r="I374" i="3"/>
  <c r="J374" i="3"/>
  <c r="O374" i="3"/>
  <c r="P374" i="3"/>
  <c r="C375" i="3"/>
  <c r="E375" i="3"/>
  <c r="I375" i="3"/>
  <c r="J375" i="3"/>
  <c r="O375" i="3"/>
  <c r="P375" i="3"/>
  <c r="C376" i="3"/>
  <c r="E376" i="3"/>
  <c r="I376" i="3"/>
  <c r="J376" i="3"/>
  <c r="O376" i="3"/>
  <c r="P376" i="3"/>
  <c r="C377" i="3"/>
  <c r="E377" i="3"/>
  <c r="I377" i="3"/>
  <c r="J377" i="3"/>
  <c r="O377" i="3"/>
  <c r="P377" i="3"/>
  <c r="C378" i="3"/>
  <c r="E378" i="3"/>
  <c r="I378" i="3"/>
  <c r="J378" i="3"/>
  <c r="O378" i="3"/>
  <c r="P378" i="3"/>
  <c r="C379" i="3"/>
  <c r="E379" i="3"/>
  <c r="I379" i="3"/>
  <c r="J379" i="3"/>
  <c r="O379" i="3"/>
  <c r="P379" i="3"/>
  <c r="C380" i="3"/>
  <c r="E380" i="3"/>
  <c r="I380" i="3"/>
  <c r="J380" i="3"/>
  <c r="O380" i="3"/>
  <c r="P380" i="3"/>
  <c r="C381" i="3"/>
  <c r="E381" i="3"/>
  <c r="I381" i="3"/>
  <c r="J381" i="3"/>
  <c r="O381" i="3"/>
  <c r="P381" i="3"/>
  <c r="C382" i="3"/>
  <c r="E382" i="3"/>
  <c r="I382" i="3"/>
  <c r="J382" i="3"/>
  <c r="O382" i="3"/>
  <c r="P382" i="3"/>
  <c r="C383" i="3"/>
  <c r="E383" i="3"/>
  <c r="I383" i="3"/>
  <c r="J383" i="3"/>
  <c r="O383" i="3"/>
  <c r="P383" i="3"/>
  <c r="C384" i="3"/>
  <c r="E384" i="3"/>
  <c r="I384" i="3"/>
  <c r="J384" i="3"/>
  <c r="O384" i="3"/>
  <c r="P384" i="3"/>
  <c r="C385" i="3"/>
  <c r="E385" i="3"/>
  <c r="I385" i="3"/>
  <c r="J385" i="3"/>
  <c r="O385" i="3"/>
  <c r="P385" i="3"/>
  <c r="C386" i="3"/>
  <c r="E386" i="3"/>
  <c r="I386" i="3"/>
  <c r="J386" i="3"/>
  <c r="O386" i="3"/>
  <c r="P386" i="3"/>
  <c r="C387" i="3"/>
  <c r="E387" i="3"/>
  <c r="I387" i="3"/>
  <c r="J387" i="3"/>
  <c r="O387" i="3"/>
  <c r="P387" i="3"/>
  <c r="C388" i="3"/>
  <c r="E388" i="3"/>
  <c r="I388" i="3"/>
  <c r="J388" i="3"/>
  <c r="O388" i="3"/>
  <c r="P388" i="3"/>
  <c r="C389" i="3"/>
  <c r="E389" i="3"/>
  <c r="I389" i="3"/>
  <c r="J389" i="3"/>
  <c r="O389" i="3"/>
  <c r="P389" i="3"/>
  <c r="C390" i="3"/>
  <c r="E390" i="3"/>
  <c r="I390" i="3"/>
  <c r="J390" i="3"/>
  <c r="O390" i="3"/>
  <c r="P390" i="3"/>
  <c r="C391" i="3"/>
  <c r="E391" i="3"/>
  <c r="I391" i="3"/>
  <c r="J391" i="3"/>
  <c r="O391" i="3"/>
  <c r="P391" i="3"/>
  <c r="C392" i="3"/>
  <c r="E392" i="3"/>
  <c r="I392" i="3"/>
  <c r="J392" i="3"/>
  <c r="O392" i="3"/>
  <c r="P392" i="3"/>
  <c r="C393" i="3"/>
  <c r="E393" i="3"/>
  <c r="I393" i="3"/>
  <c r="J393" i="3"/>
  <c r="O393" i="3"/>
  <c r="P393" i="3"/>
  <c r="C394" i="3"/>
  <c r="E394" i="3"/>
  <c r="I394" i="3"/>
  <c r="J394" i="3"/>
  <c r="O394" i="3"/>
  <c r="P394" i="3"/>
  <c r="C395" i="3"/>
  <c r="E395" i="3"/>
  <c r="I395" i="3"/>
  <c r="J395" i="3"/>
  <c r="O395" i="3"/>
  <c r="P395" i="3"/>
  <c r="C396" i="3"/>
  <c r="E396" i="3"/>
  <c r="I396" i="3"/>
  <c r="J396" i="3"/>
  <c r="O396" i="3"/>
  <c r="P396" i="3"/>
  <c r="C397" i="3"/>
  <c r="E397" i="3"/>
  <c r="I397" i="3"/>
  <c r="J397" i="3"/>
  <c r="O397" i="3"/>
  <c r="P397" i="3"/>
  <c r="C398" i="3"/>
  <c r="E398" i="3"/>
  <c r="I398" i="3"/>
  <c r="J398" i="3"/>
  <c r="O398" i="3"/>
  <c r="P398" i="3"/>
  <c r="C399" i="3"/>
  <c r="E399" i="3"/>
  <c r="I399" i="3"/>
  <c r="J399" i="3"/>
  <c r="O399" i="3"/>
  <c r="P399" i="3"/>
  <c r="C400" i="3"/>
  <c r="E400" i="3"/>
  <c r="I400" i="3"/>
  <c r="J400" i="3"/>
  <c r="O400" i="3"/>
  <c r="P400" i="3"/>
  <c r="C401" i="3"/>
  <c r="E401" i="3"/>
  <c r="I401" i="3"/>
  <c r="J401" i="3"/>
  <c r="O401" i="3"/>
  <c r="P401" i="3"/>
  <c r="C402" i="3"/>
  <c r="E402" i="3"/>
  <c r="I402" i="3"/>
  <c r="J402" i="3"/>
  <c r="O402" i="3"/>
  <c r="P402" i="3"/>
  <c r="C403" i="3"/>
  <c r="E403" i="3"/>
  <c r="I403" i="3"/>
  <c r="J403" i="3"/>
  <c r="O403" i="3"/>
  <c r="P403" i="3"/>
  <c r="C404" i="3"/>
  <c r="E404" i="3"/>
  <c r="I404" i="3"/>
  <c r="J404" i="3"/>
  <c r="O404" i="3"/>
  <c r="P404" i="3"/>
  <c r="C405" i="3"/>
  <c r="E405" i="3"/>
  <c r="I405" i="3"/>
  <c r="J405" i="3"/>
  <c r="O405" i="3"/>
  <c r="P405" i="3"/>
  <c r="C406" i="3"/>
  <c r="E406" i="3"/>
  <c r="I406" i="3"/>
  <c r="J406" i="3"/>
  <c r="O406" i="3"/>
  <c r="P406" i="3"/>
  <c r="C407" i="3"/>
  <c r="E407" i="3"/>
  <c r="I407" i="3"/>
  <c r="J407" i="3"/>
  <c r="O407" i="3"/>
  <c r="P407" i="3"/>
  <c r="C408" i="3"/>
  <c r="E408" i="3"/>
  <c r="I408" i="3"/>
  <c r="J408" i="3"/>
  <c r="O408" i="3"/>
  <c r="P408" i="3"/>
  <c r="C409" i="3"/>
  <c r="E409" i="3"/>
  <c r="I409" i="3"/>
  <c r="J409" i="3"/>
  <c r="O409" i="3"/>
  <c r="P409" i="3"/>
  <c r="C410" i="3"/>
  <c r="E410" i="3"/>
  <c r="I410" i="3"/>
  <c r="J410" i="3"/>
  <c r="O410" i="3"/>
  <c r="P410" i="3"/>
  <c r="C411" i="3"/>
  <c r="E411" i="3"/>
  <c r="I411" i="3"/>
  <c r="J411" i="3"/>
  <c r="O411" i="3"/>
  <c r="P411" i="3"/>
  <c r="C412" i="3"/>
  <c r="E412" i="3"/>
  <c r="I412" i="3"/>
  <c r="J412" i="3"/>
  <c r="O412" i="3"/>
  <c r="P412" i="3"/>
  <c r="C413" i="3"/>
  <c r="E413" i="3"/>
  <c r="I413" i="3"/>
  <c r="J413" i="3"/>
  <c r="O413" i="3"/>
  <c r="P413" i="3"/>
  <c r="C414" i="3"/>
  <c r="E414" i="3"/>
  <c r="I414" i="3"/>
  <c r="J414" i="3"/>
  <c r="O414" i="3"/>
  <c r="P414" i="3"/>
  <c r="C415" i="3"/>
  <c r="E415" i="3"/>
  <c r="I415" i="3"/>
  <c r="J415" i="3"/>
  <c r="O415" i="3"/>
  <c r="P415" i="3"/>
  <c r="C416" i="3"/>
  <c r="E416" i="3"/>
  <c r="I416" i="3"/>
  <c r="J416" i="3"/>
  <c r="O416" i="3"/>
  <c r="P416" i="3"/>
  <c r="C417" i="3"/>
  <c r="E417" i="3"/>
  <c r="I417" i="3"/>
  <c r="J417" i="3"/>
  <c r="O417" i="3"/>
  <c r="P417" i="3"/>
  <c r="C418" i="3"/>
  <c r="E418" i="3"/>
  <c r="I418" i="3"/>
  <c r="J418" i="3"/>
  <c r="O418" i="3"/>
  <c r="P418" i="3"/>
  <c r="C419" i="3"/>
  <c r="E419" i="3"/>
  <c r="I419" i="3"/>
  <c r="J419" i="3"/>
  <c r="O419" i="3"/>
  <c r="P419" i="3"/>
  <c r="C420" i="3"/>
  <c r="E420" i="3"/>
  <c r="I420" i="3"/>
  <c r="J420" i="3"/>
  <c r="O420" i="3"/>
  <c r="P420" i="3"/>
  <c r="C421" i="3"/>
  <c r="E421" i="3"/>
  <c r="I421" i="3"/>
  <c r="J421" i="3"/>
  <c r="O421" i="3"/>
  <c r="P421" i="3"/>
  <c r="C422" i="3"/>
  <c r="E422" i="3"/>
  <c r="I422" i="3"/>
  <c r="J422" i="3"/>
  <c r="O422" i="3"/>
  <c r="P422" i="3"/>
  <c r="C423" i="3"/>
  <c r="E423" i="3"/>
  <c r="I423" i="3"/>
  <c r="J423" i="3"/>
  <c r="O423" i="3"/>
  <c r="P423" i="3"/>
  <c r="C424" i="3"/>
  <c r="E424" i="3"/>
  <c r="I424" i="3"/>
  <c r="J424" i="3"/>
  <c r="O424" i="3"/>
  <c r="P424" i="3"/>
  <c r="C425" i="3"/>
  <c r="E425" i="3"/>
  <c r="I425" i="3"/>
  <c r="J425" i="3"/>
  <c r="O425" i="3"/>
  <c r="P425" i="3"/>
  <c r="C426" i="3"/>
  <c r="E426" i="3"/>
  <c r="I426" i="3"/>
  <c r="J426" i="3"/>
  <c r="O426" i="3"/>
  <c r="P426" i="3"/>
  <c r="C427" i="3"/>
  <c r="E427" i="3"/>
  <c r="I427" i="3"/>
  <c r="J427" i="3"/>
  <c r="O427" i="3"/>
  <c r="P427" i="3"/>
  <c r="C428" i="3"/>
  <c r="E428" i="3"/>
  <c r="I428" i="3"/>
  <c r="J428" i="3"/>
  <c r="O428" i="3"/>
  <c r="P428" i="3"/>
  <c r="C429" i="3"/>
  <c r="E429" i="3"/>
  <c r="I429" i="3"/>
  <c r="J429" i="3"/>
  <c r="O429" i="3"/>
  <c r="P429" i="3"/>
  <c r="C430" i="3"/>
  <c r="E430" i="3"/>
  <c r="I430" i="3"/>
  <c r="J430" i="3"/>
  <c r="O430" i="3"/>
  <c r="P430" i="3"/>
  <c r="C431" i="3"/>
  <c r="E431" i="3"/>
  <c r="I431" i="3"/>
  <c r="J431" i="3"/>
  <c r="O431" i="3"/>
  <c r="P431" i="3"/>
  <c r="C432" i="3"/>
  <c r="E432" i="3"/>
  <c r="I432" i="3"/>
  <c r="J432" i="3"/>
  <c r="O432" i="3"/>
  <c r="P432" i="3"/>
  <c r="C433" i="3"/>
  <c r="E433" i="3"/>
  <c r="I433" i="3"/>
  <c r="J433" i="3"/>
  <c r="O433" i="3"/>
  <c r="P433" i="3"/>
  <c r="C434" i="3"/>
  <c r="E434" i="3"/>
  <c r="I434" i="3"/>
  <c r="J434" i="3"/>
  <c r="O434" i="3"/>
  <c r="P434" i="3"/>
  <c r="C435" i="3"/>
  <c r="E435" i="3"/>
  <c r="I435" i="3"/>
  <c r="J435" i="3"/>
  <c r="O435" i="3"/>
  <c r="P435" i="3"/>
  <c r="C436" i="3"/>
  <c r="E436" i="3"/>
  <c r="I436" i="3"/>
  <c r="J436" i="3"/>
  <c r="O436" i="3"/>
  <c r="P436" i="3"/>
  <c r="C437" i="3"/>
  <c r="E437" i="3"/>
  <c r="I437" i="3"/>
  <c r="J437" i="3"/>
  <c r="O437" i="3"/>
  <c r="P437" i="3"/>
  <c r="C438" i="3"/>
  <c r="E438" i="3"/>
  <c r="I438" i="3"/>
  <c r="J438" i="3"/>
  <c r="O438" i="3"/>
  <c r="P438" i="3"/>
  <c r="C439" i="3"/>
  <c r="E439" i="3"/>
  <c r="I439" i="3"/>
  <c r="J439" i="3"/>
  <c r="O439" i="3"/>
  <c r="P439" i="3"/>
  <c r="C440" i="3"/>
  <c r="E440" i="3"/>
  <c r="I440" i="3"/>
  <c r="J440" i="3"/>
  <c r="O440" i="3"/>
  <c r="P440" i="3"/>
  <c r="C441" i="3"/>
  <c r="E441" i="3"/>
  <c r="I441" i="3"/>
  <c r="J441" i="3"/>
  <c r="O441" i="3"/>
  <c r="P441" i="3"/>
  <c r="C442" i="3"/>
  <c r="E442" i="3"/>
  <c r="I442" i="3"/>
  <c r="J442" i="3"/>
  <c r="O442" i="3"/>
  <c r="P442" i="3"/>
  <c r="C443" i="3"/>
  <c r="E443" i="3"/>
  <c r="I443" i="3"/>
  <c r="J443" i="3"/>
  <c r="O443" i="3"/>
  <c r="P443" i="3"/>
  <c r="C444" i="3"/>
  <c r="E444" i="3"/>
  <c r="I444" i="3"/>
  <c r="J444" i="3"/>
  <c r="O444" i="3"/>
  <c r="P444" i="3"/>
  <c r="C445" i="3"/>
  <c r="E445" i="3"/>
  <c r="I445" i="3"/>
  <c r="J445" i="3"/>
  <c r="O445" i="3"/>
  <c r="P445" i="3"/>
  <c r="C446" i="3"/>
  <c r="E446" i="3"/>
  <c r="I446" i="3"/>
  <c r="J446" i="3"/>
  <c r="O446" i="3"/>
  <c r="P446" i="3"/>
  <c r="C447" i="3"/>
  <c r="E447" i="3"/>
  <c r="I447" i="3"/>
  <c r="J447" i="3"/>
  <c r="O447" i="3"/>
  <c r="P447" i="3"/>
  <c r="C448" i="3"/>
  <c r="E448" i="3"/>
  <c r="I448" i="3"/>
  <c r="J448" i="3"/>
  <c r="O448" i="3"/>
  <c r="P448" i="3"/>
  <c r="C449" i="3"/>
  <c r="E449" i="3"/>
  <c r="I449" i="3"/>
  <c r="J449" i="3"/>
  <c r="O449" i="3"/>
  <c r="P449" i="3"/>
  <c r="C450" i="3"/>
  <c r="E450" i="3"/>
  <c r="I450" i="3"/>
  <c r="J450" i="3"/>
  <c r="O450" i="3"/>
  <c r="P450" i="3"/>
  <c r="C451" i="3"/>
  <c r="E451" i="3"/>
  <c r="I451" i="3"/>
  <c r="J451" i="3"/>
  <c r="O451" i="3"/>
  <c r="P451" i="3"/>
  <c r="C452" i="3"/>
  <c r="E452" i="3"/>
  <c r="I452" i="3"/>
  <c r="J452" i="3"/>
  <c r="O452" i="3"/>
  <c r="P452" i="3"/>
  <c r="C453" i="3"/>
  <c r="E453" i="3"/>
  <c r="I453" i="3"/>
  <c r="J453" i="3"/>
  <c r="O453" i="3"/>
  <c r="P453" i="3"/>
  <c r="C454" i="3"/>
  <c r="E454" i="3"/>
  <c r="I454" i="3"/>
  <c r="J454" i="3"/>
  <c r="O454" i="3"/>
  <c r="P454" i="3"/>
  <c r="C455" i="3"/>
  <c r="E455" i="3"/>
  <c r="I455" i="3"/>
  <c r="J455" i="3"/>
  <c r="O455" i="3"/>
  <c r="P455" i="3"/>
  <c r="C456" i="3"/>
  <c r="E456" i="3"/>
  <c r="I456" i="3"/>
  <c r="J456" i="3"/>
  <c r="O456" i="3"/>
  <c r="P456" i="3"/>
  <c r="C457" i="3"/>
  <c r="E457" i="3"/>
  <c r="I457" i="3"/>
  <c r="J457" i="3"/>
  <c r="O457" i="3"/>
  <c r="P457" i="3"/>
  <c r="C458" i="3"/>
  <c r="E458" i="3"/>
  <c r="I458" i="3"/>
  <c r="J458" i="3"/>
  <c r="O458" i="3"/>
  <c r="P458" i="3"/>
  <c r="C459" i="3"/>
  <c r="E459" i="3"/>
  <c r="I459" i="3"/>
  <c r="J459" i="3"/>
  <c r="O459" i="3"/>
  <c r="P459" i="3"/>
  <c r="C460" i="3"/>
  <c r="E460" i="3"/>
  <c r="I460" i="3"/>
  <c r="J460" i="3"/>
  <c r="O460" i="3"/>
  <c r="P460" i="3"/>
  <c r="C461" i="3"/>
  <c r="E461" i="3"/>
  <c r="I461" i="3"/>
  <c r="J461" i="3"/>
  <c r="O461" i="3"/>
  <c r="P461" i="3"/>
  <c r="C462" i="3"/>
  <c r="E462" i="3"/>
  <c r="I462" i="3"/>
  <c r="J462" i="3"/>
  <c r="O462" i="3"/>
  <c r="P462" i="3"/>
  <c r="C463" i="3"/>
  <c r="E463" i="3"/>
  <c r="I463" i="3"/>
  <c r="J463" i="3"/>
  <c r="O463" i="3"/>
  <c r="P463" i="3"/>
  <c r="C464" i="3"/>
  <c r="E464" i="3"/>
  <c r="I464" i="3"/>
  <c r="J464" i="3"/>
  <c r="O464" i="3"/>
  <c r="P464" i="3"/>
  <c r="C465" i="3"/>
  <c r="E465" i="3"/>
  <c r="I465" i="3"/>
  <c r="J465" i="3"/>
  <c r="O465" i="3"/>
  <c r="P465" i="3"/>
  <c r="C466" i="3"/>
  <c r="E466" i="3"/>
  <c r="I466" i="3"/>
  <c r="J466" i="3"/>
  <c r="O466" i="3"/>
  <c r="P466" i="3"/>
  <c r="C467" i="3"/>
  <c r="E467" i="3"/>
  <c r="I467" i="3"/>
  <c r="J467" i="3"/>
  <c r="O467" i="3"/>
  <c r="P467" i="3"/>
  <c r="C468" i="3"/>
  <c r="E468" i="3"/>
  <c r="I468" i="3"/>
  <c r="J468" i="3"/>
  <c r="O468" i="3"/>
  <c r="P468" i="3"/>
  <c r="C469" i="3"/>
  <c r="E469" i="3"/>
  <c r="I469" i="3"/>
  <c r="J469" i="3"/>
  <c r="O469" i="3"/>
  <c r="P469" i="3"/>
  <c r="C470" i="3"/>
  <c r="E470" i="3"/>
  <c r="I470" i="3"/>
  <c r="J470" i="3"/>
  <c r="O470" i="3"/>
  <c r="P470" i="3"/>
  <c r="C471" i="3"/>
  <c r="E471" i="3"/>
  <c r="I471" i="3"/>
  <c r="J471" i="3"/>
  <c r="O471" i="3"/>
  <c r="P471" i="3"/>
  <c r="C472" i="3"/>
  <c r="E472" i="3"/>
  <c r="I472" i="3"/>
  <c r="J472" i="3"/>
  <c r="O472" i="3"/>
  <c r="P472" i="3"/>
  <c r="C473" i="3"/>
  <c r="E473" i="3"/>
  <c r="I473" i="3"/>
  <c r="J473" i="3"/>
  <c r="O473" i="3"/>
  <c r="P473" i="3"/>
  <c r="C474" i="3"/>
  <c r="E474" i="3"/>
  <c r="I474" i="3"/>
  <c r="J474" i="3"/>
  <c r="O474" i="3"/>
  <c r="P474" i="3"/>
  <c r="C475" i="3"/>
  <c r="E475" i="3"/>
  <c r="I475" i="3"/>
  <c r="J475" i="3"/>
  <c r="O475" i="3"/>
  <c r="P475" i="3"/>
  <c r="C476" i="3"/>
  <c r="E476" i="3"/>
  <c r="I476" i="3"/>
  <c r="J476" i="3"/>
  <c r="O476" i="3"/>
  <c r="P476" i="3"/>
  <c r="C477" i="3"/>
  <c r="E477" i="3"/>
  <c r="I477" i="3"/>
  <c r="J477" i="3"/>
  <c r="O477" i="3"/>
  <c r="P477" i="3"/>
  <c r="C478" i="3"/>
  <c r="E478" i="3"/>
  <c r="I478" i="3"/>
  <c r="J478" i="3"/>
  <c r="O478" i="3"/>
  <c r="P478" i="3"/>
  <c r="C479" i="3"/>
  <c r="E479" i="3"/>
  <c r="I479" i="3"/>
  <c r="J479" i="3"/>
  <c r="O479" i="3"/>
  <c r="P479" i="3"/>
  <c r="C480" i="3"/>
  <c r="E480" i="3"/>
  <c r="I480" i="3"/>
  <c r="J480" i="3"/>
  <c r="O480" i="3"/>
  <c r="P480" i="3"/>
  <c r="C481" i="3"/>
  <c r="E481" i="3"/>
  <c r="I481" i="3"/>
  <c r="J481" i="3"/>
  <c r="O481" i="3"/>
  <c r="P481" i="3"/>
  <c r="C482" i="3"/>
  <c r="E482" i="3"/>
  <c r="I482" i="3"/>
  <c r="J482" i="3"/>
  <c r="O482" i="3"/>
  <c r="P482" i="3"/>
  <c r="C483" i="3"/>
  <c r="E483" i="3"/>
  <c r="I483" i="3"/>
  <c r="J483" i="3"/>
  <c r="O483" i="3"/>
  <c r="P483" i="3"/>
  <c r="C484" i="3"/>
  <c r="E484" i="3"/>
  <c r="I484" i="3"/>
  <c r="J484" i="3"/>
  <c r="O484" i="3"/>
  <c r="P484" i="3"/>
  <c r="C485" i="3"/>
  <c r="E485" i="3"/>
  <c r="I485" i="3"/>
  <c r="J485" i="3"/>
  <c r="O485" i="3"/>
  <c r="P485" i="3"/>
  <c r="C486" i="3"/>
  <c r="E486" i="3"/>
  <c r="I486" i="3"/>
  <c r="J486" i="3"/>
  <c r="O486" i="3"/>
  <c r="P486" i="3"/>
  <c r="C487" i="3"/>
  <c r="E487" i="3"/>
  <c r="I487" i="3"/>
  <c r="J487" i="3"/>
  <c r="O487" i="3"/>
  <c r="P487" i="3"/>
  <c r="C488" i="3"/>
  <c r="E488" i="3"/>
  <c r="I488" i="3"/>
  <c r="J488" i="3"/>
  <c r="O488" i="3"/>
  <c r="P488" i="3"/>
  <c r="C489" i="3"/>
  <c r="E489" i="3"/>
  <c r="I489" i="3"/>
  <c r="J489" i="3"/>
  <c r="O489" i="3"/>
  <c r="P489" i="3"/>
  <c r="C490" i="3"/>
  <c r="E490" i="3"/>
  <c r="I490" i="3"/>
  <c r="J490" i="3"/>
  <c r="O490" i="3"/>
  <c r="P490" i="3"/>
  <c r="C491" i="3"/>
  <c r="E491" i="3"/>
  <c r="I491" i="3"/>
  <c r="J491" i="3"/>
  <c r="O491" i="3"/>
  <c r="P491" i="3"/>
  <c r="C492" i="3"/>
  <c r="E492" i="3"/>
  <c r="I492" i="3"/>
  <c r="J492" i="3"/>
  <c r="O492" i="3"/>
  <c r="P492" i="3"/>
  <c r="C493" i="3"/>
  <c r="E493" i="3"/>
  <c r="I493" i="3"/>
  <c r="J493" i="3"/>
  <c r="O493" i="3"/>
  <c r="P493" i="3"/>
  <c r="C494" i="3"/>
  <c r="E494" i="3"/>
  <c r="I494" i="3"/>
  <c r="J494" i="3"/>
  <c r="O494" i="3"/>
  <c r="P494" i="3"/>
  <c r="C495" i="3"/>
  <c r="E495" i="3"/>
  <c r="I495" i="3"/>
  <c r="J495" i="3"/>
  <c r="O495" i="3"/>
  <c r="P495" i="3"/>
  <c r="C496" i="3"/>
  <c r="E496" i="3"/>
  <c r="I496" i="3"/>
  <c r="J496" i="3"/>
  <c r="O496" i="3"/>
  <c r="P496" i="3"/>
  <c r="C497" i="3"/>
  <c r="E497" i="3"/>
  <c r="I497" i="3"/>
  <c r="J497" i="3"/>
  <c r="O497" i="3"/>
  <c r="P497" i="3"/>
  <c r="C498" i="3"/>
  <c r="E498" i="3"/>
  <c r="I498" i="3"/>
  <c r="J498" i="3"/>
  <c r="O498" i="3"/>
  <c r="P498" i="3"/>
  <c r="C499" i="3"/>
  <c r="E499" i="3"/>
  <c r="I499" i="3"/>
  <c r="J499" i="3"/>
  <c r="O499" i="3"/>
  <c r="P499" i="3"/>
  <c r="C500" i="3"/>
  <c r="E500" i="3"/>
  <c r="I500" i="3"/>
  <c r="J500" i="3"/>
  <c r="O500" i="3"/>
  <c r="P500" i="3"/>
  <c r="C501" i="3"/>
  <c r="E501" i="3"/>
  <c r="I501" i="3"/>
  <c r="J501" i="3"/>
  <c r="O501" i="3"/>
  <c r="P501" i="3"/>
  <c r="C502" i="3"/>
  <c r="E502" i="3"/>
  <c r="I502" i="3"/>
  <c r="J502" i="3"/>
  <c r="O502" i="3"/>
  <c r="P502" i="3"/>
  <c r="C503" i="3"/>
  <c r="E503" i="3"/>
  <c r="I503" i="3"/>
  <c r="J503" i="3"/>
  <c r="O503" i="3"/>
  <c r="P503" i="3"/>
  <c r="C504" i="3"/>
  <c r="E504" i="3"/>
  <c r="I504" i="3"/>
  <c r="J504" i="3"/>
  <c r="O504" i="3"/>
  <c r="P504" i="3"/>
  <c r="C505" i="3"/>
  <c r="E505" i="3"/>
  <c r="I505" i="3"/>
  <c r="J505" i="3"/>
  <c r="O505" i="3"/>
  <c r="P505" i="3"/>
  <c r="C506" i="3"/>
  <c r="E506" i="3"/>
  <c r="I506" i="3"/>
  <c r="J506" i="3"/>
  <c r="O506" i="3"/>
  <c r="P506" i="3"/>
  <c r="C507" i="3"/>
  <c r="E507" i="3"/>
  <c r="I507" i="3"/>
  <c r="J507" i="3"/>
  <c r="O507" i="3"/>
  <c r="P507" i="3"/>
  <c r="C508" i="3"/>
  <c r="E508" i="3"/>
  <c r="I508" i="3"/>
  <c r="J508" i="3"/>
  <c r="O508" i="3"/>
  <c r="P508" i="3"/>
  <c r="C509" i="3"/>
  <c r="E509" i="3"/>
  <c r="I509" i="3"/>
  <c r="J509" i="3"/>
  <c r="O509" i="3"/>
  <c r="P509" i="3"/>
  <c r="C510" i="3"/>
  <c r="E510" i="3"/>
  <c r="I510" i="3"/>
  <c r="J510" i="3"/>
  <c r="O510" i="3"/>
  <c r="P510" i="3"/>
  <c r="C511" i="3"/>
  <c r="E511" i="3"/>
  <c r="I511" i="3"/>
  <c r="J511" i="3"/>
  <c r="O511" i="3"/>
  <c r="P511" i="3"/>
  <c r="C512" i="3"/>
  <c r="E512" i="3"/>
  <c r="I512" i="3"/>
  <c r="J512" i="3"/>
  <c r="O512" i="3"/>
  <c r="P512" i="3"/>
  <c r="C513" i="3"/>
  <c r="E513" i="3"/>
  <c r="I513" i="3"/>
  <c r="J513" i="3"/>
  <c r="O513" i="3"/>
  <c r="P513" i="3"/>
  <c r="C514" i="3"/>
  <c r="E514" i="3"/>
  <c r="I514" i="3"/>
  <c r="J514" i="3"/>
  <c r="O514" i="3"/>
  <c r="P514" i="3"/>
  <c r="C515" i="3"/>
  <c r="E515" i="3"/>
  <c r="I515" i="3"/>
  <c r="J515" i="3"/>
  <c r="O515" i="3"/>
  <c r="P515" i="3"/>
  <c r="C516" i="3"/>
  <c r="E516" i="3"/>
  <c r="I516" i="3"/>
  <c r="J516" i="3"/>
  <c r="O516" i="3"/>
  <c r="P516" i="3"/>
  <c r="C517" i="3"/>
  <c r="E517" i="3"/>
  <c r="I517" i="3"/>
  <c r="J517" i="3"/>
  <c r="O517" i="3"/>
  <c r="P517" i="3"/>
  <c r="C518" i="3"/>
  <c r="E518" i="3"/>
  <c r="I518" i="3"/>
  <c r="J518" i="3"/>
  <c r="O518" i="3"/>
  <c r="P518" i="3"/>
  <c r="C519" i="3"/>
  <c r="E519" i="3"/>
  <c r="I519" i="3"/>
  <c r="J519" i="3"/>
  <c r="O519" i="3"/>
  <c r="P519" i="3"/>
  <c r="C520" i="3"/>
  <c r="E520" i="3"/>
  <c r="I520" i="3"/>
  <c r="J520" i="3"/>
  <c r="O520" i="3"/>
  <c r="P520" i="3"/>
  <c r="C521" i="3"/>
  <c r="E521" i="3"/>
  <c r="I521" i="3"/>
  <c r="J521" i="3"/>
  <c r="O521" i="3"/>
  <c r="P521" i="3"/>
  <c r="C522" i="3"/>
  <c r="E522" i="3"/>
  <c r="I522" i="3"/>
  <c r="J522" i="3"/>
  <c r="O522" i="3"/>
  <c r="P522" i="3"/>
  <c r="C523" i="3"/>
  <c r="E523" i="3"/>
  <c r="I523" i="3"/>
  <c r="J523" i="3"/>
  <c r="O523" i="3"/>
  <c r="P523" i="3"/>
  <c r="C524" i="3"/>
  <c r="E524" i="3"/>
  <c r="I524" i="3"/>
  <c r="J524" i="3"/>
  <c r="O524" i="3"/>
  <c r="P524" i="3"/>
  <c r="C525" i="3"/>
  <c r="E525" i="3"/>
  <c r="I525" i="3"/>
  <c r="J525" i="3"/>
  <c r="O525" i="3"/>
  <c r="P525" i="3"/>
  <c r="C526" i="3"/>
  <c r="E526" i="3"/>
  <c r="I526" i="3"/>
  <c r="J526" i="3"/>
  <c r="O526" i="3"/>
  <c r="P526" i="3"/>
  <c r="C527" i="3"/>
  <c r="E527" i="3"/>
  <c r="I527" i="3"/>
  <c r="J527" i="3"/>
  <c r="O527" i="3"/>
  <c r="P527" i="3"/>
  <c r="C528" i="3"/>
  <c r="E528" i="3"/>
  <c r="I528" i="3"/>
  <c r="J528" i="3"/>
  <c r="O528" i="3"/>
  <c r="P528" i="3"/>
  <c r="C529" i="3"/>
  <c r="E529" i="3"/>
  <c r="I529" i="3"/>
  <c r="J529" i="3"/>
  <c r="O529" i="3"/>
  <c r="P529" i="3"/>
  <c r="C530" i="3"/>
  <c r="E530" i="3"/>
  <c r="I530" i="3"/>
  <c r="J530" i="3"/>
  <c r="O530" i="3"/>
  <c r="P530" i="3"/>
  <c r="C531" i="3"/>
  <c r="E531" i="3"/>
  <c r="I531" i="3"/>
  <c r="J531" i="3"/>
  <c r="O531" i="3"/>
  <c r="P531" i="3"/>
  <c r="C532" i="3"/>
  <c r="E532" i="3"/>
  <c r="I532" i="3"/>
  <c r="J532" i="3"/>
  <c r="O532" i="3"/>
  <c r="P532" i="3"/>
  <c r="C533" i="3"/>
  <c r="E533" i="3"/>
  <c r="I533" i="3"/>
  <c r="J533" i="3"/>
  <c r="O533" i="3"/>
  <c r="P533" i="3"/>
  <c r="C534" i="3"/>
  <c r="E534" i="3"/>
  <c r="I534" i="3"/>
  <c r="J534" i="3"/>
  <c r="O534" i="3"/>
  <c r="P534" i="3"/>
  <c r="C535" i="3"/>
  <c r="E535" i="3"/>
  <c r="I535" i="3"/>
  <c r="J535" i="3"/>
  <c r="O535" i="3"/>
  <c r="P535" i="3"/>
  <c r="C536" i="3"/>
  <c r="E536" i="3"/>
  <c r="I536" i="3"/>
  <c r="J536" i="3"/>
  <c r="O536" i="3"/>
  <c r="P536" i="3"/>
  <c r="C537" i="3"/>
  <c r="E537" i="3"/>
  <c r="I537" i="3"/>
  <c r="J537" i="3"/>
  <c r="O537" i="3"/>
  <c r="P537" i="3"/>
  <c r="C538" i="3"/>
  <c r="E538" i="3"/>
  <c r="I538" i="3"/>
  <c r="J538" i="3"/>
  <c r="O538" i="3"/>
  <c r="P538" i="3"/>
  <c r="C539" i="3"/>
  <c r="E539" i="3"/>
  <c r="I539" i="3"/>
  <c r="J539" i="3"/>
  <c r="O539" i="3"/>
  <c r="P539" i="3"/>
  <c r="C540" i="3"/>
  <c r="E540" i="3"/>
  <c r="I540" i="3"/>
  <c r="J540" i="3"/>
  <c r="O540" i="3"/>
  <c r="P540" i="3"/>
  <c r="C541" i="3"/>
  <c r="E541" i="3"/>
  <c r="I541" i="3"/>
  <c r="J541" i="3"/>
  <c r="O541" i="3"/>
  <c r="P541" i="3"/>
  <c r="C542" i="3"/>
  <c r="E542" i="3"/>
  <c r="I542" i="3"/>
  <c r="J542" i="3"/>
  <c r="O542" i="3"/>
  <c r="P542" i="3"/>
  <c r="C543" i="3"/>
  <c r="E543" i="3"/>
  <c r="I543" i="3"/>
  <c r="J543" i="3"/>
  <c r="O543" i="3"/>
  <c r="P543" i="3"/>
  <c r="C544" i="3"/>
  <c r="E544" i="3"/>
  <c r="I544" i="3"/>
  <c r="J544" i="3"/>
  <c r="O544" i="3"/>
  <c r="P544" i="3"/>
  <c r="C545" i="3"/>
  <c r="E545" i="3"/>
  <c r="I545" i="3"/>
  <c r="J545" i="3"/>
  <c r="O545" i="3"/>
  <c r="P545" i="3"/>
  <c r="C546" i="3"/>
  <c r="E546" i="3"/>
  <c r="I546" i="3"/>
  <c r="J546" i="3"/>
  <c r="O546" i="3"/>
  <c r="P546" i="3"/>
  <c r="C547" i="3"/>
  <c r="E547" i="3"/>
  <c r="I547" i="3"/>
  <c r="J547" i="3"/>
  <c r="O547" i="3"/>
  <c r="P547" i="3"/>
  <c r="C548" i="3"/>
  <c r="E548" i="3"/>
  <c r="I548" i="3"/>
  <c r="J548" i="3"/>
  <c r="O548" i="3"/>
  <c r="P548" i="3"/>
  <c r="C549" i="3"/>
  <c r="E549" i="3"/>
  <c r="I549" i="3"/>
  <c r="J549" i="3"/>
  <c r="O549" i="3"/>
  <c r="P549" i="3"/>
  <c r="C550" i="3"/>
  <c r="E550" i="3"/>
  <c r="I550" i="3"/>
  <c r="J550" i="3"/>
  <c r="O550" i="3"/>
  <c r="P550" i="3"/>
  <c r="C551" i="3"/>
  <c r="E551" i="3"/>
  <c r="I551" i="3"/>
  <c r="J551" i="3"/>
  <c r="O551" i="3"/>
  <c r="P551" i="3"/>
  <c r="C552" i="3"/>
  <c r="E552" i="3"/>
  <c r="I552" i="3"/>
  <c r="J552" i="3"/>
  <c r="O552" i="3"/>
  <c r="P552" i="3"/>
  <c r="C553" i="3"/>
  <c r="E553" i="3"/>
  <c r="I553" i="3"/>
  <c r="J553" i="3"/>
  <c r="O553" i="3"/>
  <c r="P553" i="3"/>
  <c r="C554" i="3"/>
  <c r="E554" i="3"/>
  <c r="I554" i="3"/>
  <c r="J554" i="3"/>
  <c r="O554" i="3"/>
  <c r="P554" i="3"/>
  <c r="C555" i="3"/>
  <c r="E555" i="3"/>
  <c r="I555" i="3"/>
  <c r="J555" i="3"/>
  <c r="O555" i="3"/>
  <c r="P555" i="3"/>
  <c r="C556" i="3"/>
  <c r="E556" i="3"/>
  <c r="I556" i="3"/>
  <c r="J556" i="3"/>
  <c r="O556" i="3"/>
  <c r="P556" i="3"/>
  <c r="C557" i="3"/>
  <c r="E557" i="3"/>
  <c r="I557" i="3"/>
  <c r="J557" i="3"/>
  <c r="O557" i="3"/>
  <c r="P557" i="3"/>
  <c r="C558" i="3"/>
  <c r="E558" i="3"/>
  <c r="I558" i="3"/>
  <c r="J558" i="3"/>
  <c r="O558" i="3"/>
  <c r="P558" i="3"/>
  <c r="C559" i="3"/>
  <c r="E559" i="3"/>
  <c r="I559" i="3"/>
  <c r="J559" i="3"/>
  <c r="O559" i="3"/>
  <c r="P559" i="3"/>
  <c r="C560" i="3"/>
  <c r="E560" i="3"/>
  <c r="I560" i="3"/>
  <c r="J560" i="3"/>
  <c r="O560" i="3"/>
  <c r="P560" i="3"/>
  <c r="C561" i="3"/>
  <c r="E561" i="3"/>
  <c r="I561" i="3"/>
  <c r="J561" i="3"/>
  <c r="O561" i="3"/>
  <c r="P561" i="3"/>
  <c r="C562" i="3"/>
  <c r="E562" i="3"/>
  <c r="I562" i="3"/>
  <c r="J562" i="3"/>
  <c r="O562" i="3"/>
  <c r="P562" i="3"/>
  <c r="C563" i="3"/>
  <c r="E563" i="3"/>
  <c r="I563" i="3"/>
  <c r="J563" i="3"/>
  <c r="O563" i="3"/>
  <c r="P563" i="3"/>
  <c r="C564" i="3"/>
  <c r="E564" i="3"/>
  <c r="I564" i="3"/>
  <c r="J564" i="3"/>
  <c r="O564" i="3"/>
  <c r="P564" i="3"/>
  <c r="C565" i="3"/>
  <c r="E565" i="3"/>
  <c r="I565" i="3"/>
  <c r="J565" i="3"/>
  <c r="O565" i="3"/>
  <c r="P565" i="3"/>
  <c r="C566" i="3"/>
  <c r="E566" i="3"/>
  <c r="I566" i="3"/>
  <c r="J566" i="3"/>
  <c r="O566" i="3"/>
  <c r="P566" i="3"/>
  <c r="C567" i="3"/>
  <c r="E567" i="3"/>
  <c r="I567" i="3"/>
  <c r="J567" i="3"/>
  <c r="O567" i="3"/>
  <c r="P567" i="3"/>
  <c r="C568" i="3"/>
  <c r="E568" i="3"/>
  <c r="I568" i="3"/>
  <c r="J568" i="3"/>
  <c r="O568" i="3"/>
  <c r="P568" i="3"/>
  <c r="C569" i="3"/>
  <c r="E569" i="3"/>
  <c r="I569" i="3"/>
  <c r="J569" i="3"/>
  <c r="O569" i="3"/>
  <c r="P569" i="3"/>
  <c r="C570" i="3"/>
  <c r="E570" i="3"/>
  <c r="I570" i="3"/>
  <c r="J570" i="3"/>
  <c r="O570" i="3"/>
  <c r="P570" i="3"/>
  <c r="C571" i="3"/>
  <c r="E571" i="3"/>
  <c r="I571" i="3"/>
  <c r="J571" i="3"/>
  <c r="O571" i="3"/>
  <c r="P571" i="3"/>
  <c r="C572" i="3"/>
  <c r="E572" i="3"/>
  <c r="I572" i="3"/>
  <c r="J572" i="3"/>
  <c r="O572" i="3"/>
  <c r="P572" i="3"/>
  <c r="C573" i="3"/>
  <c r="E573" i="3"/>
  <c r="I573" i="3"/>
  <c r="J573" i="3"/>
  <c r="O573" i="3"/>
  <c r="P573" i="3"/>
  <c r="C574" i="3"/>
  <c r="E574" i="3"/>
  <c r="I574" i="3"/>
  <c r="J574" i="3"/>
  <c r="O574" i="3"/>
  <c r="P574" i="3"/>
  <c r="C575" i="3"/>
  <c r="E575" i="3"/>
  <c r="I575" i="3"/>
  <c r="J575" i="3"/>
  <c r="O575" i="3"/>
  <c r="P575" i="3"/>
  <c r="C576" i="3"/>
  <c r="E576" i="3"/>
  <c r="I576" i="3"/>
  <c r="J576" i="3"/>
  <c r="O576" i="3"/>
  <c r="P576" i="3"/>
  <c r="C577" i="3"/>
  <c r="E577" i="3"/>
  <c r="I577" i="3"/>
  <c r="J577" i="3"/>
  <c r="O577" i="3"/>
  <c r="P577" i="3"/>
  <c r="C578" i="3"/>
  <c r="E578" i="3"/>
  <c r="I578" i="3"/>
  <c r="J578" i="3"/>
  <c r="O578" i="3"/>
  <c r="P578" i="3"/>
  <c r="C579" i="3"/>
  <c r="E579" i="3"/>
  <c r="I579" i="3"/>
  <c r="J579" i="3"/>
  <c r="O579" i="3"/>
  <c r="P579" i="3"/>
  <c r="C580" i="3"/>
  <c r="E580" i="3"/>
  <c r="I580" i="3"/>
  <c r="J580" i="3"/>
  <c r="O580" i="3"/>
  <c r="P580" i="3"/>
  <c r="C581" i="3"/>
  <c r="E581" i="3"/>
  <c r="I581" i="3"/>
  <c r="J581" i="3"/>
  <c r="O581" i="3"/>
  <c r="P581" i="3"/>
  <c r="C582" i="3"/>
  <c r="E582" i="3"/>
  <c r="I582" i="3"/>
  <c r="J582" i="3"/>
  <c r="O582" i="3"/>
  <c r="P582" i="3"/>
  <c r="C583" i="3"/>
  <c r="E583" i="3"/>
  <c r="I583" i="3"/>
  <c r="J583" i="3"/>
  <c r="O583" i="3"/>
  <c r="P583" i="3"/>
  <c r="C584" i="3"/>
  <c r="E584" i="3"/>
  <c r="I584" i="3"/>
  <c r="J584" i="3"/>
  <c r="O584" i="3"/>
  <c r="P584" i="3"/>
  <c r="C585" i="3"/>
  <c r="E585" i="3"/>
  <c r="I585" i="3"/>
  <c r="J585" i="3"/>
  <c r="O585" i="3"/>
  <c r="P585" i="3"/>
  <c r="C586" i="3"/>
  <c r="E586" i="3"/>
  <c r="I586" i="3"/>
  <c r="J586" i="3"/>
  <c r="O586" i="3"/>
  <c r="P586" i="3"/>
  <c r="C587" i="3"/>
  <c r="E587" i="3"/>
  <c r="I587" i="3"/>
  <c r="J587" i="3"/>
  <c r="O587" i="3"/>
  <c r="P587" i="3"/>
  <c r="C588" i="3"/>
  <c r="E588" i="3"/>
  <c r="I588" i="3"/>
  <c r="J588" i="3"/>
  <c r="O588" i="3"/>
  <c r="P588" i="3"/>
  <c r="C589" i="3"/>
  <c r="E589" i="3"/>
  <c r="I589" i="3"/>
  <c r="J589" i="3"/>
  <c r="O589" i="3"/>
  <c r="P589" i="3"/>
  <c r="C590" i="3"/>
  <c r="E590" i="3"/>
  <c r="I590" i="3"/>
  <c r="J590" i="3"/>
  <c r="O590" i="3"/>
  <c r="P590" i="3"/>
  <c r="C591" i="3"/>
  <c r="E591" i="3"/>
  <c r="I591" i="3"/>
  <c r="J591" i="3"/>
  <c r="O591" i="3"/>
  <c r="P591" i="3"/>
  <c r="C592" i="3"/>
  <c r="E592" i="3"/>
  <c r="I592" i="3"/>
  <c r="J592" i="3"/>
  <c r="O592" i="3"/>
  <c r="P592" i="3"/>
  <c r="C593" i="3"/>
  <c r="E593" i="3"/>
  <c r="I593" i="3"/>
  <c r="J593" i="3"/>
  <c r="O593" i="3"/>
  <c r="P593" i="3"/>
  <c r="C594" i="3"/>
  <c r="E594" i="3"/>
  <c r="I594" i="3"/>
  <c r="J594" i="3"/>
  <c r="O594" i="3"/>
  <c r="P594" i="3"/>
  <c r="C595" i="3"/>
  <c r="E595" i="3"/>
  <c r="I595" i="3"/>
  <c r="J595" i="3"/>
  <c r="O595" i="3"/>
  <c r="P595" i="3"/>
  <c r="C596" i="3"/>
  <c r="E596" i="3"/>
  <c r="I596" i="3"/>
  <c r="J596" i="3"/>
  <c r="O596" i="3"/>
  <c r="P596" i="3"/>
  <c r="C597" i="3"/>
  <c r="E597" i="3"/>
  <c r="I597" i="3"/>
  <c r="J597" i="3"/>
  <c r="O597" i="3"/>
  <c r="P597" i="3"/>
  <c r="C598" i="3"/>
  <c r="E598" i="3"/>
  <c r="I598" i="3"/>
  <c r="J598" i="3"/>
  <c r="O598" i="3"/>
  <c r="P598" i="3"/>
  <c r="C599" i="3"/>
  <c r="E599" i="3"/>
  <c r="I599" i="3"/>
  <c r="J599" i="3"/>
  <c r="O599" i="3"/>
  <c r="P599" i="3"/>
  <c r="C600" i="3"/>
  <c r="E600" i="3"/>
  <c r="I600" i="3"/>
  <c r="J600" i="3"/>
  <c r="O600" i="3"/>
  <c r="P600" i="3"/>
  <c r="C601" i="3"/>
  <c r="E601" i="3"/>
  <c r="I601" i="3"/>
  <c r="J601" i="3"/>
  <c r="O601" i="3"/>
  <c r="P601" i="3"/>
  <c r="C602" i="3"/>
  <c r="E602" i="3"/>
  <c r="I602" i="3"/>
  <c r="J602" i="3"/>
  <c r="O602" i="3"/>
  <c r="P602" i="3"/>
  <c r="C603" i="3"/>
  <c r="E603" i="3"/>
  <c r="I603" i="3"/>
  <c r="J603" i="3"/>
  <c r="O603" i="3"/>
  <c r="P603" i="3"/>
  <c r="C604" i="3"/>
  <c r="E604" i="3"/>
  <c r="I604" i="3"/>
  <c r="J604" i="3"/>
  <c r="O604" i="3"/>
  <c r="P604" i="3"/>
  <c r="C605" i="3"/>
  <c r="E605" i="3"/>
  <c r="I605" i="3"/>
  <c r="J605" i="3"/>
  <c r="O605" i="3"/>
  <c r="P605" i="3"/>
  <c r="C606" i="3"/>
  <c r="E606" i="3"/>
  <c r="I606" i="3"/>
  <c r="J606" i="3"/>
  <c r="O606" i="3"/>
  <c r="P606" i="3"/>
  <c r="C607" i="3"/>
  <c r="E607" i="3"/>
  <c r="I607" i="3"/>
  <c r="J607" i="3"/>
  <c r="O607" i="3"/>
  <c r="P607" i="3"/>
  <c r="C608" i="3"/>
  <c r="E608" i="3"/>
  <c r="I608" i="3"/>
  <c r="J608" i="3"/>
  <c r="O608" i="3"/>
  <c r="P608" i="3"/>
  <c r="C609" i="3"/>
  <c r="E609" i="3"/>
  <c r="I609" i="3"/>
  <c r="J609" i="3"/>
  <c r="O609" i="3"/>
  <c r="P609" i="3"/>
  <c r="C610" i="3"/>
  <c r="E610" i="3"/>
  <c r="I610" i="3"/>
  <c r="J610" i="3"/>
  <c r="O610" i="3"/>
  <c r="P610" i="3"/>
  <c r="C611" i="3"/>
  <c r="E611" i="3"/>
  <c r="I611" i="3"/>
  <c r="J611" i="3"/>
  <c r="O611" i="3"/>
  <c r="P611" i="3"/>
  <c r="C612" i="3"/>
  <c r="E612" i="3"/>
  <c r="I612" i="3"/>
  <c r="J612" i="3"/>
  <c r="O612" i="3"/>
  <c r="P612" i="3"/>
  <c r="C613" i="3"/>
  <c r="E613" i="3"/>
  <c r="I613" i="3"/>
  <c r="J613" i="3"/>
  <c r="O613" i="3"/>
  <c r="P613" i="3"/>
  <c r="C614" i="3"/>
  <c r="E614" i="3"/>
  <c r="I614" i="3"/>
  <c r="J614" i="3"/>
  <c r="O614" i="3"/>
  <c r="P614" i="3"/>
  <c r="C615" i="3"/>
  <c r="E615" i="3"/>
  <c r="I615" i="3"/>
  <c r="J615" i="3"/>
  <c r="O615" i="3"/>
  <c r="P615" i="3"/>
  <c r="C616" i="3"/>
  <c r="E616" i="3"/>
  <c r="I616" i="3"/>
  <c r="J616" i="3"/>
  <c r="O616" i="3"/>
  <c r="P616" i="3"/>
  <c r="C617" i="3"/>
  <c r="E617" i="3"/>
  <c r="I617" i="3"/>
  <c r="J617" i="3"/>
  <c r="O617" i="3"/>
  <c r="P617" i="3"/>
  <c r="C618" i="3"/>
  <c r="E618" i="3"/>
  <c r="I618" i="3"/>
  <c r="J618" i="3"/>
  <c r="O618" i="3"/>
  <c r="P618" i="3"/>
  <c r="C619" i="3"/>
  <c r="E619" i="3"/>
  <c r="I619" i="3"/>
  <c r="J619" i="3"/>
  <c r="O619" i="3"/>
  <c r="P619" i="3"/>
  <c r="C620" i="3"/>
  <c r="E620" i="3"/>
  <c r="I620" i="3"/>
  <c r="J620" i="3"/>
  <c r="O620" i="3"/>
  <c r="P620" i="3"/>
  <c r="C621" i="3"/>
  <c r="E621" i="3"/>
  <c r="I621" i="3"/>
  <c r="J621" i="3"/>
  <c r="O621" i="3"/>
  <c r="P621" i="3"/>
  <c r="C622" i="3"/>
  <c r="E622" i="3"/>
  <c r="I622" i="3"/>
  <c r="J622" i="3"/>
  <c r="O622" i="3"/>
  <c r="P622" i="3"/>
  <c r="C623" i="3"/>
  <c r="E623" i="3"/>
  <c r="I623" i="3"/>
  <c r="J623" i="3"/>
  <c r="O623" i="3"/>
  <c r="P623" i="3"/>
  <c r="C624" i="3"/>
  <c r="E624" i="3"/>
  <c r="I624" i="3"/>
  <c r="J624" i="3"/>
  <c r="O624" i="3"/>
  <c r="P624" i="3"/>
  <c r="C625" i="3"/>
  <c r="E625" i="3"/>
  <c r="I625" i="3"/>
  <c r="J625" i="3"/>
  <c r="O625" i="3"/>
  <c r="P625" i="3"/>
  <c r="C626" i="3"/>
  <c r="E626" i="3"/>
  <c r="I626" i="3"/>
  <c r="J626" i="3"/>
  <c r="O626" i="3"/>
  <c r="P626" i="3"/>
  <c r="C627" i="3"/>
  <c r="E627" i="3"/>
  <c r="I627" i="3"/>
  <c r="J627" i="3"/>
  <c r="O627" i="3"/>
  <c r="P627" i="3"/>
  <c r="C628" i="3"/>
  <c r="E628" i="3"/>
  <c r="I628" i="3"/>
  <c r="J628" i="3"/>
  <c r="O628" i="3"/>
  <c r="P628" i="3"/>
  <c r="C629" i="3"/>
  <c r="E629" i="3"/>
  <c r="I629" i="3"/>
  <c r="J629" i="3"/>
  <c r="O629" i="3"/>
  <c r="P629" i="3"/>
  <c r="C630" i="3"/>
  <c r="E630" i="3"/>
  <c r="I630" i="3"/>
  <c r="J630" i="3"/>
  <c r="O630" i="3"/>
  <c r="P630" i="3"/>
  <c r="C631" i="3"/>
  <c r="E631" i="3"/>
  <c r="I631" i="3"/>
  <c r="J631" i="3"/>
  <c r="O631" i="3"/>
  <c r="P631" i="3"/>
  <c r="C632" i="3"/>
  <c r="E632" i="3"/>
  <c r="I632" i="3"/>
  <c r="J632" i="3"/>
  <c r="O632" i="3"/>
  <c r="P632" i="3"/>
  <c r="C633" i="3"/>
  <c r="E633" i="3"/>
  <c r="I633" i="3"/>
  <c r="J633" i="3"/>
  <c r="O633" i="3"/>
  <c r="P633" i="3"/>
  <c r="C634" i="3"/>
  <c r="E634" i="3"/>
  <c r="I634" i="3"/>
  <c r="J634" i="3"/>
  <c r="O634" i="3"/>
  <c r="P634" i="3"/>
  <c r="C635" i="3"/>
  <c r="E635" i="3"/>
  <c r="I635" i="3"/>
  <c r="J635" i="3"/>
  <c r="O635" i="3"/>
  <c r="P635" i="3"/>
  <c r="C636" i="3"/>
  <c r="E636" i="3"/>
  <c r="I636" i="3"/>
  <c r="J636" i="3"/>
  <c r="O636" i="3"/>
  <c r="P636" i="3"/>
  <c r="C637" i="3"/>
  <c r="E637" i="3"/>
  <c r="I637" i="3"/>
  <c r="J637" i="3"/>
  <c r="O637" i="3"/>
  <c r="P637" i="3"/>
  <c r="C638" i="3"/>
  <c r="E638" i="3"/>
  <c r="I638" i="3"/>
  <c r="J638" i="3"/>
  <c r="O638" i="3"/>
  <c r="P638" i="3"/>
  <c r="C639" i="3"/>
  <c r="E639" i="3"/>
  <c r="I639" i="3"/>
  <c r="J639" i="3"/>
  <c r="O639" i="3"/>
  <c r="P639" i="3"/>
  <c r="C640" i="3"/>
  <c r="E640" i="3"/>
  <c r="I640" i="3"/>
  <c r="J640" i="3"/>
  <c r="O640" i="3"/>
  <c r="P640" i="3"/>
  <c r="C641" i="3"/>
  <c r="E641" i="3"/>
  <c r="I641" i="3"/>
  <c r="J641" i="3"/>
  <c r="O641" i="3"/>
  <c r="P641" i="3"/>
  <c r="C642" i="3"/>
  <c r="E642" i="3"/>
  <c r="I642" i="3"/>
  <c r="J642" i="3"/>
  <c r="O642" i="3"/>
  <c r="P642" i="3"/>
  <c r="C643" i="3"/>
  <c r="E643" i="3"/>
  <c r="I643" i="3"/>
  <c r="J643" i="3"/>
  <c r="O643" i="3"/>
  <c r="P643" i="3"/>
  <c r="C644" i="3"/>
  <c r="E644" i="3"/>
  <c r="I644" i="3"/>
  <c r="J644" i="3"/>
  <c r="O644" i="3"/>
  <c r="P644" i="3"/>
  <c r="C645" i="3"/>
  <c r="E645" i="3"/>
  <c r="I645" i="3"/>
  <c r="J645" i="3"/>
  <c r="O645" i="3"/>
  <c r="P645" i="3"/>
  <c r="C646" i="3"/>
  <c r="E646" i="3"/>
  <c r="I646" i="3"/>
  <c r="J646" i="3"/>
  <c r="O646" i="3"/>
  <c r="P646" i="3"/>
  <c r="C647" i="3"/>
  <c r="E647" i="3"/>
  <c r="I647" i="3"/>
  <c r="J647" i="3"/>
  <c r="O647" i="3"/>
  <c r="P647" i="3"/>
  <c r="C648" i="3"/>
  <c r="E648" i="3"/>
  <c r="I648" i="3"/>
  <c r="J648" i="3"/>
  <c r="O648" i="3"/>
  <c r="P648" i="3"/>
  <c r="C649" i="3"/>
  <c r="E649" i="3"/>
  <c r="I649" i="3"/>
  <c r="J649" i="3"/>
  <c r="O649" i="3"/>
  <c r="P649" i="3"/>
  <c r="C650" i="3"/>
  <c r="E650" i="3"/>
  <c r="I650" i="3"/>
  <c r="J650" i="3"/>
  <c r="O650" i="3"/>
  <c r="P650" i="3"/>
  <c r="C651" i="3"/>
  <c r="E651" i="3"/>
  <c r="I651" i="3"/>
  <c r="J651" i="3"/>
  <c r="O651" i="3"/>
  <c r="P651" i="3"/>
  <c r="C652" i="3"/>
  <c r="E652" i="3"/>
  <c r="I652" i="3"/>
  <c r="J652" i="3"/>
  <c r="O652" i="3"/>
  <c r="P652" i="3"/>
  <c r="C653" i="3"/>
  <c r="E653" i="3"/>
  <c r="I653" i="3"/>
  <c r="J653" i="3"/>
  <c r="O653" i="3"/>
  <c r="P653" i="3"/>
  <c r="C654" i="3"/>
  <c r="E654" i="3"/>
  <c r="I654" i="3"/>
  <c r="J654" i="3"/>
  <c r="O654" i="3"/>
  <c r="P654" i="3"/>
  <c r="C655" i="3"/>
  <c r="E655" i="3"/>
  <c r="I655" i="3"/>
  <c r="J655" i="3"/>
  <c r="O655" i="3"/>
  <c r="P655" i="3"/>
  <c r="C656" i="3"/>
  <c r="E656" i="3"/>
  <c r="I656" i="3"/>
  <c r="J656" i="3"/>
  <c r="O656" i="3"/>
  <c r="P656" i="3"/>
  <c r="C657" i="3"/>
  <c r="E657" i="3"/>
  <c r="I657" i="3"/>
  <c r="J657" i="3"/>
  <c r="O657" i="3"/>
  <c r="P657" i="3"/>
  <c r="C658" i="3"/>
  <c r="E658" i="3"/>
  <c r="I658" i="3"/>
  <c r="J658" i="3"/>
  <c r="O658" i="3"/>
  <c r="P658" i="3"/>
  <c r="C659" i="3"/>
  <c r="E659" i="3"/>
  <c r="I659" i="3"/>
  <c r="J659" i="3"/>
  <c r="O659" i="3"/>
  <c r="P659" i="3"/>
  <c r="C660" i="3"/>
  <c r="E660" i="3"/>
  <c r="I660" i="3"/>
  <c r="J660" i="3"/>
  <c r="O660" i="3"/>
  <c r="P660" i="3"/>
  <c r="C661" i="3"/>
  <c r="E661" i="3"/>
  <c r="I661" i="3"/>
  <c r="J661" i="3"/>
  <c r="O661" i="3"/>
  <c r="P661" i="3"/>
  <c r="C662" i="3"/>
  <c r="E662" i="3"/>
  <c r="I662" i="3"/>
  <c r="J662" i="3"/>
  <c r="O662" i="3"/>
  <c r="P662" i="3"/>
  <c r="C663" i="3"/>
  <c r="E663" i="3"/>
  <c r="I663" i="3"/>
  <c r="J663" i="3"/>
  <c r="O663" i="3"/>
  <c r="P663" i="3"/>
  <c r="C664" i="3"/>
  <c r="E664" i="3"/>
  <c r="I664" i="3"/>
  <c r="J664" i="3"/>
  <c r="O664" i="3"/>
  <c r="P664" i="3"/>
  <c r="C665" i="3"/>
  <c r="E665" i="3"/>
  <c r="I665" i="3"/>
  <c r="J665" i="3"/>
  <c r="O665" i="3"/>
  <c r="P665" i="3"/>
  <c r="C666" i="3"/>
  <c r="E666" i="3"/>
  <c r="I666" i="3"/>
  <c r="J666" i="3"/>
  <c r="O666" i="3"/>
  <c r="P666" i="3"/>
  <c r="C667" i="3"/>
  <c r="E667" i="3"/>
  <c r="I667" i="3"/>
  <c r="J667" i="3"/>
  <c r="O667" i="3"/>
  <c r="P667" i="3"/>
  <c r="C668" i="3"/>
  <c r="E668" i="3"/>
  <c r="I668" i="3"/>
  <c r="J668" i="3"/>
  <c r="O668" i="3"/>
  <c r="P668" i="3"/>
  <c r="C669" i="3"/>
  <c r="E669" i="3"/>
  <c r="I669" i="3"/>
  <c r="J669" i="3"/>
  <c r="O669" i="3"/>
  <c r="P669" i="3"/>
  <c r="C670" i="3"/>
  <c r="E670" i="3"/>
  <c r="I670" i="3"/>
  <c r="J670" i="3"/>
  <c r="O670" i="3"/>
  <c r="P670" i="3"/>
  <c r="C671" i="3"/>
  <c r="E671" i="3"/>
  <c r="I671" i="3"/>
  <c r="J671" i="3"/>
  <c r="O671" i="3"/>
  <c r="P671" i="3"/>
  <c r="C672" i="3"/>
  <c r="E672" i="3"/>
  <c r="I672" i="3"/>
  <c r="J672" i="3"/>
  <c r="O672" i="3"/>
  <c r="P672" i="3"/>
  <c r="C673" i="3"/>
  <c r="E673" i="3"/>
  <c r="I673" i="3"/>
  <c r="J673" i="3"/>
  <c r="O673" i="3"/>
  <c r="P673" i="3"/>
  <c r="C674" i="3"/>
  <c r="E674" i="3"/>
  <c r="I674" i="3"/>
  <c r="J674" i="3"/>
  <c r="O674" i="3"/>
  <c r="P674" i="3"/>
  <c r="C675" i="3"/>
  <c r="E675" i="3"/>
  <c r="I675" i="3"/>
  <c r="J675" i="3"/>
  <c r="O675" i="3"/>
  <c r="P675" i="3"/>
  <c r="C676" i="3"/>
  <c r="E676" i="3"/>
  <c r="I676" i="3"/>
  <c r="J676" i="3"/>
  <c r="O676" i="3"/>
  <c r="P676" i="3"/>
  <c r="C677" i="3"/>
  <c r="E677" i="3"/>
  <c r="I677" i="3"/>
  <c r="J677" i="3"/>
  <c r="O677" i="3"/>
  <c r="P677" i="3"/>
  <c r="C678" i="3"/>
  <c r="E678" i="3"/>
  <c r="I678" i="3"/>
  <c r="J678" i="3"/>
  <c r="O678" i="3"/>
  <c r="P678" i="3"/>
  <c r="C679" i="3"/>
  <c r="E679" i="3"/>
  <c r="I679" i="3"/>
  <c r="J679" i="3"/>
  <c r="O679" i="3"/>
  <c r="P679" i="3"/>
  <c r="C680" i="3"/>
  <c r="E680" i="3"/>
  <c r="I680" i="3"/>
  <c r="J680" i="3"/>
  <c r="O680" i="3"/>
  <c r="P680" i="3"/>
  <c r="C681" i="3"/>
  <c r="E681" i="3"/>
  <c r="I681" i="3"/>
  <c r="J681" i="3"/>
  <c r="O681" i="3"/>
  <c r="P681" i="3"/>
  <c r="C682" i="3"/>
  <c r="E682" i="3"/>
  <c r="I682" i="3"/>
  <c r="J682" i="3"/>
  <c r="O682" i="3"/>
  <c r="P682" i="3"/>
  <c r="C683" i="3"/>
  <c r="E683" i="3"/>
  <c r="I683" i="3"/>
  <c r="J683" i="3"/>
  <c r="O683" i="3"/>
  <c r="P683" i="3"/>
  <c r="C684" i="3"/>
  <c r="E684" i="3"/>
  <c r="I684" i="3"/>
  <c r="J684" i="3"/>
  <c r="O684" i="3"/>
  <c r="P684" i="3"/>
  <c r="C685" i="3"/>
  <c r="E685" i="3"/>
  <c r="I685" i="3"/>
  <c r="J685" i="3"/>
  <c r="O685" i="3"/>
  <c r="P685" i="3"/>
  <c r="C686" i="3"/>
  <c r="E686" i="3"/>
  <c r="I686" i="3"/>
  <c r="J686" i="3"/>
  <c r="O686" i="3"/>
  <c r="P686" i="3"/>
  <c r="C687" i="3"/>
  <c r="E687" i="3"/>
  <c r="I687" i="3"/>
  <c r="J687" i="3"/>
  <c r="O687" i="3"/>
  <c r="P687" i="3"/>
  <c r="C688" i="3"/>
  <c r="E688" i="3"/>
  <c r="I688" i="3"/>
  <c r="J688" i="3"/>
  <c r="O688" i="3"/>
  <c r="P688" i="3"/>
  <c r="C689" i="3"/>
  <c r="E689" i="3"/>
  <c r="I689" i="3"/>
  <c r="J689" i="3"/>
  <c r="O689" i="3"/>
  <c r="P689" i="3"/>
  <c r="C690" i="3"/>
  <c r="E690" i="3"/>
  <c r="I690" i="3"/>
  <c r="J690" i="3"/>
  <c r="O690" i="3"/>
  <c r="P690" i="3"/>
  <c r="C691" i="3"/>
  <c r="E691" i="3"/>
  <c r="I691" i="3"/>
  <c r="J691" i="3"/>
  <c r="O691" i="3"/>
  <c r="P691" i="3"/>
  <c r="C692" i="3"/>
  <c r="E692" i="3"/>
  <c r="I692" i="3"/>
  <c r="J692" i="3"/>
  <c r="O692" i="3"/>
  <c r="P692" i="3"/>
  <c r="C693" i="3"/>
  <c r="E693" i="3"/>
  <c r="I693" i="3"/>
  <c r="J693" i="3"/>
  <c r="O693" i="3"/>
  <c r="P693" i="3"/>
  <c r="C694" i="3"/>
  <c r="E694" i="3"/>
  <c r="I694" i="3"/>
  <c r="J694" i="3"/>
  <c r="O694" i="3"/>
  <c r="P694" i="3"/>
  <c r="C695" i="3"/>
  <c r="E695" i="3"/>
  <c r="I695" i="3"/>
  <c r="J695" i="3"/>
  <c r="O695" i="3"/>
  <c r="P695" i="3"/>
  <c r="C696" i="3"/>
  <c r="E696" i="3"/>
  <c r="I696" i="3"/>
  <c r="J696" i="3"/>
  <c r="O696" i="3"/>
  <c r="P696" i="3"/>
  <c r="C697" i="3"/>
  <c r="E697" i="3"/>
  <c r="I697" i="3"/>
  <c r="J697" i="3"/>
  <c r="O697" i="3"/>
  <c r="P697" i="3"/>
  <c r="C698" i="3"/>
  <c r="E698" i="3"/>
  <c r="I698" i="3"/>
  <c r="J698" i="3"/>
  <c r="O698" i="3"/>
  <c r="P698" i="3"/>
  <c r="C699" i="3"/>
  <c r="E699" i="3"/>
  <c r="I699" i="3"/>
  <c r="J699" i="3"/>
  <c r="O699" i="3"/>
  <c r="P699" i="3"/>
  <c r="C700" i="3"/>
  <c r="E700" i="3"/>
  <c r="I700" i="3"/>
  <c r="J700" i="3"/>
  <c r="O700" i="3"/>
  <c r="P700" i="3"/>
  <c r="C701" i="3"/>
  <c r="E701" i="3"/>
  <c r="I701" i="3"/>
  <c r="J701" i="3"/>
  <c r="O701" i="3"/>
  <c r="P701" i="3"/>
  <c r="C702" i="3"/>
  <c r="E702" i="3"/>
  <c r="I702" i="3"/>
  <c r="J702" i="3"/>
  <c r="O702" i="3"/>
  <c r="P702" i="3"/>
  <c r="C703" i="3"/>
  <c r="E703" i="3"/>
  <c r="I703" i="3"/>
  <c r="J703" i="3"/>
  <c r="O703" i="3"/>
  <c r="P703" i="3"/>
  <c r="C704" i="3"/>
  <c r="E704" i="3"/>
  <c r="I704" i="3"/>
  <c r="J704" i="3"/>
  <c r="O704" i="3"/>
  <c r="P704" i="3"/>
  <c r="C705" i="3"/>
  <c r="E705" i="3"/>
  <c r="I705" i="3"/>
  <c r="J705" i="3"/>
  <c r="O705" i="3"/>
  <c r="P705" i="3"/>
  <c r="C706" i="3"/>
  <c r="E706" i="3"/>
  <c r="I706" i="3"/>
  <c r="J706" i="3"/>
  <c r="O706" i="3"/>
  <c r="P706" i="3"/>
  <c r="C707" i="3"/>
  <c r="E707" i="3"/>
  <c r="I707" i="3"/>
  <c r="J707" i="3"/>
  <c r="O707" i="3"/>
  <c r="P707" i="3"/>
  <c r="C708" i="3"/>
  <c r="E708" i="3"/>
  <c r="I708" i="3"/>
  <c r="J708" i="3"/>
  <c r="O708" i="3"/>
  <c r="P708" i="3"/>
  <c r="C709" i="3"/>
  <c r="E709" i="3"/>
  <c r="I709" i="3"/>
  <c r="J709" i="3"/>
  <c r="O709" i="3"/>
  <c r="P709" i="3"/>
  <c r="C710" i="3"/>
  <c r="E710" i="3"/>
  <c r="I710" i="3"/>
  <c r="J710" i="3"/>
  <c r="O710" i="3"/>
  <c r="P710" i="3"/>
  <c r="C711" i="3"/>
  <c r="E711" i="3"/>
  <c r="I711" i="3"/>
  <c r="J711" i="3"/>
  <c r="O711" i="3"/>
  <c r="P711" i="3"/>
  <c r="C712" i="3"/>
  <c r="E712" i="3"/>
  <c r="I712" i="3"/>
  <c r="J712" i="3"/>
  <c r="O712" i="3"/>
  <c r="P712" i="3"/>
  <c r="C713" i="3"/>
  <c r="E713" i="3"/>
  <c r="I713" i="3"/>
  <c r="J713" i="3"/>
  <c r="O713" i="3"/>
  <c r="P713" i="3"/>
  <c r="C714" i="3"/>
  <c r="E714" i="3"/>
  <c r="I714" i="3"/>
  <c r="J714" i="3"/>
  <c r="O714" i="3"/>
  <c r="P714" i="3"/>
  <c r="C715" i="3"/>
  <c r="E715" i="3"/>
  <c r="I715" i="3"/>
  <c r="J715" i="3"/>
  <c r="O715" i="3"/>
  <c r="P715" i="3"/>
  <c r="C716" i="3"/>
  <c r="E716" i="3"/>
  <c r="I716" i="3"/>
  <c r="J716" i="3"/>
  <c r="O716" i="3"/>
  <c r="P716" i="3"/>
  <c r="C717" i="3"/>
  <c r="E717" i="3"/>
  <c r="I717" i="3"/>
  <c r="J717" i="3"/>
  <c r="O717" i="3"/>
  <c r="P717" i="3"/>
  <c r="C718" i="3"/>
  <c r="E718" i="3"/>
  <c r="I718" i="3"/>
  <c r="J718" i="3"/>
  <c r="O718" i="3"/>
  <c r="P718" i="3"/>
  <c r="C719" i="3"/>
  <c r="E719" i="3"/>
  <c r="I719" i="3"/>
  <c r="J719" i="3"/>
  <c r="O719" i="3"/>
  <c r="P719" i="3"/>
  <c r="C720" i="3"/>
  <c r="E720" i="3"/>
  <c r="I720" i="3"/>
  <c r="J720" i="3"/>
  <c r="O720" i="3"/>
  <c r="P720" i="3"/>
  <c r="C721" i="3"/>
  <c r="E721" i="3"/>
  <c r="I721" i="3"/>
  <c r="J721" i="3"/>
  <c r="O721" i="3"/>
  <c r="P721" i="3"/>
  <c r="C722" i="3"/>
  <c r="E722" i="3"/>
  <c r="I722" i="3"/>
  <c r="J722" i="3"/>
  <c r="O722" i="3"/>
  <c r="P722" i="3"/>
  <c r="C723" i="3"/>
  <c r="E723" i="3"/>
  <c r="I723" i="3"/>
  <c r="J723" i="3"/>
  <c r="O723" i="3"/>
  <c r="P723" i="3"/>
  <c r="C724" i="3"/>
  <c r="E724" i="3"/>
  <c r="I724" i="3"/>
  <c r="J724" i="3"/>
  <c r="O724" i="3"/>
  <c r="P724" i="3"/>
  <c r="C725" i="3"/>
  <c r="E725" i="3"/>
  <c r="I725" i="3"/>
  <c r="J725" i="3"/>
  <c r="O725" i="3"/>
  <c r="P725" i="3"/>
  <c r="C726" i="3"/>
  <c r="E726" i="3"/>
  <c r="I726" i="3"/>
  <c r="J726" i="3"/>
  <c r="O726" i="3"/>
  <c r="P726" i="3"/>
  <c r="C727" i="3"/>
  <c r="E727" i="3"/>
  <c r="I727" i="3"/>
  <c r="J727" i="3"/>
  <c r="O727" i="3"/>
  <c r="P727" i="3"/>
  <c r="C728" i="3"/>
  <c r="E728" i="3"/>
  <c r="I728" i="3"/>
  <c r="J728" i="3"/>
  <c r="O728" i="3"/>
  <c r="P728" i="3"/>
  <c r="C729" i="3"/>
  <c r="E729" i="3"/>
  <c r="I729" i="3"/>
  <c r="J729" i="3"/>
  <c r="O729" i="3"/>
  <c r="P729" i="3"/>
  <c r="C730" i="3"/>
  <c r="E730" i="3"/>
  <c r="I730" i="3"/>
  <c r="J730" i="3"/>
  <c r="O730" i="3"/>
  <c r="P730" i="3"/>
  <c r="C731" i="3"/>
  <c r="E731" i="3"/>
  <c r="I731" i="3"/>
  <c r="J731" i="3"/>
  <c r="O731" i="3"/>
  <c r="P731" i="3"/>
  <c r="C732" i="3"/>
  <c r="E732" i="3"/>
  <c r="I732" i="3"/>
  <c r="J732" i="3"/>
  <c r="O732" i="3"/>
  <c r="P732" i="3"/>
  <c r="C733" i="3"/>
  <c r="E733" i="3"/>
  <c r="I733" i="3"/>
  <c r="J733" i="3"/>
  <c r="O733" i="3"/>
  <c r="P733" i="3"/>
  <c r="C734" i="3"/>
  <c r="E734" i="3"/>
  <c r="I734" i="3"/>
  <c r="J734" i="3"/>
  <c r="O734" i="3"/>
  <c r="P734" i="3"/>
  <c r="C735" i="3"/>
  <c r="E735" i="3"/>
  <c r="I735" i="3"/>
  <c r="J735" i="3"/>
  <c r="O735" i="3"/>
  <c r="P735" i="3"/>
  <c r="C736" i="3"/>
  <c r="E736" i="3"/>
  <c r="I736" i="3"/>
  <c r="J736" i="3"/>
  <c r="O736" i="3"/>
  <c r="P736" i="3"/>
  <c r="C737" i="3"/>
  <c r="E737" i="3"/>
  <c r="I737" i="3"/>
  <c r="J737" i="3"/>
  <c r="O737" i="3"/>
  <c r="P737" i="3"/>
  <c r="C738" i="3"/>
  <c r="E738" i="3"/>
  <c r="I738" i="3"/>
  <c r="J738" i="3"/>
  <c r="O738" i="3"/>
  <c r="P738" i="3"/>
  <c r="C739" i="3"/>
  <c r="E739" i="3"/>
  <c r="I739" i="3"/>
  <c r="J739" i="3"/>
  <c r="O739" i="3"/>
  <c r="P739" i="3"/>
  <c r="C740" i="3"/>
  <c r="E740" i="3"/>
  <c r="I740" i="3"/>
  <c r="J740" i="3"/>
  <c r="O740" i="3"/>
  <c r="P740" i="3"/>
  <c r="C741" i="3"/>
  <c r="E741" i="3"/>
  <c r="I741" i="3"/>
  <c r="J741" i="3"/>
  <c r="O741" i="3"/>
  <c r="P741" i="3"/>
  <c r="C742" i="3"/>
  <c r="E742" i="3"/>
  <c r="I742" i="3"/>
  <c r="J742" i="3"/>
  <c r="O742" i="3"/>
  <c r="P742" i="3"/>
  <c r="C743" i="3"/>
  <c r="E743" i="3"/>
  <c r="I743" i="3"/>
  <c r="J743" i="3"/>
  <c r="O743" i="3"/>
  <c r="P743" i="3"/>
  <c r="C744" i="3"/>
  <c r="E744" i="3"/>
  <c r="I744" i="3"/>
  <c r="J744" i="3"/>
  <c r="O744" i="3"/>
  <c r="P744" i="3"/>
  <c r="C745" i="3"/>
  <c r="E745" i="3"/>
  <c r="I745" i="3"/>
  <c r="J745" i="3"/>
  <c r="O745" i="3"/>
  <c r="P745" i="3"/>
  <c r="C746" i="3"/>
  <c r="E746" i="3"/>
  <c r="I746" i="3"/>
  <c r="J746" i="3"/>
  <c r="O746" i="3"/>
  <c r="P746" i="3"/>
  <c r="C747" i="3"/>
  <c r="E747" i="3"/>
  <c r="I747" i="3"/>
  <c r="J747" i="3"/>
  <c r="O747" i="3"/>
  <c r="P747" i="3"/>
  <c r="C748" i="3"/>
  <c r="E748" i="3"/>
  <c r="I748" i="3"/>
  <c r="J748" i="3"/>
  <c r="O748" i="3"/>
  <c r="P748" i="3"/>
  <c r="C749" i="3"/>
  <c r="E749" i="3"/>
  <c r="I749" i="3"/>
  <c r="J749" i="3"/>
  <c r="O749" i="3"/>
  <c r="P749" i="3"/>
  <c r="C750" i="3"/>
  <c r="E750" i="3"/>
  <c r="I750" i="3"/>
  <c r="J750" i="3"/>
  <c r="O750" i="3"/>
  <c r="P750" i="3"/>
  <c r="C751" i="3"/>
  <c r="E751" i="3"/>
  <c r="I751" i="3"/>
  <c r="J751" i="3"/>
  <c r="O751" i="3"/>
  <c r="P751" i="3"/>
  <c r="C752" i="3"/>
  <c r="E752" i="3"/>
  <c r="I752" i="3"/>
  <c r="J752" i="3"/>
  <c r="O752" i="3"/>
  <c r="P752" i="3"/>
  <c r="C753" i="3"/>
  <c r="E753" i="3"/>
  <c r="I753" i="3"/>
  <c r="J753" i="3"/>
  <c r="O753" i="3"/>
  <c r="P753" i="3"/>
  <c r="C754" i="3"/>
  <c r="E754" i="3"/>
  <c r="I754" i="3"/>
  <c r="J754" i="3"/>
  <c r="O754" i="3"/>
  <c r="P754" i="3"/>
  <c r="C755" i="3"/>
  <c r="E755" i="3"/>
  <c r="I755" i="3"/>
  <c r="J755" i="3"/>
  <c r="O755" i="3"/>
  <c r="P755" i="3"/>
  <c r="C756" i="3"/>
  <c r="E756" i="3"/>
  <c r="I756" i="3"/>
  <c r="J756" i="3"/>
  <c r="O756" i="3"/>
  <c r="P756" i="3"/>
  <c r="C757" i="3"/>
  <c r="E757" i="3"/>
  <c r="I757" i="3"/>
  <c r="J757" i="3"/>
  <c r="O757" i="3"/>
  <c r="P757" i="3"/>
  <c r="C758" i="3"/>
  <c r="E758" i="3"/>
  <c r="I758" i="3"/>
  <c r="J758" i="3"/>
  <c r="O758" i="3"/>
  <c r="P758" i="3"/>
  <c r="C759" i="3"/>
  <c r="E759" i="3"/>
  <c r="I759" i="3"/>
  <c r="J759" i="3"/>
  <c r="O759" i="3"/>
  <c r="P759" i="3"/>
  <c r="C760" i="3"/>
  <c r="E760" i="3"/>
  <c r="I760" i="3"/>
  <c r="J760" i="3"/>
  <c r="O760" i="3"/>
  <c r="P760" i="3"/>
  <c r="C761" i="3"/>
  <c r="E761" i="3"/>
  <c r="I761" i="3"/>
  <c r="J761" i="3"/>
  <c r="O761" i="3"/>
  <c r="P761" i="3"/>
  <c r="C762" i="3"/>
  <c r="E762" i="3"/>
  <c r="I762" i="3"/>
  <c r="J762" i="3"/>
  <c r="O762" i="3"/>
  <c r="P762" i="3"/>
  <c r="C763" i="3"/>
  <c r="E763" i="3"/>
  <c r="I763" i="3"/>
  <c r="J763" i="3"/>
  <c r="O763" i="3"/>
  <c r="P763" i="3"/>
  <c r="C764" i="3"/>
  <c r="E764" i="3"/>
  <c r="I764" i="3"/>
  <c r="J764" i="3"/>
  <c r="O764" i="3"/>
  <c r="P764" i="3"/>
  <c r="C765" i="3"/>
  <c r="E765" i="3"/>
  <c r="I765" i="3"/>
  <c r="J765" i="3"/>
  <c r="O765" i="3"/>
  <c r="P765" i="3"/>
  <c r="C766" i="3"/>
  <c r="E766" i="3"/>
  <c r="I766" i="3"/>
  <c r="J766" i="3"/>
  <c r="O766" i="3"/>
  <c r="P766" i="3"/>
  <c r="C767" i="3"/>
  <c r="E767" i="3"/>
  <c r="I767" i="3"/>
  <c r="J767" i="3"/>
  <c r="O767" i="3"/>
  <c r="P767" i="3"/>
  <c r="C768" i="3"/>
  <c r="E768" i="3"/>
  <c r="I768" i="3"/>
  <c r="J768" i="3"/>
  <c r="O768" i="3"/>
  <c r="P768" i="3"/>
  <c r="C769" i="3"/>
  <c r="E769" i="3"/>
  <c r="I769" i="3"/>
  <c r="J769" i="3"/>
  <c r="O769" i="3"/>
  <c r="P769" i="3"/>
  <c r="C770" i="3"/>
  <c r="E770" i="3"/>
  <c r="I770" i="3"/>
  <c r="J770" i="3"/>
  <c r="O770" i="3"/>
  <c r="P770" i="3"/>
  <c r="C771" i="3"/>
  <c r="E771" i="3"/>
  <c r="I771" i="3"/>
  <c r="J771" i="3"/>
  <c r="O771" i="3"/>
  <c r="P771" i="3"/>
  <c r="C772" i="3"/>
  <c r="E772" i="3"/>
  <c r="I772" i="3"/>
  <c r="J772" i="3"/>
  <c r="O772" i="3"/>
  <c r="P772" i="3"/>
  <c r="C773" i="3"/>
  <c r="E773" i="3"/>
  <c r="I773" i="3"/>
  <c r="J773" i="3"/>
  <c r="O773" i="3"/>
  <c r="P773" i="3"/>
  <c r="C774" i="3"/>
  <c r="E774" i="3"/>
  <c r="I774" i="3"/>
  <c r="J774" i="3"/>
  <c r="O774" i="3"/>
  <c r="P774" i="3"/>
  <c r="C775" i="3"/>
  <c r="E775" i="3"/>
  <c r="I775" i="3"/>
  <c r="J775" i="3"/>
  <c r="O775" i="3"/>
  <c r="P775" i="3"/>
  <c r="C776" i="3"/>
  <c r="E776" i="3"/>
  <c r="I776" i="3"/>
  <c r="J776" i="3"/>
  <c r="O776" i="3"/>
  <c r="P776" i="3"/>
  <c r="C777" i="3"/>
  <c r="E777" i="3"/>
  <c r="I777" i="3"/>
  <c r="J777" i="3"/>
  <c r="O777" i="3"/>
  <c r="P777" i="3"/>
  <c r="C778" i="3"/>
  <c r="E778" i="3"/>
  <c r="I778" i="3"/>
  <c r="J778" i="3"/>
  <c r="O778" i="3"/>
  <c r="P778" i="3"/>
  <c r="C779" i="3"/>
  <c r="E779" i="3"/>
  <c r="I779" i="3"/>
  <c r="J779" i="3"/>
  <c r="O779" i="3"/>
  <c r="P779" i="3"/>
  <c r="C780" i="3"/>
  <c r="E780" i="3"/>
  <c r="I780" i="3"/>
  <c r="J780" i="3"/>
  <c r="O780" i="3"/>
  <c r="P780" i="3"/>
  <c r="C781" i="3"/>
  <c r="E781" i="3"/>
  <c r="I781" i="3"/>
  <c r="J781" i="3"/>
  <c r="O781" i="3"/>
  <c r="P781" i="3"/>
  <c r="C782" i="3"/>
  <c r="E782" i="3"/>
  <c r="I782" i="3"/>
  <c r="J782" i="3"/>
  <c r="O782" i="3"/>
  <c r="P782" i="3"/>
  <c r="C783" i="3"/>
  <c r="E783" i="3"/>
  <c r="I783" i="3"/>
  <c r="J783" i="3"/>
  <c r="O783" i="3"/>
  <c r="P783" i="3"/>
  <c r="C784" i="3"/>
  <c r="E784" i="3"/>
  <c r="I784" i="3"/>
  <c r="J784" i="3"/>
  <c r="O784" i="3"/>
  <c r="P784" i="3"/>
  <c r="C785" i="3"/>
  <c r="E785" i="3"/>
  <c r="I785" i="3"/>
  <c r="J785" i="3"/>
  <c r="O785" i="3"/>
  <c r="P785" i="3"/>
  <c r="C786" i="3"/>
  <c r="E786" i="3"/>
  <c r="I786" i="3"/>
  <c r="J786" i="3"/>
  <c r="O786" i="3"/>
  <c r="P786" i="3"/>
  <c r="C787" i="3"/>
  <c r="E787" i="3"/>
  <c r="I787" i="3"/>
  <c r="J787" i="3"/>
  <c r="O787" i="3"/>
  <c r="P787" i="3"/>
  <c r="C788" i="3"/>
  <c r="E788" i="3"/>
  <c r="I788" i="3"/>
  <c r="J788" i="3"/>
  <c r="O788" i="3"/>
  <c r="P788" i="3"/>
  <c r="C789" i="3"/>
  <c r="E789" i="3"/>
  <c r="I789" i="3"/>
  <c r="J789" i="3"/>
  <c r="O789" i="3"/>
  <c r="P789" i="3"/>
  <c r="C790" i="3"/>
  <c r="E790" i="3"/>
  <c r="I790" i="3"/>
  <c r="J790" i="3"/>
  <c r="O790" i="3"/>
  <c r="P790" i="3"/>
  <c r="C791" i="3"/>
  <c r="E791" i="3"/>
  <c r="I791" i="3"/>
  <c r="J791" i="3"/>
  <c r="O791" i="3"/>
  <c r="P791" i="3"/>
  <c r="C792" i="3"/>
  <c r="E792" i="3"/>
  <c r="I792" i="3"/>
  <c r="J792" i="3"/>
  <c r="O792" i="3"/>
  <c r="P792" i="3"/>
  <c r="C793" i="3"/>
  <c r="E793" i="3"/>
  <c r="I793" i="3"/>
  <c r="J793" i="3"/>
  <c r="O793" i="3"/>
  <c r="P793" i="3"/>
  <c r="C794" i="3"/>
  <c r="E794" i="3"/>
  <c r="I794" i="3"/>
  <c r="J794" i="3"/>
  <c r="O794" i="3"/>
  <c r="P794" i="3"/>
  <c r="C795" i="3"/>
  <c r="E795" i="3"/>
  <c r="I795" i="3"/>
  <c r="J795" i="3"/>
  <c r="O795" i="3"/>
  <c r="P795" i="3"/>
  <c r="C796" i="3"/>
  <c r="E796" i="3"/>
  <c r="I796" i="3"/>
  <c r="J796" i="3"/>
  <c r="O796" i="3"/>
  <c r="P796" i="3"/>
  <c r="C797" i="3"/>
  <c r="E797" i="3"/>
  <c r="I797" i="3"/>
  <c r="J797" i="3"/>
  <c r="O797" i="3"/>
  <c r="P797" i="3"/>
  <c r="C798" i="3"/>
  <c r="E798" i="3"/>
  <c r="I798" i="3"/>
  <c r="J798" i="3"/>
  <c r="O798" i="3"/>
  <c r="P798" i="3"/>
  <c r="C799" i="3"/>
  <c r="E799" i="3"/>
  <c r="I799" i="3"/>
  <c r="J799" i="3"/>
  <c r="O799" i="3"/>
  <c r="P799" i="3"/>
  <c r="C800" i="3"/>
  <c r="E800" i="3"/>
  <c r="I800" i="3"/>
  <c r="J800" i="3"/>
  <c r="O800" i="3"/>
  <c r="P800" i="3"/>
  <c r="C801" i="3"/>
  <c r="E801" i="3"/>
  <c r="I801" i="3"/>
  <c r="J801" i="3"/>
  <c r="O801" i="3"/>
  <c r="P801" i="3"/>
  <c r="C802" i="3"/>
  <c r="E802" i="3"/>
  <c r="I802" i="3"/>
  <c r="J802" i="3"/>
  <c r="O802" i="3"/>
  <c r="P802" i="3"/>
  <c r="C803" i="3"/>
  <c r="E803" i="3"/>
  <c r="I803" i="3"/>
  <c r="J803" i="3"/>
  <c r="O803" i="3"/>
  <c r="P803" i="3"/>
  <c r="C804" i="3"/>
  <c r="E804" i="3"/>
  <c r="I804" i="3"/>
  <c r="J804" i="3"/>
  <c r="O804" i="3"/>
  <c r="P804" i="3"/>
  <c r="C805" i="3"/>
  <c r="E805" i="3"/>
  <c r="I805" i="3"/>
  <c r="J805" i="3"/>
  <c r="O805" i="3"/>
  <c r="P805" i="3"/>
  <c r="C806" i="3"/>
  <c r="E806" i="3"/>
  <c r="I806" i="3"/>
  <c r="J806" i="3"/>
  <c r="O806" i="3"/>
  <c r="P806" i="3"/>
  <c r="C807" i="3"/>
  <c r="E807" i="3"/>
  <c r="I807" i="3"/>
  <c r="J807" i="3"/>
  <c r="O807" i="3"/>
  <c r="P807" i="3"/>
  <c r="C808" i="3"/>
  <c r="E808" i="3"/>
  <c r="I808" i="3"/>
  <c r="J808" i="3"/>
  <c r="O808" i="3"/>
  <c r="P808" i="3"/>
  <c r="C809" i="3"/>
  <c r="E809" i="3"/>
  <c r="I809" i="3"/>
  <c r="J809" i="3"/>
  <c r="O809" i="3"/>
  <c r="P809" i="3"/>
  <c r="C810" i="3"/>
  <c r="E810" i="3"/>
  <c r="I810" i="3"/>
  <c r="J810" i="3"/>
  <c r="O810" i="3"/>
  <c r="P810" i="3"/>
  <c r="C811" i="3"/>
  <c r="E811" i="3"/>
  <c r="I811" i="3"/>
  <c r="J811" i="3"/>
  <c r="O811" i="3"/>
  <c r="P811" i="3"/>
  <c r="C812" i="3"/>
  <c r="E812" i="3"/>
  <c r="I812" i="3"/>
  <c r="J812" i="3"/>
  <c r="O812" i="3"/>
  <c r="P812" i="3"/>
  <c r="C813" i="3"/>
  <c r="E813" i="3"/>
  <c r="I813" i="3"/>
  <c r="J813" i="3"/>
  <c r="O813" i="3"/>
  <c r="P813" i="3"/>
  <c r="C814" i="3"/>
  <c r="E814" i="3"/>
  <c r="I814" i="3"/>
  <c r="J814" i="3"/>
  <c r="O814" i="3"/>
  <c r="P814" i="3"/>
  <c r="C815" i="3"/>
  <c r="E815" i="3"/>
  <c r="I815" i="3"/>
  <c r="J815" i="3"/>
  <c r="O815" i="3"/>
  <c r="P815" i="3"/>
  <c r="C816" i="3"/>
  <c r="E816" i="3"/>
  <c r="I816" i="3"/>
  <c r="J816" i="3"/>
  <c r="O816" i="3"/>
  <c r="P816" i="3"/>
  <c r="C817" i="3"/>
  <c r="E817" i="3"/>
  <c r="I817" i="3"/>
  <c r="J817" i="3"/>
  <c r="O817" i="3"/>
  <c r="P817" i="3"/>
  <c r="C818" i="3"/>
  <c r="E818" i="3"/>
  <c r="I818" i="3"/>
  <c r="J818" i="3"/>
  <c r="O818" i="3"/>
  <c r="P818" i="3"/>
  <c r="C819" i="3"/>
  <c r="E819" i="3"/>
  <c r="I819" i="3"/>
  <c r="J819" i="3"/>
  <c r="O819" i="3"/>
  <c r="P819" i="3"/>
  <c r="C820" i="3"/>
  <c r="E820" i="3"/>
  <c r="I820" i="3"/>
  <c r="J820" i="3"/>
  <c r="O820" i="3"/>
  <c r="P820" i="3"/>
  <c r="C821" i="3"/>
  <c r="E821" i="3"/>
  <c r="I821" i="3"/>
  <c r="J821" i="3"/>
  <c r="O821" i="3"/>
  <c r="P821" i="3"/>
  <c r="C822" i="3"/>
  <c r="E822" i="3"/>
  <c r="I822" i="3"/>
  <c r="J822" i="3"/>
  <c r="O822" i="3"/>
  <c r="P822" i="3"/>
  <c r="C823" i="3"/>
  <c r="E823" i="3"/>
  <c r="I823" i="3"/>
  <c r="J823" i="3"/>
  <c r="O823" i="3"/>
  <c r="P823" i="3"/>
  <c r="C824" i="3"/>
  <c r="E824" i="3"/>
  <c r="I824" i="3"/>
  <c r="J824" i="3"/>
  <c r="O824" i="3"/>
  <c r="P824" i="3"/>
  <c r="C825" i="3"/>
  <c r="E825" i="3"/>
  <c r="I825" i="3"/>
  <c r="J825" i="3"/>
  <c r="O825" i="3"/>
  <c r="P825" i="3"/>
  <c r="C826" i="3"/>
  <c r="E826" i="3"/>
  <c r="I826" i="3"/>
  <c r="J826" i="3"/>
  <c r="O826" i="3"/>
  <c r="P826" i="3"/>
  <c r="C827" i="3"/>
  <c r="E827" i="3"/>
  <c r="I827" i="3"/>
  <c r="J827" i="3"/>
  <c r="O827" i="3"/>
  <c r="P827" i="3"/>
  <c r="C828" i="3"/>
  <c r="E828" i="3"/>
  <c r="I828" i="3"/>
  <c r="J828" i="3"/>
  <c r="O828" i="3"/>
  <c r="P828" i="3"/>
  <c r="C829" i="3"/>
  <c r="E829" i="3"/>
  <c r="I829" i="3"/>
  <c r="J829" i="3"/>
  <c r="O829" i="3"/>
  <c r="P829" i="3"/>
  <c r="C830" i="3"/>
  <c r="E830" i="3"/>
  <c r="I830" i="3"/>
  <c r="J830" i="3"/>
  <c r="O830" i="3"/>
  <c r="P830" i="3"/>
  <c r="C831" i="3"/>
  <c r="E831" i="3"/>
  <c r="I831" i="3"/>
  <c r="J831" i="3"/>
  <c r="O831" i="3"/>
  <c r="P831" i="3"/>
  <c r="C832" i="3"/>
  <c r="E832" i="3"/>
  <c r="I832" i="3"/>
  <c r="J832" i="3"/>
  <c r="O832" i="3"/>
  <c r="P832" i="3"/>
  <c r="C833" i="3"/>
  <c r="E833" i="3"/>
  <c r="I833" i="3"/>
  <c r="J833" i="3"/>
  <c r="O833" i="3"/>
  <c r="P833" i="3"/>
  <c r="C834" i="3"/>
  <c r="E834" i="3"/>
  <c r="I834" i="3"/>
  <c r="J834" i="3"/>
  <c r="O834" i="3"/>
  <c r="P834" i="3"/>
  <c r="C835" i="3"/>
  <c r="E835" i="3"/>
  <c r="I835" i="3"/>
  <c r="J835" i="3"/>
  <c r="O835" i="3"/>
  <c r="P835" i="3"/>
  <c r="C836" i="3"/>
  <c r="E836" i="3"/>
  <c r="I836" i="3"/>
  <c r="J836" i="3"/>
  <c r="O836" i="3"/>
  <c r="P836" i="3"/>
  <c r="C837" i="3"/>
  <c r="E837" i="3"/>
  <c r="I837" i="3"/>
  <c r="J837" i="3"/>
  <c r="O837" i="3"/>
  <c r="P837" i="3"/>
  <c r="C838" i="3"/>
  <c r="E838" i="3"/>
  <c r="I838" i="3"/>
  <c r="J838" i="3"/>
  <c r="O838" i="3"/>
  <c r="P838" i="3"/>
  <c r="C839" i="3"/>
  <c r="E839" i="3"/>
  <c r="I839" i="3"/>
  <c r="J839" i="3"/>
  <c r="O839" i="3"/>
  <c r="P839" i="3"/>
  <c r="C840" i="3"/>
  <c r="E840" i="3"/>
  <c r="I840" i="3"/>
  <c r="J840" i="3"/>
  <c r="O840" i="3"/>
  <c r="P840" i="3"/>
  <c r="C841" i="3"/>
  <c r="E841" i="3"/>
  <c r="I841" i="3"/>
  <c r="J841" i="3"/>
  <c r="O841" i="3"/>
  <c r="P841" i="3"/>
  <c r="C842" i="3"/>
  <c r="E842" i="3"/>
  <c r="I842" i="3"/>
  <c r="J842" i="3"/>
  <c r="O842" i="3"/>
  <c r="P842" i="3"/>
  <c r="C843" i="3"/>
  <c r="E843" i="3"/>
  <c r="I843" i="3"/>
  <c r="J843" i="3"/>
  <c r="O843" i="3"/>
  <c r="P843" i="3"/>
  <c r="C844" i="3"/>
  <c r="E844" i="3"/>
  <c r="I844" i="3"/>
  <c r="J844" i="3"/>
  <c r="O844" i="3"/>
  <c r="P844" i="3"/>
  <c r="C845" i="3"/>
  <c r="E845" i="3"/>
  <c r="I845" i="3"/>
  <c r="J845" i="3"/>
  <c r="O845" i="3"/>
  <c r="P845" i="3"/>
  <c r="C846" i="3"/>
  <c r="E846" i="3"/>
  <c r="I846" i="3"/>
  <c r="J846" i="3"/>
  <c r="O846" i="3"/>
  <c r="P846" i="3"/>
  <c r="C847" i="3"/>
  <c r="E847" i="3"/>
  <c r="I847" i="3"/>
  <c r="J847" i="3"/>
  <c r="O847" i="3"/>
  <c r="P847" i="3"/>
  <c r="C848" i="3"/>
  <c r="E848" i="3"/>
  <c r="I848" i="3"/>
  <c r="J848" i="3"/>
  <c r="O848" i="3"/>
  <c r="P848" i="3"/>
  <c r="C849" i="3"/>
  <c r="E849" i="3"/>
  <c r="I849" i="3"/>
  <c r="J849" i="3"/>
  <c r="O849" i="3"/>
  <c r="P849" i="3"/>
  <c r="C850" i="3"/>
  <c r="E850" i="3"/>
  <c r="I850" i="3"/>
  <c r="J850" i="3"/>
  <c r="O850" i="3"/>
  <c r="P850" i="3"/>
  <c r="C851" i="3"/>
  <c r="E851" i="3"/>
  <c r="I851" i="3"/>
  <c r="J851" i="3"/>
  <c r="O851" i="3"/>
  <c r="P851" i="3"/>
  <c r="C852" i="3"/>
  <c r="E852" i="3"/>
  <c r="I852" i="3"/>
  <c r="J852" i="3"/>
  <c r="O852" i="3"/>
  <c r="P852" i="3"/>
  <c r="C853" i="3"/>
  <c r="E853" i="3"/>
  <c r="I853" i="3"/>
  <c r="J853" i="3"/>
  <c r="O853" i="3"/>
  <c r="P853" i="3"/>
  <c r="C854" i="3"/>
  <c r="E854" i="3"/>
  <c r="I854" i="3"/>
  <c r="J854" i="3"/>
  <c r="O854" i="3"/>
  <c r="P854" i="3"/>
  <c r="C855" i="3"/>
  <c r="E855" i="3"/>
  <c r="I855" i="3"/>
  <c r="J855" i="3"/>
  <c r="O855" i="3"/>
  <c r="P855" i="3"/>
  <c r="C856" i="3"/>
  <c r="E856" i="3"/>
  <c r="I856" i="3"/>
  <c r="J856" i="3"/>
  <c r="O856" i="3"/>
  <c r="P856" i="3"/>
  <c r="C857" i="3"/>
  <c r="E857" i="3"/>
  <c r="I857" i="3"/>
  <c r="J857" i="3"/>
  <c r="O857" i="3"/>
  <c r="P857" i="3"/>
  <c r="C858" i="3"/>
  <c r="E858" i="3"/>
  <c r="I858" i="3"/>
  <c r="J858" i="3"/>
  <c r="O858" i="3"/>
  <c r="P858" i="3"/>
  <c r="C859" i="3"/>
  <c r="E859" i="3"/>
  <c r="I859" i="3"/>
  <c r="J859" i="3"/>
  <c r="O859" i="3"/>
  <c r="P859" i="3"/>
  <c r="C860" i="3"/>
  <c r="E860" i="3"/>
  <c r="I860" i="3"/>
  <c r="J860" i="3"/>
  <c r="O860" i="3"/>
  <c r="P860" i="3"/>
  <c r="C861" i="3"/>
  <c r="E861" i="3"/>
  <c r="I861" i="3"/>
  <c r="J861" i="3"/>
  <c r="O861" i="3"/>
  <c r="P861" i="3"/>
  <c r="C862" i="3"/>
  <c r="E862" i="3"/>
  <c r="I862" i="3"/>
  <c r="J862" i="3"/>
  <c r="O862" i="3"/>
  <c r="P862" i="3"/>
  <c r="C863" i="3"/>
  <c r="E863" i="3"/>
  <c r="I863" i="3"/>
  <c r="J863" i="3"/>
  <c r="O863" i="3"/>
  <c r="P863" i="3"/>
  <c r="C864" i="3"/>
  <c r="E864" i="3"/>
  <c r="I864" i="3"/>
  <c r="J864" i="3"/>
  <c r="O864" i="3"/>
  <c r="P864" i="3"/>
  <c r="C865" i="3"/>
  <c r="E865" i="3"/>
  <c r="I865" i="3"/>
  <c r="J865" i="3"/>
  <c r="O865" i="3"/>
  <c r="P865" i="3"/>
  <c r="C866" i="3"/>
  <c r="E866" i="3"/>
  <c r="I866" i="3"/>
  <c r="J866" i="3"/>
  <c r="O866" i="3"/>
  <c r="P866" i="3"/>
  <c r="C867" i="3"/>
  <c r="E867" i="3"/>
  <c r="I867" i="3"/>
  <c r="J867" i="3"/>
  <c r="O867" i="3"/>
  <c r="P867" i="3"/>
  <c r="C868" i="3"/>
  <c r="E868" i="3"/>
  <c r="I868" i="3"/>
  <c r="J868" i="3"/>
  <c r="O868" i="3"/>
  <c r="P868" i="3"/>
  <c r="C869" i="3"/>
  <c r="E869" i="3"/>
  <c r="I869" i="3"/>
  <c r="J869" i="3"/>
  <c r="O869" i="3"/>
  <c r="P869" i="3"/>
  <c r="C870" i="3"/>
  <c r="E870" i="3"/>
  <c r="I870" i="3"/>
  <c r="J870" i="3"/>
  <c r="O870" i="3"/>
  <c r="P870" i="3"/>
  <c r="C871" i="3"/>
  <c r="E871" i="3"/>
  <c r="I871" i="3"/>
  <c r="J871" i="3"/>
  <c r="O871" i="3"/>
  <c r="P871" i="3"/>
  <c r="C872" i="3"/>
  <c r="E872" i="3"/>
  <c r="I872" i="3"/>
  <c r="J872" i="3"/>
  <c r="O872" i="3"/>
  <c r="P872" i="3"/>
  <c r="C873" i="3"/>
  <c r="E873" i="3"/>
  <c r="I873" i="3"/>
  <c r="J873" i="3"/>
  <c r="O873" i="3"/>
  <c r="P873" i="3"/>
  <c r="C874" i="3"/>
  <c r="E874" i="3"/>
  <c r="I874" i="3"/>
  <c r="J874" i="3"/>
  <c r="O874" i="3"/>
  <c r="P874" i="3"/>
  <c r="C875" i="3"/>
  <c r="E875" i="3"/>
  <c r="I875" i="3"/>
  <c r="J875" i="3"/>
  <c r="O875" i="3"/>
  <c r="P875" i="3"/>
  <c r="C876" i="3"/>
  <c r="E876" i="3"/>
  <c r="I876" i="3"/>
  <c r="J876" i="3"/>
  <c r="O876" i="3"/>
  <c r="P876" i="3"/>
  <c r="C877" i="3"/>
  <c r="E877" i="3"/>
  <c r="I877" i="3"/>
  <c r="J877" i="3"/>
  <c r="O877" i="3"/>
  <c r="P877" i="3"/>
  <c r="C878" i="3"/>
  <c r="E878" i="3"/>
  <c r="I878" i="3"/>
  <c r="J878" i="3"/>
  <c r="O878" i="3"/>
  <c r="P878" i="3"/>
  <c r="C879" i="3"/>
  <c r="E879" i="3"/>
  <c r="I879" i="3"/>
  <c r="J879" i="3"/>
  <c r="O879" i="3"/>
  <c r="P879" i="3"/>
  <c r="C880" i="3"/>
  <c r="E880" i="3"/>
  <c r="I880" i="3"/>
  <c r="J880" i="3"/>
  <c r="O880" i="3"/>
  <c r="P880" i="3"/>
  <c r="C881" i="3"/>
  <c r="E881" i="3"/>
  <c r="I881" i="3"/>
  <c r="J881" i="3"/>
  <c r="O881" i="3"/>
  <c r="P881" i="3"/>
  <c r="C882" i="3"/>
  <c r="E882" i="3"/>
  <c r="I882" i="3"/>
  <c r="J882" i="3"/>
  <c r="O882" i="3"/>
  <c r="P882" i="3"/>
  <c r="C883" i="3"/>
  <c r="E883" i="3"/>
  <c r="I883" i="3"/>
  <c r="J883" i="3"/>
  <c r="O883" i="3"/>
  <c r="P883" i="3"/>
  <c r="C884" i="3"/>
  <c r="E884" i="3"/>
  <c r="I884" i="3"/>
  <c r="J884" i="3"/>
  <c r="O884" i="3"/>
  <c r="P884" i="3"/>
  <c r="C885" i="3"/>
  <c r="E885" i="3"/>
  <c r="I885" i="3"/>
  <c r="J885" i="3"/>
  <c r="O885" i="3"/>
  <c r="P885" i="3"/>
  <c r="C886" i="3"/>
  <c r="E886" i="3"/>
  <c r="I886" i="3"/>
  <c r="J886" i="3"/>
  <c r="O886" i="3"/>
  <c r="P886" i="3"/>
  <c r="C887" i="3"/>
  <c r="E887" i="3"/>
  <c r="I887" i="3"/>
  <c r="J887" i="3"/>
  <c r="O887" i="3"/>
  <c r="P887" i="3"/>
  <c r="C888" i="3"/>
  <c r="E888" i="3"/>
  <c r="I888" i="3"/>
  <c r="J888" i="3"/>
  <c r="O888" i="3"/>
  <c r="P888" i="3"/>
  <c r="C889" i="3"/>
  <c r="E889" i="3"/>
  <c r="I889" i="3"/>
  <c r="J889" i="3"/>
  <c r="O889" i="3"/>
  <c r="P889" i="3"/>
  <c r="C890" i="3"/>
  <c r="E890" i="3"/>
  <c r="I890" i="3"/>
  <c r="J890" i="3"/>
  <c r="O890" i="3"/>
  <c r="P890" i="3"/>
  <c r="C891" i="3"/>
  <c r="E891" i="3"/>
  <c r="I891" i="3"/>
  <c r="J891" i="3"/>
  <c r="O891" i="3"/>
  <c r="P891" i="3"/>
  <c r="C892" i="3"/>
  <c r="E892" i="3"/>
  <c r="I892" i="3"/>
  <c r="J892" i="3"/>
  <c r="O892" i="3"/>
  <c r="P892" i="3"/>
  <c r="C893" i="3"/>
  <c r="E893" i="3"/>
  <c r="I893" i="3"/>
  <c r="J893" i="3"/>
  <c r="O893" i="3"/>
  <c r="P893" i="3"/>
  <c r="C894" i="3"/>
  <c r="E894" i="3"/>
  <c r="I894" i="3"/>
  <c r="J894" i="3"/>
  <c r="O894" i="3"/>
  <c r="P894" i="3"/>
  <c r="C895" i="3"/>
  <c r="E895" i="3"/>
  <c r="I895" i="3"/>
  <c r="J895" i="3"/>
  <c r="O895" i="3"/>
  <c r="P895" i="3"/>
  <c r="C896" i="3"/>
  <c r="E896" i="3"/>
  <c r="I896" i="3"/>
  <c r="J896" i="3"/>
  <c r="O896" i="3"/>
  <c r="P896" i="3"/>
  <c r="C897" i="3"/>
  <c r="E897" i="3"/>
  <c r="I897" i="3"/>
  <c r="J897" i="3"/>
  <c r="O897" i="3"/>
  <c r="P897" i="3"/>
  <c r="C898" i="3"/>
  <c r="E898" i="3"/>
  <c r="I898" i="3"/>
  <c r="J898" i="3"/>
  <c r="O898" i="3"/>
  <c r="P898" i="3"/>
  <c r="C899" i="3"/>
  <c r="E899" i="3"/>
  <c r="I899" i="3"/>
  <c r="J899" i="3"/>
  <c r="O899" i="3"/>
  <c r="P899" i="3"/>
  <c r="C900" i="3"/>
  <c r="E900" i="3"/>
  <c r="I900" i="3"/>
  <c r="J900" i="3"/>
  <c r="O900" i="3"/>
  <c r="P900" i="3"/>
  <c r="C901" i="3"/>
  <c r="E901" i="3"/>
  <c r="I901" i="3"/>
  <c r="J901" i="3"/>
  <c r="O901" i="3"/>
  <c r="P901" i="3"/>
  <c r="C902" i="3"/>
  <c r="E902" i="3"/>
  <c r="I902" i="3"/>
  <c r="J902" i="3"/>
  <c r="O902" i="3"/>
  <c r="P902" i="3"/>
  <c r="C903" i="3"/>
  <c r="E903" i="3"/>
  <c r="I903" i="3"/>
  <c r="J903" i="3"/>
  <c r="O903" i="3"/>
  <c r="P903" i="3"/>
  <c r="C904" i="3"/>
  <c r="E904" i="3"/>
  <c r="I904" i="3"/>
  <c r="J904" i="3"/>
  <c r="O904" i="3"/>
  <c r="P904" i="3"/>
  <c r="C905" i="3"/>
  <c r="E905" i="3"/>
  <c r="I905" i="3"/>
  <c r="J905" i="3"/>
  <c r="O905" i="3"/>
  <c r="P905" i="3"/>
  <c r="C906" i="3"/>
  <c r="E906" i="3"/>
  <c r="I906" i="3"/>
  <c r="J906" i="3"/>
  <c r="O906" i="3"/>
  <c r="P906" i="3"/>
  <c r="C907" i="3"/>
  <c r="E907" i="3"/>
  <c r="I907" i="3"/>
  <c r="J907" i="3"/>
  <c r="O907" i="3"/>
  <c r="P907" i="3"/>
  <c r="C908" i="3"/>
  <c r="E908" i="3"/>
  <c r="I908" i="3"/>
  <c r="J908" i="3"/>
  <c r="O908" i="3"/>
  <c r="P908" i="3"/>
  <c r="C909" i="3"/>
  <c r="E909" i="3"/>
  <c r="I909" i="3"/>
  <c r="J909" i="3"/>
  <c r="O909" i="3"/>
  <c r="P909" i="3"/>
  <c r="C910" i="3"/>
  <c r="E910" i="3"/>
  <c r="I910" i="3"/>
  <c r="J910" i="3"/>
  <c r="O910" i="3"/>
  <c r="P910" i="3"/>
  <c r="C911" i="3"/>
  <c r="E911" i="3"/>
  <c r="I911" i="3"/>
  <c r="J911" i="3"/>
  <c r="O911" i="3"/>
  <c r="P911" i="3"/>
  <c r="C912" i="3"/>
  <c r="E912" i="3"/>
  <c r="I912" i="3"/>
  <c r="J912" i="3"/>
  <c r="O912" i="3"/>
  <c r="P912" i="3"/>
  <c r="C913" i="3"/>
  <c r="E913" i="3"/>
  <c r="I913" i="3"/>
  <c r="J913" i="3"/>
  <c r="O913" i="3"/>
  <c r="P913" i="3"/>
  <c r="C914" i="3"/>
  <c r="E914" i="3"/>
  <c r="I914" i="3"/>
  <c r="J914" i="3"/>
  <c r="O914" i="3"/>
  <c r="P914" i="3"/>
  <c r="C915" i="3"/>
  <c r="E915" i="3"/>
  <c r="I915" i="3"/>
  <c r="J915" i="3"/>
  <c r="O915" i="3"/>
  <c r="P915" i="3"/>
  <c r="C916" i="3"/>
  <c r="E916" i="3"/>
  <c r="I916" i="3"/>
  <c r="J916" i="3"/>
  <c r="O916" i="3"/>
  <c r="P916" i="3"/>
  <c r="C917" i="3"/>
  <c r="E917" i="3"/>
  <c r="I917" i="3"/>
  <c r="J917" i="3"/>
  <c r="O917" i="3"/>
  <c r="P917" i="3"/>
  <c r="C918" i="3"/>
  <c r="E918" i="3"/>
  <c r="I918" i="3"/>
  <c r="J918" i="3"/>
  <c r="O918" i="3"/>
  <c r="P918" i="3"/>
  <c r="C919" i="3"/>
  <c r="E919" i="3"/>
  <c r="I919" i="3"/>
  <c r="J919" i="3"/>
  <c r="O919" i="3"/>
  <c r="P919" i="3"/>
  <c r="C920" i="3"/>
  <c r="E920" i="3"/>
  <c r="I920" i="3"/>
  <c r="J920" i="3"/>
  <c r="O920" i="3"/>
  <c r="P920" i="3"/>
  <c r="C921" i="3"/>
  <c r="E921" i="3"/>
  <c r="I921" i="3"/>
  <c r="J921" i="3"/>
  <c r="O921" i="3"/>
  <c r="P921" i="3"/>
  <c r="C922" i="3"/>
  <c r="E922" i="3"/>
  <c r="I922" i="3"/>
  <c r="J922" i="3"/>
  <c r="O922" i="3"/>
  <c r="P922" i="3"/>
  <c r="C923" i="3"/>
  <c r="E923" i="3"/>
  <c r="I923" i="3"/>
  <c r="J923" i="3"/>
  <c r="O923" i="3"/>
  <c r="P923" i="3"/>
  <c r="C924" i="3"/>
  <c r="E924" i="3"/>
  <c r="I924" i="3"/>
  <c r="J924" i="3"/>
  <c r="O924" i="3"/>
  <c r="P924" i="3"/>
  <c r="C925" i="3"/>
  <c r="E925" i="3"/>
  <c r="I925" i="3"/>
  <c r="J925" i="3"/>
  <c r="O925" i="3"/>
  <c r="P925" i="3"/>
  <c r="C926" i="3"/>
  <c r="E926" i="3"/>
  <c r="I926" i="3"/>
  <c r="J926" i="3"/>
  <c r="O926" i="3"/>
  <c r="P926" i="3"/>
  <c r="C927" i="3"/>
  <c r="E927" i="3"/>
  <c r="I927" i="3"/>
  <c r="J927" i="3"/>
  <c r="O927" i="3"/>
  <c r="P927" i="3"/>
  <c r="C928" i="3"/>
  <c r="E928" i="3"/>
  <c r="I928" i="3"/>
  <c r="J928" i="3"/>
  <c r="O928" i="3"/>
  <c r="P928" i="3"/>
  <c r="C929" i="3"/>
  <c r="E929" i="3"/>
  <c r="I929" i="3"/>
  <c r="J929" i="3"/>
  <c r="O929" i="3"/>
  <c r="P929" i="3"/>
  <c r="C930" i="3"/>
  <c r="E930" i="3"/>
  <c r="I930" i="3"/>
  <c r="J930" i="3"/>
  <c r="O930" i="3"/>
  <c r="P930" i="3"/>
  <c r="C931" i="3"/>
  <c r="E931" i="3"/>
  <c r="I931" i="3"/>
  <c r="J931" i="3"/>
  <c r="O931" i="3"/>
  <c r="P931" i="3"/>
  <c r="C932" i="3"/>
  <c r="E932" i="3"/>
  <c r="I932" i="3"/>
  <c r="J932" i="3"/>
  <c r="O932" i="3"/>
  <c r="P932" i="3"/>
  <c r="C933" i="3"/>
  <c r="E933" i="3"/>
  <c r="I933" i="3"/>
  <c r="J933" i="3"/>
  <c r="O933" i="3"/>
  <c r="P933" i="3"/>
  <c r="C934" i="3"/>
  <c r="E934" i="3"/>
  <c r="I934" i="3"/>
  <c r="J934" i="3"/>
  <c r="O934" i="3"/>
  <c r="P934" i="3"/>
  <c r="C935" i="3"/>
  <c r="E935" i="3"/>
  <c r="I935" i="3"/>
  <c r="J935" i="3"/>
  <c r="O935" i="3"/>
  <c r="P935" i="3"/>
  <c r="C936" i="3"/>
  <c r="E936" i="3"/>
  <c r="I936" i="3"/>
  <c r="J936" i="3"/>
  <c r="O936" i="3"/>
  <c r="P936" i="3"/>
  <c r="C937" i="3"/>
  <c r="E937" i="3"/>
  <c r="I937" i="3"/>
  <c r="J937" i="3"/>
  <c r="O937" i="3"/>
  <c r="P937" i="3"/>
  <c r="C938" i="3"/>
  <c r="E938" i="3"/>
  <c r="I938" i="3"/>
  <c r="J938" i="3"/>
  <c r="O938" i="3"/>
  <c r="P938" i="3"/>
  <c r="C939" i="3"/>
  <c r="E939" i="3"/>
  <c r="I939" i="3"/>
  <c r="J939" i="3"/>
  <c r="O939" i="3"/>
  <c r="P939" i="3"/>
  <c r="C940" i="3"/>
  <c r="E940" i="3"/>
  <c r="I940" i="3"/>
  <c r="J940" i="3"/>
  <c r="O940" i="3"/>
  <c r="P940" i="3"/>
  <c r="C941" i="3"/>
  <c r="E941" i="3"/>
  <c r="I941" i="3"/>
  <c r="J941" i="3"/>
  <c r="O941" i="3"/>
  <c r="P941" i="3"/>
  <c r="C942" i="3"/>
  <c r="E942" i="3"/>
  <c r="I942" i="3"/>
  <c r="J942" i="3"/>
  <c r="O942" i="3"/>
  <c r="P942" i="3"/>
  <c r="C943" i="3"/>
  <c r="E943" i="3"/>
  <c r="I943" i="3"/>
  <c r="J943" i="3"/>
  <c r="O943" i="3"/>
  <c r="P943" i="3"/>
  <c r="C944" i="3"/>
  <c r="E944" i="3"/>
  <c r="I944" i="3"/>
  <c r="J944" i="3"/>
  <c r="O944" i="3"/>
  <c r="P944" i="3"/>
  <c r="C945" i="3"/>
  <c r="E945" i="3"/>
  <c r="I945" i="3"/>
  <c r="J945" i="3"/>
  <c r="O945" i="3"/>
  <c r="P945" i="3"/>
  <c r="C946" i="3"/>
  <c r="E946" i="3"/>
  <c r="I946" i="3"/>
  <c r="J946" i="3"/>
  <c r="O946" i="3"/>
  <c r="P946" i="3"/>
  <c r="C947" i="3"/>
  <c r="E947" i="3"/>
  <c r="I947" i="3"/>
  <c r="J947" i="3"/>
  <c r="O947" i="3"/>
  <c r="P947" i="3"/>
  <c r="C948" i="3"/>
  <c r="E948" i="3"/>
  <c r="I948" i="3"/>
  <c r="J948" i="3"/>
  <c r="O948" i="3"/>
  <c r="P948" i="3"/>
  <c r="C949" i="3"/>
  <c r="E949" i="3"/>
  <c r="I949" i="3"/>
  <c r="J949" i="3"/>
  <c r="O949" i="3"/>
  <c r="P949" i="3"/>
  <c r="C950" i="3"/>
  <c r="E950" i="3"/>
  <c r="I950" i="3"/>
  <c r="J950" i="3"/>
  <c r="O950" i="3"/>
  <c r="P950" i="3"/>
  <c r="C951" i="3"/>
  <c r="E951" i="3"/>
  <c r="I951" i="3"/>
  <c r="J951" i="3"/>
  <c r="O951" i="3"/>
  <c r="P951" i="3"/>
  <c r="C952" i="3"/>
  <c r="E952" i="3"/>
  <c r="I952" i="3"/>
  <c r="J952" i="3"/>
  <c r="O952" i="3"/>
  <c r="P952" i="3"/>
  <c r="C953" i="3"/>
  <c r="E953" i="3"/>
  <c r="I953" i="3"/>
  <c r="J953" i="3"/>
  <c r="O953" i="3"/>
  <c r="P953" i="3"/>
  <c r="C954" i="3"/>
  <c r="E954" i="3"/>
  <c r="I954" i="3"/>
  <c r="J954" i="3"/>
  <c r="O954" i="3"/>
  <c r="P954" i="3"/>
  <c r="C955" i="3"/>
  <c r="E955" i="3"/>
  <c r="I955" i="3"/>
  <c r="J955" i="3"/>
  <c r="O955" i="3"/>
  <c r="P955" i="3"/>
  <c r="C956" i="3"/>
  <c r="E956" i="3"/>
  <c r="I956" i="3"/>
  <c r="J956" i="3"/>
  <c r="O956" i="3"/>
  <c r="P956" i="3"/>
  <c r="C957" i="3"/>
  <c r="E957" i="3"/>
  <c r="I957" i="3"/>
  <c r="J957" i="3"/>
  <c r="O957" i="3"/>
  <c r="P957" i="3"/>
  <c r="C958" i="3"/>
  <c r="E958" i="3"/>
  <c r="I958" i="3"/>
  <c r="J958" i="3"/>
  <c r="O958" i="3"/>
  <c r="P958" i="3"/>
  <c r="C959" i="3"/>
  <c r="E959" i="3"/>
  <c r="I959" i="3"/>
  <c r="J959" i="3"/>
  <c r="O959" i="3"/>
  <c r="P959" i="3"/>
  <c r="C960" i="3"/>
  <c r="E960" i="3"/>
  <c r="I960" i="3"/>
  <c r="J960" i="3"/>
  <c r="O960" i="3"/>
  <c r="P960" i="3"/>
  <c r="C961" i="3"/>
  <c r="E961" i="3"/>
  <c r="I961" i="3"/>
  <c r="J961" i="3"/>
  <c r="O961" i="3"/>
  <c r="P961" i="3"/>
  <c r="C962" i="3"/>
  <c r="E962" i="3"/>
  <c r="I962" i="3"/>
  <c r="J962" i="3"/>
  <c r="O962" i="3"/>
  <c r="P962" i="3"/>
  <c r="C963" i="3"/>
  <c r="E963" i="3"/>
  <c r="I963" i="3"/>
  <c r="J963" i="3"/>
  <c r="O963" i="3"/>
  <c r="P963" i="3"/>
  <c r="C964" i="3"/>
  <c r="E964" i="3"/>
  <c r="I964" i="3"/>
  <c r="J964" i="3"/>
  <c r="O964" i="3"/>
  <c r="P964" i="3"/>
  <c r="C965" i="3"/>
  <c r="E965" i="3"/>
  <c r="I965" i="3"/>
  <c r="J965" i="3"/>
  <c r="O965" i="3"/>
  <c r="P965" i="3"/>
  <c r="C966" i="3"/>
  <c r="E966" i="3"/>
  <c r="I966" i="3"/>
  <c r="J966" i="3"/>
  <c r="O966" i="3"/>
  <c r="P966" i="3"/>
  <c r="C967" i="3"/>
  <c r="E967" i="3"/>
  <c r="I967" i="3"/>
  <c r="J967" i="3"/>
  <c r="O967" i="3"/>
  <c r="P967" i="3"/>
  <c r="C968" i="3"/>
  <c r="E968" i="3"/>
  <c r="I968" i="3"/>
  <c r="J968" i="3"/>
  <c r="O968" i="3"/>
  <c r="P968" i="3"/>
  <c r="C969" i="3"/>
  <c r="E969" i="3"/>
  <c r="I969" i="3"/>
  <c r="J969" i="3"/>
  <c r="O969" i="3"/>
  <c r="P969" i="3"/>
  <c r="C970" i="3"/>
  <c r="E970" i="3"/>
  <c r="I970" i="3"/>
  <c r="J970" i="3"/>
  <c r="O970" i="3"/>
  <c r="P970" i="3"/>
  <c r="C971" i="3"/>
  <c r="E971" i="3"/>
  <c r="I971" i="3"/>
  <c r="J971" i="3"/>
  <c r="O971" i="3"/>
  <c r="P971" i="3"/>
  <c r="C972" i="3"/>
  <c r="E972" i="3"/>
  <c r="I972" i="3"/>
  <c r="J972" i="3"/>
  <c r="O972" i="3"/>
  <c r="P972" i="3"/>
  <c r="C973" i="3"/>
  <c r="E973" i="3"/>
  <c r="I973" i="3"/>
  <c r="J973" i="3"/>
  <c r="O973" i="3"/>
  <c r="P973" i="3"/>
  <c r="C974" i="3"/>
  <c r="E974" i="3"/>
  <c r="I974" i="3"/>
  <c r="J974" i="3"/>
  <c r="O974" i="3"/>
  <c r="P974" i="3"/>
  <c r="C975" i="3"/>
  <c r="E975" i="3"/>
  <c r="I975" i="3"/>
  <c r="J975" i="3"/>
  <c r="O975" i="3"/>
  <c r="P975" i="3"/>
  <c r="C976" i="3"/>
  <c r="E976" i="3"/>
  <c r="I976" i="3"/>
  <c r="J976" i="3"/>
  <c r="O976" i="3"/>
  <c r="P976" i="3"/>
  <c r="C977" i="3"/>
  <c r="E977" i="3"/>
  <c r="I977" i="3"/>
  <c r="J977" i="3"/>
  <c r="O977" i="3"/>
  <c r="P977" i="3"/>
  <c r="C978" i="3"/>
  <c r="E978" i="3"/>
  <c r="I978" i="3"/>
  <c r="J978" i="3"/>
  <c r="O978" i="3"/>
  <c r="P978" i="3"/>
  <c r="C979" i="3"/>
  <c r="E979" i="3"/>
  <c r="I979" i="3"/>
  <c r="J979" i="3"/>
  <c r="O979" i="3"/>
  <c r="P979" i="3"/>
  <c r="C980" i="3"/>
  <c r="E980" i="3"/>
  <c r="I980" i="3"/>
  <c r="J980" i="3"/>
  <c r="O980" i="3"/>
  <c r="P980" i="3"/>
  <c r="C981" i="3"/>
  <c r="E981" i="3"/>
  <c r="I981" i="3"/>
  <c r="J981" i="3"/>
  <c r="O981" i="3"/>
  <c r="P981" i="3"/>
  <c r="C982" i="3"/>
  <c r="E982" i="3"/>
  <c r="I982" i="3"/>
  <c r="J982" i="3"/>
  <c r="O982" i="3"/>
  <c r="P982" i="3"/>
  <c r="C983" i="3"/>
  <c r="E983" i="3"/>
  <c r="I983" i="3"/>
  <c r="J983" i="3"/>
  <c r="O983" i="3"/>
  <c r="P983" i="3"/>
  <c r="C984" i="3"/>
  <c r="E984" i="3"/>
  <c r="I984" i="3"/>
  <c r="J984" i="3"/>
  <c r="O984" i="3"/>
  <c r="P984" i="3"/>
  <c r="C985" i="3"/>
  <c r="E985" i="3"/>
  <c r="I985" i="3"/>
  <c r="J985" i="3"/>
  <c r="O985" i="3"/>
  <c r="P985" i="3"/>
  <c r="C986" i="3"/>
  <c r="E986" i="3"/>
  <c r="I986" i="3"/>
  <c r="J986" i="3"/>
  <c r="O986" i="3"/>
  <c r="P986" i="3"/>
  <c r="C987" i="3"/>
  <c r="E987" i="3"/>
  <c r="I987" i="3"/>
  <c r="J987" i="3"/>
  <c r="O987" i="3"/>
  <c r="P987" i="3"/>
  <c r="C988" i="3"/>
  <c r="E988" i="3"/>
  <c r="I988" i="3"/>
  <c r="J988" i="3"/>
  <c r="O988" i="3"/>
  <c r="P988" i="3"/>
  <c r="C989" i="3"/>
  <c r="E989" i="3"/>
  <c r="I989" i="3"/>
  <c r="J989" i="3"/>
  <c r="O989" i="3"/>
  <c r="P989" i="3"/>
  <c r="C990" i="3"/>
  <c r="E990" i="3"/>
  <c r="I990" i="3"/>
  <c r="J990" i="3"/>
  <c r="O990" i="3"/>
  <c r="P990" i="3"/>
  <c r="C991" i="3"/>
  <c r="E991" i="3"/>
  <c r="I991" i="3"/>
  <c r="J991" i="3"/>
  <c r="O991" i="3"/>
  <c r="P991" i="3"/>
  <c r="C992" i="3"/>
  <c r="E992" i="3"/>
  <c r="I992" i="3"/>
  <c r="J992" i="3"/>
  <c r="O992" i="3"/>
  <c r="P992" i="3"/>
  <c r="C993" i="3"/>
  <c r="E993" i="3"/>
  <c r="I993" i="3"/>
  <c r="J993" i="3"/>
  <c r="O993" i="3"/>
  <c r="P993" i="3"/>
  <c r="C994" i="3"/>
  <c r="E994" i="3"/>
  <c r="I994" i="3"/>
  <c r="J994" i="3"/>
  <c r="O994" i="3"/>
  <c r="P994" i="3"/>
  <c r="C995" i="3"/>
  <c r="E995" i="3"/>
  <c r="I995" i="3"/>
  <c r="J995" i="3"/>
  <c r="O995" i="3"/>
  <c r="P995" i="3"/>
  <c r="C996" i="3"/>
  <c r="E996" i="3"/>
  <c r="I996" i="3"/>
  <c r="J996" i="3"/>
  <c r="O996" i="3"/>
  <c r="P996" i="3"/>
  <c r="C997" i="3"/>
  <c r="E997" i="3"/>
  <c r="I997" i="3"/>
  <c r="J997" i="3"/>
  <c r="O997" i="3"/>
  <c r="P997" i="3"/>
  <c r="C998" i="3"/>
  <c r="E998" i="3"/>
  <c r="I998" i="3"/>
  <c r="J998" i="3"/>
  <c r="O998" i="3"/>
  <c r="P998" i="3"/>
  <c r="C999" i="3"/>
  <c r="E999" i="3"/>
  <c r="I999" i="3"/>
  <c r="J999" i="3"/>
  <c r="O999" i="3"/>
  <c r="P999" i="3"/>
  <c r="C1000" i="3"/>
  <c r="E1000" i="3"/>
  <c r="I1000" i="3"/>
  <c r="J1000" i="3"/>
  <c r="O1000" i="3"/>
  <c r="P1000" i="3"/>
  <c r="C1001" i="3"/>
  <c r="E1001" i="3"/>
  <c r="I1001" i="3"/>
  <c r="J1001" i="3"/>
  <c r="O1001" i="3"/>
  <c r="P1001" i="3"/>
  <c r="C1002" i="3"/>
  <c r="E1002" i="3"/>
  <c r="I1002" i="3"/>
  <c r="J1002" i="3"/>
  <c r="O1002" i="3"/>
  <c r="P1002" i="3"/>
  <c r="C1003" i="3"/>
  <c r="E1003" i="3"/>
  <c r="I1003" i="3"/>
  <c r="J1003" i="3"/>
  <c r="O1003" i="3"/>
  <c r="P1003" i="3"/>
  <c r="C1004" i="3"/>
  <c r="E1004" i="3"/>
  <c r="I1004" i="3"/>
  <c r="J1004" i="3"/>
  <c r="O1004" i="3"/>
  <c r="P1004" i="3"/>
  <c r="C1005" i="3"/>
  <c r="E1005" i="3"/>
  <c r="I1005" i="3"/>
  <c r="J1005" i="3"/>
  <c r="O1005" i="3"/>
  <c r="P1005" i="3"/>
  <c r="C1006" i="3"/>
  <c r="E1006" i="3"/>
  <c r="I1006" i="3"/>
  <c r="J1006" i="3"/>
  <c r="O1006" i="3"/>
  <c r="P1006" i="3"/>
  <c r="C1007" i="3"/>
  <c r="E1007" i="3"/>
  <c r="I1007" i="3"/>
  <c r="J1007" i="3"/>
  <c r="O1007" i="3"/>
  <c r="P1007" i="3"/>
  <c r="C1008" i="3"/>
  <c r="E1008" i="3"/>
  <c r="I1008" i="3"/>
  <c r="J1008" i="3"/>
  <c r="O1008" i="3"/>
  <c r="P1008" i="3"/>
  <c r="C1009" i="3"/>
  <c r="E1009" i="3"/>
  <c r="I1009" i="3"/>
  <c r="J1009" i="3"/>
  <c r="O1009" i="3"/>
  <c r="P1009" i="3"/>
  <c r="C1010" i="3"/>
  <c r="E1010" i="3"/>
  <c r="I1010" i="3"/>
  <c r="J1010" i="3"/>
  <c r="O1010" i="3"/>
  <c r="P1010" i="3"/>
  <c r="C1011" i="3"/>
  <c r="E1011" i="3"/>
  <c r="I1011" i="3"/>
  <c r="J1011" i="3"/>
  <c r="O1011" i="3"/>
  <c r="P1011" i="3"/>
  <c r="C1012" i="3"/>
  <c r="E1012" i="3"/>
  <c r="I1012" i="3"/>
  <c r="J1012" i="3"/>
  <c r="O1012" i="3"/>
  <c r="P1012" i="3"/>
  <c r="C1013" i="3"/>
  <c r="E1013" i="3"/>
  <c r="I1013" i="3"/>
  <c r="J1013" i="3"/>
  <c r="O1013" i="3"/>
  <c r="P1013" i="3"/>
  <c r="C1014" i="3"/>
  <c r="E1014" i="3"/>
  <c r="I1014" i="3"/>
  <c r="J1014" i="3"/>
  <c r="O1014" i="3"/>
  <c r="P1014" i="3"/>
  <c r="C1015" i="3"/>
  <c r="E1015" i="3"/>
  <c r="I1015" i="3"/>
  <c r="J1015" i="3"/>
  <c r="O1015" i="3"/>
  <c r="P1015" i="3"/>
  <c r="C1016" i="3"/>
  <c r="E1016" i="3"/>
  <c r="I1016" i="3"/>
  <c r="J1016" i="3"/>
  <c r="O1016" i="3"/>
  <c r="P1016" i="3"/>
  <c r="C1017" i="3"/>
  <c r="E1017" i="3"/>
  <c r="I1017" i="3"/>
  <c r="J1017" i="3"/>
  <c r="O1017" i="3"/>
  <c r="P1017" i="3"/>
  <c r="C1018" i="3"/>
  <c r="E1018" i="3"/>
  <c r="I1018" i="3"/>
  <c r="J1018" i="3"/>
  <c r="O1018" i="3"/>
  <c r="P1018" i="3"/>
  <c r="C1019" i="3"/>
  <c r="E1019" i="3"/>
  <c r="I1019" i="3"/>
  <c r="J1019" i="3"/>
  <c r="O1019" i="3"/>
  <c r="P1019" i="3"/>
  <c r="C1020" i="3"/>
  <c r="E1020" i="3"/>
  <c r="I1020" i="3"/>
  <c r="J1020" i="3"/>
  <c r="O1020" i="3"/>
  <c r="P1020" i="3"/>
  <c r="C1021" i="3"/>
  <c r="E1021" i="3"/>
  <c r="I1021" i="3"/>
  <c r="J1021" i="3"/>
  <c r="O1021" i="3"/>
  <c r="P1021" i="3"/>
  <c r="C1022" i="3"/>
  <c r="E1022" i="3"/>
  <c r="I1022" i="3"/>
  <c r="J1022" i="3"/>
  <c r="O1022" i="3"/>
  <c r="P1022" i="3"/>
  <c r="C1023" i="3"/>
  <c r="E1023" i="3"/>
  <c r="I1023" i="3"/>
  <c r="J1023" i="3"/>
  <c r="O1023" i="3"/>
  <c r="P1023" i="3"/>
  <c r="C1024" i="3"/>
  <c r="E1024" i="3"/>
  <c r="I1024" i="3"/>
  <c r="J1024" i="3"/>
  <c r="O1024" i="3"/>
  <c r="P1024" i="3"/>
  <c r="C1025" i="3"/>
  <c r="E1025" i="3"/>
  <c r="I1025" i="3"/>
  <c r="J1025" i="3"/>
  <c r="O1025" i="3"/>
  <c r="P1025" i="3"/>
  <c r="C1026" i="3"/>
  <c r="E1026" i="3"/>
  <c r="I1026" i="3"/>
  <c r="J1026" i="3"/>
  <c r="O1026" i="3"/>
  <c r="P1026" i="3"/>
  <c r="C1027" i="3"/>
  <c r="E1027" i="3"/>
  <c r="I1027" i="3"/>
  <c r="J1027" i="3"/>
  <c r="O1027" i="3"/>
  <c r="P1027" i="3"/>
  <c r="C1028" i="3"/>
  <c r="E1028" i="3"/>
  <c r="I1028" i="3"/>
  <c r="J1028" i="3"/>
  <c r="O1028" i="3"/>
  <c r="P1028" i="3"/>
  <c r="C1029" i="3"/>
  <c r="E1029" i="3"/>
  <c r="I1029" i="3"/>
  <c r="J1029" i="3"/>
  <c r="O1029" i="3"/>
  <c r="P1029" i="3"/>
  <c r="C1030" i="3"/>
  <c r="E1030" i="3"/>
  <c r="I1030" i="3"/>
  <c r="J1030" i="3"/>
  <c r="O1030" i="3"/>
  <c r="P1030" i="3"/>
  <c r="C1031" i="3"/>
  <c r="E1031" i="3"/>
  <c r="I1031" i="3"/>
  <c r="J1031" i="3"/>
  <c r="O1031" i="3"/>
  <c r="P1031" i="3"/>
  <c r="C1032" i="3"/>
  <c r="E1032" i="3"/>
  <c r="I1032" i="3"/>
  <c r="J1032" i="3"/>
  <c r="O1032" i="3"/>
  <c r="P1032" i="3"/>
  <c r="C1033" i="3"/>
  <c r="E1033" i="3"/>
  <c r="I1033" i="3"/>
  <c r="J1033" i="3"/>
  <c r="O1033" i="3"/>
  <c r="P1033" i="3"/>
  <c r="C1034" i="3"/>
  <c r="E1034" i="3"/>
  <c r="I1034" i="3"/>
  <c r="J1034" i="3"/>
  <c r="O1034" i="3"/>
  <c r="P1034" i="3"/>
  <c r="C1035" i="3"/>
  <c r="E1035" i="3"/>
  <c r="I1035" i="3"/>
  <c r="J1035" i="3"/>
  <c r="O1035" i="3"/>
  <c r="P1035" i="3"/>
  <c r="C1036" i="3"/>
  <c r="E1036" i="3"/>
  <c r="I1036" i="3"/>
  <c r="J1036" i="3"/>
  <c r="O1036" i="3"/>
  <c r="P1036" i="3"/>
  <c r="C1037" i="3"/>
  <c r="E1037" i="3"/>
  <c r="I1037" i="3"/>
  <c r="J1037" i="3"/>
  <c r="O1037" i="3"/>
  <c r="P1037" i="3"/>
  <c r="C1038" i="3"/>
  <c r="E1038" i="3"/>
  <c r="I1038" i="3"/>
  <c r="J1038" i="3"/>
  <c r="O1038" i="3"/>
  <c r="P1038" i="3"/>
  <c r="C1039" i="3"/>
  <c r="E1039" i="3"/>
  <c r="I1039" i="3"/>
  <c r="J1039" i="3"/>
  <c r="O1039" i="3"/>
  <c r="P1039" i="3"/>
  <c r="C1040" i="3"/>
  <c r="E1040" i="3"/>
  <c r="I1040" i="3"/>
  <c r="J1040" i="3"/>
  <c r="O1040" i="3"/>
  <c r="P1040" i="3"/>
  <c r="C1041" i="3"/>
  <c r="E1041" i="3"/>
  <c r="I1041" i="3"/>
  <c r="J1041" i="3"/>
  <c r="O1041" i="3"/>
  <c r="P1041" i="3"/>
  <c r="C1042" i="3"/>
  <c r="E1042" i="3"/>
  <c r="I1042" i="3"/>
  <c r="J1042" i="3"/>
  <c r="O1042" i="3"/>
  <c r="P1042" i="3"/>
  <c r="C1043" i="3"/>
  <c r="E1043" i="3"/>
  <c r="I1043" i="3"/>
  <c r="J1043" i="3"/>
  <c r="O1043" i="3"/>
  <c r="P1043" i="3"/>
  <c r="C1044" i="3"/>
  <c r="E1044" i="3"/>
  <c r="I1044" i="3"/>
  <c r="J1044" i="3"/>
  <c r="O1044" i="3"/>
  <c r="P1044" i="3"/>
  <c r="C1045" i="3"/>
  <c r="E1045" i="3"/>
  <c r="I1045" i="3"/>
  <c r="J1045" i="3"/>
  <c r="O1045" i="3"/>
  <c r="P1045" i="3"/>
  <c r="C1046" i="3"/>
  <c r="E1046" i="3"/>
  <c r="I1046" i="3"/>
  <c r="J1046" i="3"/>
  <c r="O1046" i="3"/>
  <c r="P1046" i="3"/>
  <c r="C1047" i="3"/>
  <c r="E1047" i="3"/>
  <c r="I1047" i="3"/>
  <c r="J1047" i="3"/>
  <c r="O1047" i="3"/>
  <c r="P1047" i="3"/>
  <c r="C1048" i="3"/>
  <c r="E1048" i="3"/>
  <c r="I1048" i="3"/>
  <c r="J1048" i="3"/>
  <c r="O1048" i="3"/>
  <c r="P1048" i="3"/>
  <c r="C1049" i="3"/>
  <c r="E1049" i="3"/>
  <c r="I1049" i="3"/>
  <c r="J1049" i="3"/>
  <c r="O1049" i="3"/>
  <c r="P1049" i="3"/>
  <c r="C1050" i="3"/>
  <c r="E1050" i="3"/>
  <c r="I1050" i="3"/>
  <c r="J1050" i="3"/>
  <c r="O1050" i="3"/>
  <c r="P1050" i="3"/>
  <c r="C1051" i="3"/>
  <c r="E1051" i="3"/>
  <c r="I1051" i="3"/>
  <c r="J1051" i="3"/>
  <c r="O1051" i="3"/>
  <c r="P1051" i="3"/>
  <c r="C1052" i="3"/>
  <c r="E1052" i="3"/>
  <c r="I1052" i="3"/>
  <c r="J1052" i="3"/>
  <c r="O1052" i="3"/>
  <c r="P1052" i="3"/>
  <c r="C1053" i="3"/>
  <c r="E1053" i="3"/>
  <c r="I1053" i="3"/>
  <c r="J1053" i="3"/>
  <c r="O1053" i="3"/>
  <c r="P1053" i="3"/>
  <c r="C1054" i="3"/>
  <c r="E1054" i="3"/>
  <c r="I1054" i="3"/>
  <c r="J1054" i="3"/>
  <c r="O1054" i="3"/>
  <c r="P1054" i="3"/>
  <c r="C1055" i="3"/>
  <c r="E1055" i="3"/>
  <c r="I1055" i="3"/>
  <c r="J1055" i="3"/>
  <c r="O1055" i="3"/>
  <c r="P1055" i="3"/>
  <c r="C1056" i="3"/>
  <c r="E1056" i="3"/>
  <c r="I1056" i="3"/>
  <c r="J1056" i="3"/>
  <c r="O1056" i="3"/>
  <c r="P1056" i="3"/>
  <c r="C1057" i="3"/>
  <c r="E1057" i="3"/>
  <c r="I1057" i="3"/>
  <c r="J1057" i="3"/>
  <c r="O1057" i="3"/>
  <c r="P1057" i="3"/>
  <c r="C1058" i="3"/>
  <c r="E1058" i="3"/>
  <c r="I1058" i="3"/>
  <c r="J1058" i="3"/>
  <c r="O1058" i="3"/>
  <c r="P1058" i="3"/>
  <c r="C1059" i="3"/>
  <c r="E1059" i="3"/>
  <c r="I1059" i="3"/>
  <c r="J1059" i="3"/>
  <c r="O1059" i="3"/>
  <c r="P1059" i="3"/>
  <c r="C1060" i="3"/>
  <c r="E1060" i="3"/>
  <c r="I1060" i="3"/>
  <c r="J1060" i="3"/>
  <c r="O1060" i="3"/>
  <c r="P1060" i="3"/>
  <c r="C1061" i="3"/>
  <c r="E1061" i="3"/>
  <c r="I1061" i="3"/>
  <c r="J1061" i="3"/>
  <c r="O1061" i="3"/>
  <c r="P1061" i="3"/>
  <c r="C1062" i="3"/>
  <c r="E1062" i="3"/>
  <c r="I1062" i="3"/>
  <c r="J1062" i="3"/>
  <c r="O1062" i="3"/>
  <c r="P1062" i="3"/>
  <c r="C1063" i="3"/>
  <c r="E1063" i="3"/>
  <c r="I1063" i="3"/>
  <c r="J1063" i="3"/>
  <c r="O1063" i="3"/>
  <c r="P1063" i="3"/>
  <c r="C1064" i="3"/>
  <c r="E1064" i="3"/>
  <c r="I1064" i="3"/>
  <c r="J1064" i="3"/>
  <c r="O1064" i="3"/>
  <c r="P1064" i="3"/>
  <c r="C1065" i="3"/>
  <c r="E1065" i="3"/>
  <c r="I1065" i="3"/>
  <c r="J1065" i="3"/>
  <c r="O1065" i="3"/>
  <c r="P1065" i="3"/>
  <c r="C1066" i="3"/>
  <c r="E1066" i="3"/>
  <c r="I1066" i="3"/>
  <c r="J1066" i="3"/>
  <c r="O1066" i="3"/>
  <c r="P1066" i="3"/>
  <c r="C1067" i="3"/>
  <c r="E1067" i="3"/>
  <c r="I1067" i="3"/>
  <c r="J1067" i="3"/>
  <c r="O1067" i="3"/>
  <c r="P1067" i="3"/>
  <c r="C1068" i="3"/>
  <c r="E1068" i="3"/>
  <c r="I1068" i="3"/>
  <c r="J1068" i="3"/>
  <c r="O1068" i="3"/>
  <c r="P1068" i="3"/>
  <c r="C1069" i="3"/>
  <c r="E1069" i="3"/>
  <c r="I1069" i="3"/>
  <c r="J1069" i="3"/>
  <c r="O1069" i="3"/>
  <c r="P1069" i="3"/>
  <c r="C1070" i="3"/>
  <c r="E1070" i="3"/>
  <c r="I1070" i="3"/>
  <c r="J1070" i="3"/>
  <c r="O1070" i="3"/>
  <c r="P1070" i="3"/>
  <c r="C1071" i="3"/>
  <c r="E1071" i="3"/>
  <c r="I1071" i="3"/>
  <c r="J1071" i="3"/>
  <c r="O1071" i="3"/>
  <c r="P1071" i="3"/>
  <c r="C1072" i="3"/>
  <c r="E1072" i="3"/>
  <c r="I1072" i="3"/>
  <c r="J1072" i="3"/>
  <c r="O1072" i="3"/>
  <c r="P1072" i="3"/>
  <c r="C1073" i="3"/>
  <c r="E1073" i="3"/>
  <c r="I1073" i="3"/>
  <c r="J1073" i="3"/>
  <c r="O1073" i="3"/>
  <c r="P1073" i="3"/>
  <c r="C1074" i="3"/>
  <c r="E1074" i="3"/>
  <c r="I1074" i="3"/>
  <c r="J1074" i="3"/>
  <c r="O1074" i="3"/>
  <c r="P1074" i="3"/>
  <c r="C1075" i="3"/>
  <c r="E1075" i="3"/>
  <c r="I1075" i="3"/>
  <c r="J1075" i="3"/>
  <c r="O1075" i="3"/>
  <c r="P1075" i="3"/>
  <c r="C1076" i="3"/>
  <c r="E1076" i="3"/>
  <c r="I1076" i="3"/>
  <c r="J1076" i="3"/>
  <c r="O1076" i="3"/>
  <c r="P1076" i="3"/>
  <c r="C1077" i="3"/>
  <c r="E1077" i="3"/>
  <c r="I1077" i="3"/>
  <c r="J1077" i="3"/>
  <c r="O1077" i="3"/>
  <c r="P1077" i="3"/>
  <c r="C1078" i="3"/>
  <c r="E1078" i="3"/>
  <c r="I1078" i="3"/>
  <c r="J1078" i="3"/>
  <c r="O1078" i="3"/>
  <c r="P1078" i="3"/>
  <c r="C1079" i="3"/>
  <c r="E1079" i="3"/>
  <c r="I1079" i="3"/>
  <c r="J1079" i="3"/>
  <c r="O1079" i="3"/>
  <c r="P1079" i="3"/>
  <c r="C1080" i="3"/>
  <c r="E1080" i="3"/>
  <c r="I1080" i="3"/>
  <c r="J1080" i="3"/>
  <c r="O1080" i="3"/>
  <c r="P1080" i="3"/>
  <c r="C1081" i="3"/>
  <c r="E1081" i="3"/>
  <c r="I1081" i="3"/>
  <c r="J1081" i="3"/>
  <c r="O1081" i="3"/>
  <c r="P1081" i="3"/>
  <c r="C1082" i="3"/>
  <c r="E1082" i="3"/>
  <c r="I1082" i="3"/>
  <c r="J1082" i="3"/>
  <c r="O1082" i="3"/>
  <c r="P1082" i="3"/>
  <c r="C1083" i="3"/>
  <c r="E1083" i="3"/>
  <c r="I1083" i="3"/>
  <c r="J1083" i="3"/>
  <c r="O1083" i="3"/>
  <c r="P1083" i="3"/>
  <c r="C1084" i="3"/>
  <c r="E1084" i="3"/>
  <c r="I1084" i="3"/>
  <c r="J1084" i="3"/>
  <c r="O1084" i="3"/>
  <c r="P1084" i="3"/>
  <c r="C1085" i="3"/>
  <c r="E1085" i="3"/>
  <c r="I1085" i="3"/>
  <c r="J1085" i="3"/>
  <c r="O1085" i="3"/>
  <c r="P1085" i="3"/>
  <c r="C1086" i="3"/>
  <c r="E1086" i="3"/>
  <c r="I1086" i="3"/>
  <c r="J1086" i="3"/>
  <c r="O1086" i="3"/>
  <c r="P1086" i="3"/>
  <c r="C1087" i="3"/>
  <c r="E1087" i="3"/>
  <c r="I1087" i="3"/>
  <c r="J1087" i="3"/>
  <c r="O1087" i="3"/>
  <c r="P1087" i="3"/>
  <c r="C1088" i="3"/>
  <c r="E1088" i="3"/>
  <c r="I1088" i="3"/>
  <c r="J1088" i="3"/>
  <c r="O1088" i="3"/>
  <c r="P1088" i="3"/>
  <c r="C1089" i="3"/>
  <c r="E1089" i="3"/>
  <c r="I1089" i="3"/>
  <c r="J1089" i="3"/>
  <c r="O1089" i="3"/>
  <c r="P1089" i="3"/>
  <c r="C1090" i="3"/>
  <c r="E1090" i="3"/>
  <c r="I1090" i="3"/>
  <c r="J1090" i="3"/>
  <c r="O1090" i="3"/>
  <c r="P1090" i="3"/>
  <c r="C1091" i="3"/>
  <c r="E1091" i="3"/>
  <c r="I1091" i="3"/>
  <c r="J1091" i="3"/>
  <c r="O1091" i="3"/>
  <c r="P1091" i="3"/>
  <c r="C1092" i="3"/>
  <c r="E1092" i="3"/>
  <c r="I1092" i="3"/>
  <c r="J1092" i="3"/>
  <c r="O1092" i="3"/>
  <c r="P1092" i="3"/>
  <c r="C1093" i="3"/>
  <c r="E1093" i="3"/>
  <c r="I1093" i="3"/>
  <c r="J1093" i="3"/>
  <c r="O1093" i="3"/>
  <c r="P1093" i="3"/>
  <c r="C1094" i="3"/>
  <c r="E1094" i="3"/>
  <c r="I1094" i="3"/>
  <c r="J1094" i="3"/>
  <c r="O1094" i="3"/>
  <c r="P1094" i="3"/>
  <c r="C1095" i="3"/>
  <c r="E1095" i="3"/>
  <c r="I1095" i="3"/>
  <c r="J1095" i="3"/>
  <c r="O1095" i="3"/>
  <c r="P1095" i="3"/>
  <c r="C1096" i="3"/>
  <c r="E1096" i="3"/>
  <c r="I1096" i="3"/>
  <c r="J1096" i="3"/>
  <c r="O1096" i="3"/>
  <c r="P1096" i="3"/>
  <c r="C1097" i="3"/>
  <c r="E1097" i="3"/>
  <c r="I1097" i="3"/>
  <c r="J1097" i="3"/>
  <c r="O1097" i="3"/>
  <c r="P1097" i="3"/>
  <c r="C1098" i="3"/>
  <c r="E1098" i="3"/>
  <c r="I1098" i="3"/>
  <c r="J1098" i="3"/>
  <c r="O1098" i="3"/>
  <c r="P1098" i="3"/>
  <c r="C1099" i="3"/>
  <c r="E1099" i="3"/>
  <c r="I1099" i="3"/>
  <c r="J1099" i="3"/>
  <c r="O1099" i="3"/>
  <c r="P1099" i="3"/>
  <c r="C1100" i="3"/>
  <c r="E1100" i="3"/>
  <c r="I1100" i="3"/>
  <c r="J1100" i="3"/>
  <c r="O1100" i="3"/>
  <c r="P1100" i="3"/>
  <c r="C1101" i="3"/>
  <c r="E1101" i="3"/>
  <c r="I1101" i="3"/>
  <c r="J1101" i="3"/>
  <c r="O1101" i="3"/>
  <c r="P1101" i="3"/>
  <c r="C1102" i="3"/>
  <c r="E1102" i="3"/>
  <c r="I1102" i="3"/>
  <c r="J1102" i="3"/>
  <c r="O1102" i="3"/>
  <c r="P1102" i="3"/>
  <c r="C1103" i="3"/>
  <c r="E1103" i="3"/>
  <c r="I1103" i="3"/>
  <c r="J1103" i="3"/>
  <c r="O1103" i="3"/>
  <c r="P1103" i="3"/>
  <c r="C1104" i="3"/>
  <c r="E1104" i="3"/>
  <c r="I1104" i="3"/>
  <c r="J1104" i="3"/>
  <c r="O1104" i="3"/>
  <c r="P1104" i="3"/>
  <c r="C1105" i="3"/>
  <c r="E1105" i="3"/>
  <c r="I1105" i="3"/>
  <c r="J1105" i="3"/>
  <c r="O1105" i="3"/>
  <c r="P1105" i="3"/>
  <c r="C1106" i="3"/>
  <c r="E1106" i="3"/>
  <c r="I1106" i="3"/>
  <c r="J1106" i="3"/>
  <c r="O1106" i="3"/>
  <c r="P1106" i="3"/>
  <c r="C1107" i="3"/>
  <c r="E1107" i="3"/>
  <c r="I1107" i="3"/>
  <c r="J1107" i="3"/>
  <c r="O1107" i="3"/>
  <c r="P1107" i="3"/>
  <c r="C1108" i="3"/>
  <c r="E1108" i="3"/>
  <c r="I1108" i="3"/>
  <c r="J1108" i="3"/>
  <c r="O1108" i="3"/>
  <c r="P1108" i="3"/>
  <c r="C1109" i="3"/>
  <c r="E1109" i="3"/>
  <c r="I1109" i="3"/>
  <c r="J1109" i="3"/>
  <c r="O1109" i="3"/>
  <c r="P1109" i="3"/>
  <c r="C1110" i="3"/>
  <c r="E1110" i="3"/>
  <c r="I1110" i="3"/>
  <c r="J1110" i="3"/>
  <c r="O1110" i="3"/>
  <c r="P1110" i="3"/>
  <c r="C1111" i="3"/>
  <c r="E1111" i="3"/>
  <c r="I1111" i="3"/>
  <c r="J1111" i="3"/>
  <c r="O1111" i="3"/>
  <c r="P1111" i="3"/>
  <c r="C1112" i="3"/>
  <c r="E1112" i="3"/>
  <c r="I1112" i="3"/>
  <c r="J1112" i="3"/>
  <c r="O1112" i="3"/>
  <c r="P1112" i="3"/>
  <c r="C1113" i="3"/>
  <c r="E1113" i="3"/>
  <c r="I1113" i="3"/>
  <c r="J1113" i="3"/>
  <c r="O1113" i="3"/>
  <c r="P1113" i="3"/>
  <c r="C1114" i="3"/>
  <c r="E1114" i="3"/>
  <c r="I1114" i="3"/>
  <c r="J1114" i="3"/>
  <c r="O1114" i="3"/>
  <c r="P1114" i="3"/>
  <c r="C1115" i="3"/>
  <c r="E1115" i="3"/>
  <c r="I1115" i="3"/>
  <c r="J1115" i="3"/>
  <c r="O1115" i="3"/>
  <c r="P1115" i="3"/>
  <c r="C1116" i="3"/>
  <c r="E1116" i="3"/>
  <c r="I1116" i="3"/>
  <c r="J1116" i="3"/>
  <c r="O1116" i="3"/>
  <c r="P1116" i="3"/>
  <c r="C1117" i="3"/>
  <c r="E1117" i="3"/>
  <c r="I1117" i="3"/>
  <c r="J1117" i="3"/>
  <c r="O1117" i="3"/>
  <c r="P1117" i="3"/>
  <c r="C1118" i="3"/>
  <c r="E1118" i="3"/>
  <c r="I1118" i="3"/>
  <c r="J1118" i="3"/>
  <c r="O1118" i="3"/>
  <c r="P1118" i="3"/>
  <c r="C1119" i="3"/>
  <c r="E1119" i="3"/>
  <c r="I1119" i="3"/>
  <c r="J1119" i="3"/>
  <c r="O1119" i="3"/>
  <c r="P1119" i="3"/>
  <c r="C1120" i="3"/>
  <c r="E1120" i="3"/>
  <c r="I1120" i="3"/>
  <c r="J1120" i="3"/>
  <c r="O1120" i="3"/>
  <c r="P1120" i="3"/>
  <c r="C1121" i="3"/>
  <c r="E1121" i="3"/>
  <c r="I1121" i="3"/>
  <c r="J1121" i="3"/>
  <c r="O1121" i="3"/>
  <c r="P1121" i="3"/>
  <c r="C1122" i="3"/>
  <c r="E1122" i="3"/>
  <c r="I1122" i="3"/>
  <c r="J1122" i="3"/>
  <c r="O1122" i="3"/>
  <c r="P1122" i="3"/>
  <c r="C1123" i="3"/>
  <c r="E1123" i="3"/>
  <c r="I1123" i="3"/>
  <c r="J1123" i="3"/>
  <c r="O1123" i="3"/>
  <c r="P1123" i="3"/>
  <c r="C1124" i="3"/>
  <c r="E1124" i="3"/>
  <c r="I1124" i="3"/>
  <c r="J1124" i="3"/>
  <c r="O1124" i="3"/>
  <c r="P1124" i="3"/>
  <c r="C1125" i="3"/>
  <c r="E1125" i="3"/>
  <c r="I1125" i="3"/>
  <c r="J1125" i="3"/>
  <c r="O1125" i="3"/>
  <c r="P1125" i="3"/>
  <c r="C1126" i="3"/>
  <c r="E1126" i="3"/>
  <c r="I1126" i="3"/>
  <c r="J1126" i="3"/>
  <c r="O1126" i="3"/>
  <c r="P1126" i="3"/>
  <c r="C1127" i="3"/>
  <c r="E1127" i="3"/>
  <c r="I1127" i="3"/>
  <c r="J1127" i="3"/>
  <c r="O1127" i="3"/>
  <c r="P1127" i="3"/>
  <c r="C1128" i="3"/>
  <c r="E1128" i="3"/>
  <c r="I1128" i="3"/>
  <c r="J1128" i="3"/>
  <c r="O1128" i="3"/>
  <c r="P1128" i="3"/>
  <c r="C1129" i="3"/>
  <c r="E1129" i="3"/>
  <c r="I1129" i="3"/>
  <c r="J1129" i="3"/>
  <c r="O1129" i="3"/>
  <c r="P1129" i="3"/>
  <c r="C1130" i="3"/>
  <c r="E1130" i="3"/>
  <c r="I1130" i="3"/>
  <c r="J1130" i="3"/>
  <c r="O1130" i="3"/>
  <c r="P1130" i="3"/>
  <c r="C1131" i="3"/>
  <c r="E1131" i="3"/>
  <c r="I1131" i="3"/>
  <c r="J1131" i="3"/>
  <c r="O1131" i="3"/>
  <c r="P1131" i="3"/>
  <c r="C1132" i="3"/>
  <c r="E1132" i="3"/>
  <c r="I1132" i="3"/>
  <c r="J1132" i="3"/>
  <c r="O1132" i="3"/>
  <c r="P1132" i="3"/>
  <c r="C1133" i="3"/>
  <c r="E1133" i="3"/>
  <c r="I1133" i="3"/>
  <c r="J1133" i="3"/>
  <c r="O1133" i="3"/>
  <c r="P1133" i="3"/>
  <c r="C1134" i="3"/>
  <c r="E1134" i="3"/>
  <c r="I1134" i="3"/>
  <c r="J1134" i="3"/>
  <c r="O1134" i="3"/>
  <c r="P1134" i="3"/>
  <c r="C1135" i="3"/>
  <c r="E1135" i="3"/>
  <c r="I1135" i="3"/>
  <c r="J1135" i="3"/>
  <c r="O1135" i="3"/>
  <c r="P1135" i="3"/>
  <c r="C1136" i="3"/>
  <c r="E1136" i="3"/>
  <c r="I1136" i="3"/>
  <c r="J1136" i="3"/>
  <c r="O1136" i="3"/>
  <c r="P1136" i="3"/>
  <c r="C1137" i="3"/>
  <c r="E1137" i="3"/>
  <c r="I1137" i="3"/>
  <c r="J1137" i="3"/>
  <c r="O1137" i="3"/>
  <c r="P1137" i="3"/>
  <c r="C1138" i="3"/>
  <c r="E1138" i="3"/>
  <c r="I1138" i="3"/>
  <c r="J1138" i="3"/>
  <c r="O1138" i="3"/>
  <c r="P1138" i="3"/>
  <c r="C1139" i="3"/>
  <c r="E1139" i="3"/>
  <c r="I1139" i="3"/>
  <c r="J1139" i="3"/>
  <c r="O1139" i="3"/>
  <c r="P1139" i="3"/>
  <c r="C1140" i="3"/>
  <c r="E1140" i="3"/>
  <c r="I1140" i="3"/>
  <c r="J1140" i="3"/>
  <c r="O1140" i="3"/>
  <c r="P1140" i="3"/>
  <c r="C1141" i="3"/>
  <c r="E1141" i="3"/>
  <c r="I1141" i="3"/>
  <c r="J1141" i="3"/>
  <c r="O1141" i="3"/>
  <c r="P1141" i="3"/>
  <c r="C1142" i="3"/>
  <c r="E1142" i="3"/>
  <c r="I1142" i="3"/>
  <c r="J1142" i="3"/>
  <c r="O1142" i="3"/>
  <c r="P1142" i="3"/>
  <c r="C1143" i="3"/>
  <c r="E1143" i="3"/>
  <c r="I1143" i="3"/>
  <c r="J1143" i="3"/>
  <c r="O1143" i="3"/>
  <c r="P1143" i="3"/>
  <c r="C1144" i="3"/>
  <c r="E1144" i="3"/>
  <c r="I1144" i="3"/>
  <c r="J1144" i="3"/>
  <c r="O1144" i="3"/>
  <c r="P1144" i="3"/>
  <c r="C1145" i="3"/>
  <c r="E1145" i="3"/>
  <c r="I1145" i="3"/>
  <c r="J1145" i="3"/>
  <c r="O1145" i="3"/>
  <c r="P1145" i="3"/>
  <c r="C1146" i="3"/>
  <c r="E1146" i="3"/>
  <c r="I1146" i="3"/>
  <c r="J1146" i="3"/>
  <c r="O1146" i="3"/>
  <c r="P1146" i="3"/>
  <c r="C1147" i="3"/>
  <c r="E1147" i="3"/>
  <c r="I1147" i="3"/>
  <c r="J1147" i="3"/>
  <c r="O1147" i="3"/>
  <c r="P1147" i="3"/>
  <c r="C1148" i="3"/>
  <c r="E1148" i="3"/>
  <c r="I1148" i="3"/>
  <c r="J1148" i="3"/>
  <c r="O1148" i="3"/>
  <c r="P1148" i="3"/>
  <c r="C1149" i="3"/>
  <c r="E1149" i="3"/>
  <c r="I1149" i="3"/>
  <c r="J1149" i="3"/>
  <c r="O1149" i="3"/>
  <c r="P1149" i="3"/>
  <c r="C1150" i="3"/>
  <c r="E1150" i="3"/>
  <c r="I1150" i="3"/>
  <c r="J1150" i="3"/>
  <c r="O1150" i="3"/>
  <c r="P1150" i="3"/>
  <c r="C1151" i="3"/>
  <c r="E1151" i="3"/>
  <c r="I1151" i="3"/>
  <c r="J1151" i="3"/>
  <c r="O1151" i="3"/>
  <c r="P1151" i="3"/>
  <c r="C1152" i="3"/>
  <c r="E1152" i="3"/>
  <c r="I1152" i="3"/>
  <c r="J1152" i="3"/>
  <c r="O1152" i="3"/>
  <c r="P1152" i="3"/>
  <c r="C1153" i="3"/>
  <c r="E1153" i="3"/>
  <c r="I1153" i="3"/>
  <c r="J1153" i="3"/>
  <c r="O1153" i="3"/>
  <c r="P1153" i="3"/>
  <c r="C1154" i="3"/>
  <c r="E1154" i="3"/>
  <c r="I1154" i="3"/>
  <c r="J1154" i="3"/>
  <c r="O1154" i="3"/>
  <c r="P1154" i="3"/>
  <c r="C1155" i="3"/>
  <c r="E1155" i="3"/>
  <c r="I1155" i="3"/>
  <c r="J1155" i="3"/>
  <c r="O1155" i="3"/>
  <c r="P1155" i="3"/>
  <c r="C1156" i="3"/>
  <c r="E1156" i="3"/>
  <c r="I1156" i="3"/>
  <c r="J1156" i="3"/>
  <c r="O1156" i="3"/>
  <c r="P1156" i="3"/>
  <c r="C1157" i="3"/>
  <c r="E1157" i="3"/>
  <c r="I1157" i="3"/>
  <c r="J1157" i="3"/>
  <c r="O1157" i="3"/>
  <c r="P1157" i="3"/>
  <c r="C1158" i="3"/>
  <c r="E1158" i="3"/>
  <c r="I1158" i="3"/>
  <c r="J1158" i="3"/>
  <c r="O1158" i="3"/>
  <c r="P1158" i="3"/>
  <c r="C1159" i="3"/>
  <c r="E1159" i="3"/>
  <c r="I1159" i="3"/>
  <c r="J1159" i="3"/>
  <c r="O1159" i="3"/>
  <c r="P1159" i="3"/>
  <c r="C1160" i="3"/>
  <c r="E1160" i="3"/>
  <c r="I1160" i="3"/>
  <c r="J1160" i="3"/>
  <c r="O1160" i="3"/>
  <c r="P1160" i="3"/>
  <c r="C1161" i="3"/>
  <c r="E1161" i="3"/>
  <c r="I1161" i="3"/>
  <c r="J1161" i="3"/>
  <c r="O1161" i="3"/>
  <c r="P1161" i="3"/>
  <c r="C1162" i="3"/>
  <c r="E1162" i="3"/>
  <c r="I1162" i="3"/>
  <c r="J1162" i="3"/>
  <c r="O1162" i="3"/>
  <c r="P1162" i="3"/>
  <c r="C1163" i="3"/>
  <c r="E1163" i="3"/>
  <c r="I1163" i="3"/>
  <c r="J1163" i="3"/>
  <c r="O1163" i="3"/>
  <c r="P1163" i="3"/>
  <c r="C1164" i="3"/>
  <c r="E1164" i="3"/>
  <c r="I1164" i="3"/>
  <c r="J1164" i="3"/>
  <c r="O1164" i="3"/>
  <c r="P1164" i="3"/>
  <c r="C1165" i="3"/>
  <c r="E1165" i="3"/>
  <c r="I1165" i="3"/>
  <c r="J1165" i="3"/>
  <c r="O1165" i="3"/>
  <c r="P1165" i="3"/>
  <c r="C1166" i="3"/>
  <c r="E1166" i="3"/>
  <c r="I1166" i="3"/>
  <c r="J1166" i="3"/>
  <c r="O1166" i="3"/>
  <c r="P1166" i="3"/>
  <c r="C1167" i="3"/>
  <c r="E1167" i="3"/>
  <c r="I1167" i="3"/>
  <c r="J1167" i="3"/>
  <c r="O1167" i="3"/>
  <c r="P1167" i="3"/>
  <c r="C1168" i="3"/>
  <c r="E1168" i="3"/>
  <c r="I1168" i="3"/>
  <c r="J1168" i="3"/>
  <c r="O1168" i="3"/>
  <c r="P1168" i="3"/>
  <c r="C1169" i="3"/>
  <c r="E1169" i="3"/>
  <c r="I1169" i="3"/>
  <c r="J1169" i="3"/>
  <c r="O1169" i="3"/>
  <c r="P1169" i="3"/>
  <c r="C1170" i="3"/>
  <c r="E1170" i="3"/>
  <c r="I1170" i="3"/>
  <c r="J1170" i="3"/>
  <c r="O1170" i="3"/>
  <c r="P1170" i="3"/>
  <c r="C1171" i="3"/>
  <c r="E1171" i="3"/>
  <c r="I1171" i="3"/>
  <c r="J1171" i="3"/>
  <c r="O1171" i="3"/>
  <c r="P1171" i="3"/>
  <c r="C1172" i="3"/>
  <c r="E1172" i="3"/>
  <c r="I1172" i="3"/>
  <c r="J1172" i="3"/>
  <c r="O1172" i="3"/>
  <c r="P1172" i="3"/>
  <c r="C1173" i="3"/>
  <c r="E1173" i="3"/>
  <c r="I1173" i="3"/>
  <c r="J1173" i="3"/>
  <c r="O1173" i="3"/>
  <c r="P1173" i="3"/>
  <c r="C1174" i="3"/>
  <c r="E1174" i="3"/>
  <c r="I1174" i="3"/>
  <c r="J1174" i="3"/>
  <c r="O1174" i="3"/>
  <c r="P1174" i="3"/>
  <c r="C1175" i="3"/>
  <c r="E1175" i="3"/>
  <c r="I1175" i="3"/>
  <c r="J1175" i="3"/>
  <c r="O1175" i="3"/>
  <c r="P1175" i="3"/>
  <c r="C1176" i="3"/>
  <c r="E1176" i="3"/>
  <c r="I1176" i="3"/>
  <c r="J1176" i="3"/>
  <c r="O1176" i="3"/>
  <c r="P1176" i="3"/>
  <c r="C1177" i="3"/>
  <c r="E1177" i="3"/>
  <c r="I1177" i="3"/>
  <c r="J1177" i="3"/>
  <c r="O1177" i="3"/>
  <c r="P1177" i="3"/>
  <c r="C1178" i="3"/>
  <c r="E1178" i="3"/>
  <c r="I1178" i="3"/>
  <c r="J1178" i="3"/>
  <c r="O1178" i="3"/>
  <c r="P1178" i="3"/>
  <c r="C1179" i="3"/>
  <c r="E1179" i="3"/>
  <c r="I1179" i="3"/>
  <c r="J1179" i="3"/>
  <c r="O1179" i="3"/>
  <c r="P1179" i="3"/>
  <c r="C1180" i="3"/>
  <c r="E1180" i="3"/>
  <c r="I1180" i="3"/>
  <c r="J1180" i="3"/>
  <c r="O1180" i="3"/>
  <c r="P1180" i="3"/>
  <c r="C1181" i="3"/>
  <c r="E1181" i="3"/>
  <c r="I1181" i="3"/>
  <c r="J1181" i="3"/>
  <c r="O1181" i="3"/>
  <c r="P1181" i="3"/>
  <c r="C1182" i="3"/>
  <c r="E1182" i="3"/>
  <c r="I1182" i="3"/>
  <c r="J1182" i="3"/>
  <c r="O1182" i="3"/>
  <c r="P1182" i="3"/>
  <c r="C1183" i="3"/>
  <c r="E1183" i="3"/>
  <c r="I1183" i="3"/>
  <c r="J1183" i="3"/>
  <c r="O1183" i="3"/>
  <c r="P1183" i="3"/>
  <c r="C1184" i="3"/>
  <c r="E1184" i="3"/>
  <c r="I1184" i="3"/>
  <c r="J1184" i="3"/>
  <c r="O1184" i="3"/>
  <c r="P1184" i="3"/>
  <c r="C1185" i="3"/>
  <c r="E1185" i="3"/>
  <c r="I1185" i="3"/>
  <c r="J1185" i="3"/>
  <c r="O1185" i="3"/>
  <c r="P1185" i="3"/>
  <c r="C1186" i="3"/>
  <c r="E1186" i="3"/>
  <c r="I1186" i="3"/>
  <c r="J1186" i="3"/>
  <c r="O1186" i="3"/>
  <c r="P1186" i="3"/>
  <c r="C1187" i="3"/>
  <c r="E1187" i="3"/>
  <c r="I1187" i="3"/>
  <c r="J1187" i="3"/>
  <c r="O1187" i="3"/>
  <c r="P1187" i="3"/>
  <c r="C1188" i="3"/>
  <c r="E1188" i="3"/>
  <c r="I1188" i="3"/>
  <c r="J1188" i="3"/>
  <c r="O1188" i="3"/>
  <c r="P1188" i="3"/>
  <c r="C1189" i="3"/>
  <c r="E1189" i="3"/>
  <c r="I1189" i="3"/>
  <c r="J1189" i="3"/>
  <c r="O1189" i="3"/>
  <c r="P1189" i="3"/>
  <c r="C1190" i="3"/>
  <c r="E1190" i="3"/>
  <c r="I1190" i="3"/>
  <c r="J1190" i="3"/>
  <c r="O1190" i="3"/>
  <c r="P1190" i="3"/>
  <c r="C1191" i="3"/>
  <c r="E1191" i="3"/>
  <c r="I1191" i="3"/>
  <c r="J1191" i="3"/>
  <c r="O1191" i="3"/>
  <c r="P1191" i="3"/>
  <c r="C1192" i="3"/>
  <c r="E1192" i="3"/>
  <c r="I1192" i="3"/>
  <c r="J1192" i="3"/>
  <c r="O1192" i="3"/>
  <c r="P1192" i="3"/>
  <c r="C1193" i="3"/>
  <c r="E1193" i="3"/>
  <c r="I1193" i="3"/>
  <c r="J1193" i="3"/>
  <c r="O1193" i="3"/>
  <c r="P1193" i="3"/>
  <c r="C1194" i="3"/>
  <c r="E1194" i="3"/>
  <c r="I1194" i="3"/>
  <c r="J1194" i="3"/>
  <c r="O1194" i="3"/>
  <c r="P1194" i="3"/>
  <c r="C1195" i="3"/>
  <c r="E1195" i="3"/>
  <c r="I1195" i="3"/>
  <c r="J1195" i="3"/>
  <c r="O1195" i="3"/>
  <c r="P1195" i="3"/>
  <c r="C1196" i="3"/>
  <c r="E1196" i="3"/>
  <c r="I1196" i="3"/>
  <c r="J1196" i="3"/>
  <c r="O1196" i="3"/>
  <c r="P1196" i="3"/>
  <c r="C1197" i="3"/>
  <c r="E1197" i="3"/>
  <c r="I1197" i="3"/>
  <c r="J1197" i="3"/>
  <c r="O1197" i="3"/>
  <c r="P1197" i="3"/>
  <c r="C1198" i="3"/>
  <c r="E1198" i="3"/>
  <c r="I1198" i="3"/>
  <c r="J1198" i="3"/>
  <c r="O1198" i="3"/>
  <c r="P1198" i="3"/>
  <c r="C1199" i="3"/>
  <c r="E1199" i="3"/>
  <c r="I1199" i="3"/>
  <c r="J1199" i="3"/>
  <c r="O1199" i="3"/>
  <c r="P1199" i="3"/>
  <c r="C1200" i="3"/>
  <c r="E1200" i="3"/>
  <c r="I1200" i="3"/>
  <c r="J1200" i="3"/>
  <c r="O1200" i="3"/>
  <c r="P1200" i="3"/>
  <c r="C1201" i="3"/>
  <c r="E1201" i="3"/>
  <c r="I1201" i="3"/>
  <c r="J1201" i="3"/>
  <c r="O1201" i="3"/>
  <c r="P1201" i="3"/>
  <c r="C1202" i="3"/>
  <c r="E1202" i="3"/>
  <c r="I1202" i="3"/>
  <c r="J1202" i="3"/>
  <c r="O1202" i="3"/>
  <c r="P1202" i="3"/>
  <c r="C1203" i="3"/>
  <c r="E1203" i="3"/>
  <c r="I1203" i="3"/>
  <c r="J1203" i="3"/>
  <c r="O1203" i="3"/>
  <c r="P1203" i="3"/>
  <c r="C1204" i="3"/>
  <c r="E1204" i="3"/>
  <c r="I1204" i="3"/>
  <c r="J1204" i="3"/>
  <c r="O1204" i="3"/>
  <c r="P1204" i="3"/>
  <c r="C1205" i="3"/>
  <c r="E1205" i="3"/>
  <c r="I1205" i="3"/>
  <c r="J1205" i="3"/>
  <c r="O1205" i="3"/>
  <c r="P1205" i="3"/>
  <c r="C1206" i="3"/>
  <c r="E1206" i="3"/>
  <c r="I1206" i="3"/>
  <c r="J1206" i="3"/>
  <c r="O1206" i="3"/>
  <c r="P1206" i="3"/>
  <c r="C1207" i="3"/>
  <c r="E1207" i="3"/>
  <c r="I1207" i="3"/>
  <c r="J1207" i="3"/>
  <c r="O1207" i="3"/>
  <c r="P1207" i="3"/>
  <c r="C1208" i="3"/>
  <c r="E1208" i="3"/>
  <c r="I1208" i="3"/>
  <c r="J1208" i="3"/>
  <c r="O1208" i="3"/>
  <c r="P1208" i="3"/>
  <c r="C1209" i="3"/>
  <c r="E1209" i="3"/>
  <c r="I1209" i="3"/>
  <c r="J1209" i="3"/>
  <c r="O1209" i="3"/>
  <c r="P1209" i="3"/>
  <c r="C1210" i="3"/>
  <c r="E1210" i="3"/>
  <c r="I1210" i="3"/>
  <c r="J1210" i="3"/>
  <c r="O1210" i="3"/>
  <c r="P1210" i="3"/>
  <c r="C1211" i="3"/>
  <c r="E1211" i="3"/>
  <c r="I1211" i="3"/>
  <c r="J1211" i="3"/>
  <c r="O1211" i="3"/>
  <c r="P1211" i="3"/>
  <c r="C1212" i="3"/>
  <c r="E1212" i="3"/>
  <c r="I1212" i="3"/>
  <c r="J1212" i="3"/>
  <c r="O1212" i="3"/>
  <c r="P1212" i="3"/>
  <c r="C1213" i="3"/>
  <c r="E1213" i="3"/>
  <c r="I1213" i="3"/>
  <c r="J1213" i="3"/>
  <c r="O1213" i="3"/>
  <c r="P1213" i="3"/>
  <c r="C1214" i="3"/>
  <c r="E1214" i="3"/>
  <c r="I1214" i="3"/>
  <c r="J1214" i="3"/>
  <c r="O1214" i="3"/>
  <c r="P1214" i="3"/>
  <c r="C1215" i="3"/>
  <c r="E1215" i="3"/>
  <c r="I1215" i="3"/>
  <c r="J1215" i="3"/>
  <c r="O1215" i="3"/>
  <c r="P1215" i="3"/>
  <c r="C1216" i="3"/>
  <c r="E1216" i="3"/>
  <c r="I1216" i="3"/>
  <c r="J1216" i="3"/>
  <c r="O1216" i="3"/>
  <c r="P1216" i="3"/>
  <c r="C1217" i="3"/>
  <c r="E1217" i="3"/>
  <c r="I1217" i="3"/>
  <c r="J1217" i="3"/>
  <c r="O1217" i="3"/>
  <c r="P1217" i="3"/>
  <c r="C1218" i="3"/>
  <c r="E1218" i="3"/>
  <c r="I1218" i="3"/>
  <c r="J1218" i="3"/>
  <c r="O1218" i="3"/>
  <c r="P1218" i="3"/>
  <c r="C1219" i="3"/>
  <c r="E1219" i="3"/>
  <c r="I1219" i="3"/>
  <c r="J1219" i="3"/>
  <c r="O1219" i="3"/>
  <c r="P1219" i="3"/>
  <c r="C1220" i="3"/>
  <c r="E1220" i="3"/>
  <c r="I1220" i="3"/>
  <c r="J1220" i="3"/>
  <c r="O1220" i="3"/>
  <c r="P1220" i="3"/>
  <c r="C1221" i="3"/>
  <c r="E1221" i="3"/>
  <c r="I1221" i="3"/>
  <c r="J1221" i="3"/>
  <c r="O1221" i="3"/>
  <c r="P1221" i="3"/>
  <c r="C1222" i="3"/>
  <c r="E1222" i="3"/>
  <c r="I1222" i="3"/>
  <c r="J1222" i="3"/>
  <c r="O1222" i="3"/>
  <c r="P1222" i="3"/>
  <c r="C1223" i="3"/>
  <c r="E1223" i="3"/>
  <c r="I1223" i="3"/>
  <c r="J1223" i="3"/>
  <c r="O1223" i="3"/>
  <c r="P1223" i="3"/>
  <c r="C1224" i="3"/>
  <c r="E1224" i="3"/>
  <c r="I1224" i="3"/>
  <c r="J1224" i="3"/>
  <c r="O1224" i="3"/>
  <c r="P1224" i="3"/>
  <c r="C1225" i="3"/>
  <c r="E1225" i="3"/>
  <c r="I1225" i="3"/>
  <c r="J1225" i="3"/>
  <c r="O1225" i="3"/>
  <c r="P1225" i="3"/>
  <c r="C1226" i="3"/>
  <c r="E1226" i="3"/>
  <c r="I1226" i="3"/>
  <c r="J1226" i="3"/>
  <c r="O1226" i="3"/>
  <c r="P1226" i="3"/>
  <c r="C1227" i="3"/>
  <c r="E1227" i="3"/>
  <c r="I1227" i="3"/>
  <c r="J1227" i="3"/>
  <c r="O1227" i="3"/>
  <c r="P1227" i="3"/>
  <c r="C1228" i="3"/>
  <c r="E1228" i="3"/>
  <c r="I1228" i="3"/>
  <c r="J1228" i="3"/>
  <c r="O1228" i="3"/>
  <c r="P1228" i="3"/>
  <c r="C1229" i="3"/>
  <c r="E1229" i="3"/>
  <c r="I1229" i="3"/>
  <c r="J1229" i="3"/>
  <c r="O1229" i="3"/>
  <c r="P1229" i="3"/>
  <c r="C1230" i="3"/>
  <c r="E1230" i="3"/>
  <c r="I1230" i="3"/>
  <c r="J1230" i="3"/>
  <c r="O1230" i="3"/>
  <c r="P1230" i="3"/>
  <c r="C1231" i="3"/>
  <c r="E1231" i="3"/>
  <c r="I1231" i="3"/>
  <c r="J1231" i="3"/>
  <c r="O1231" i="3"/>
  <c r="P1231" i="3"/>
  <c r="C1232" i="3"/>
  <c r="E1232" i="3"/>
  <c r="I1232" i="3"/>
  <c r="J1232" i="3"/>
  <c r="O1232" i="3"/>
  <c r="P1232" i="3"/>
  <c r="C1233" i="3"/>
  <c r="E1233" i="3"/>
  <c r="I1233" i="3"/>
  <c r="J1233" i="3"/>
  <c r="O1233" i="3"/>
  <c r="P1233" i="3"/>
  <c r="C1234" i="3"/>
  <c r="E1234" i="3"/>
  <c r="I1234" i="3"/>
  <c r="J1234" i="3"/>
  <c r="O1234" i="3"/>
  <c r="P1234" i="3"/>
  <c r="C1235" i="3"/>
  <c r="E1235" i="3"/>
  <c r="I1235" i="3"/>
  <c r="J1235" i="3"/>
  <c r="O1235" i="3"/>
  <c r="P1235" i="3"/>
  <c r="C1236" i="3"/>
  <c r="E1236" i="3"/>
  <c r="I1236" i="3"/>
  <c r="J1236" i="3"/>
  <c r="O1236" i="3"/>
  <c r="P1236" i="3"/>
  <c r="C1237" i="3"/>
  <c r="E1237" i="3"/>
  <c r="I1237" i="3"/>
  <c r="J1237" i="3"/>
  <c r="O1237" i="3"/>
  <c r="P1237" i="3"/>
  <c r="C1238" i="3"/>
  <c r="E1238" i="3"/>
  <c r="I1238" i="3"/>
  <c r="J1238" i="3"/>
  <c r="O1238" i="3"/>
  <c r="P1238" i="3"/>
  <c r="C1239" i="3"/>
  <c r="E1239" i="3"/>
  <c r="I1239" i="3"/>
  <c r="J1239" i="3"/>
  <c r="O1239" i="3"/>
  <c r="P1239" i="3"/>
  <c r="C1240" i="3"/>
  <c r="E1240" i="3"/>
  <c r="I1240" i="3"/>
  <c r="J1240" i="3"/>
  <c r="O1240" i="3"/>
  <c r="P1240" i="3"/>
  <c r="C1241" i="3"/>
  <c r="E1241" i="3"/>
  <c r="I1241" i="3"/>
  <c r="J1241" i="3"/>
  <c r="O1241" i="3"/>
  <c r="P1241" i="3"/>
  <c r="C1242" i="3"/>
  <c r="E1242" i="3"/>
  <c r="I1242" i="3"/>
  <c r="J1242" i="3"/>
  <c r="O1242" i="3"/>
  <c r="P1242" i="3"/>
  <c r="C1243" i="3"/>
  <c r="E1243" i="3"/>
  <c r="I1243" i="3"/>
  <c r="J1243" i="3"/>
  <c r="O1243" i="3"/>
  <c r="P1243" i="3"/>
  <c r="C1244" i="3"/>
  <c r="E1244" i="3"/>
  <c r="I1244" i="3"/>
  <c r="J1244" i="3"/>
  <c r="O1244" i="3"/>
  <c r="P1244" i="3"/>
  <c r="C1245" i="3"/>
  <c r="E1245" i="3"/>
  <c r="I1245" i="3"/>
  <c r="J1245" i="3"/>
  <c r="O1245" i="3"/>
  <c r="P1245" i="3"/>
  <c r="C1246" i="3"/>
  <c r="E1246" i="3"/>
  <c r="I1246" i="3"/>
  <c r="J1246" i="3"/>
  <c r="O1246" i="3"/>
  <c r="P1246" i="3"/>
  <c r="C1247" i="3"/>
  <c r="E1247" i="3"/>
  <c r="I1247" i="3"/>
  <c r="J1247" i="3"/>
  <c r="O1247" i="3"/>
  <c r="P1247" i="3"/>
  <c r="C1248" i="3"/>
  <c r="E1248" i="3"/>
  <c r="I1248" i="3"/>
  <c r="J1248" i="3"/>
  <c r="O1248" i="3"/>
  <c r="P1248" i="3"/>
  <c r="C1249" i="3"/>
  <c r="E1249" i="3"/>
  <c r="I1249" i="3"/>
  <c r="J1249" i="3"/>
  <c r="O1249" i="3"/>
  <c r="P1249" i="3"/>
  <c r="C1250" i="3"/>
  <c r="E1250" i="3"/>
  <c r="I1250" i="3"/>
  <c r="J1250" i="3"/>
  <c r="O1250" i="3"/>
  <c r="P1250" i="3"/>
  <c r="C1251" i="3"/>
  <c r="E1251" i="3"/>
  <c r="I1251" i="3"/>
  <c r="J1251" i="3"/>
  <c r="O1251" i="3"/>
  <c r="P1251" i="3"/>
  <c r="C1252" i="3"/>
  <c r="E1252" i="3"/>
  <c r="I1252" i="3"/>
  <c r="J1252" i="3"/>
  <c r="O1252" i="3"/>
  <c r="P1252" i="3"/>
  <c r="C1253" i="3"/>
  <c r="E1253" i="3"/>
  <c r="I1253" i="3"/>
  <c r="J1253" i="3"/>
  <c r="O1253" i="3"/>
  <c r="P1253" i="3"/>
  <c r="C1254" i="3"/>
  <c r="E1254" i="3"/>
  <c r="I1254" i="3"/>
  <c r="J1254" i="3"/>
  <c r="O1254" i="3"/>
  <c r="P1254" i="3"/>
  <c r="C1255" i="3"/>
  <c r="E1255" i="3"/>
  <c r="I1255" i="3"/>
  <c r="J1255" i="3"/>
  <c r="O1255" i="3"/>
  <c r="P1255" i="3"/>
  <c r="C1256" i="3"/>
  <c r="E1256" i="3"/>
  <c r="I1256" i="3"/>
  <c r="J1256" i="3"/>
  <c r="O1256" i="3"/>
  <c r="P1256" i="3"/>
  <c r="C1257" i="3"/>
  <c r="E1257" i="3"/>
  <c r="I1257" i="3"/>
  <c r="J1257" i="3"/>
  <c r="O1257" i="3"/>
  <c r="P1257" i="3"/>
  <c r="C1258" i="3"/>
  <c r="E1258" i="3"/>
  <c r="I1258" i="3"/>
  <c r="J1258" i="3"/>
  <c r="O1258" i="3"/>
  <c r="P1258" i="3"/>
  <c r="C1259" i="3"/>
  <c r="E1259" i="3"/>
  <c r="I1259" i="3"/>
  <c r="J1259" i="3"/>
  <c r="O1259" i="3"/>
  <c r="P1259" i="3"/>
  <c r="C1260" i="3"/>
  <c r="E1260" i="3"/>
  <c r="I1260" i="3"/>
  <c r="J1260" i="3"/>
  <c r="O1260" i="3"/>
  <c r="P1260" i="3"/>
  <c r="C1261" i="3"/>
  <c r="E1261" i="3"/>
  <c r="I1261" i="3"/>
  <c r="J1261" i="3"/>
  <c r="O1261" i="3"/>
  <c r="P1261" i="3"/>
  <c r="C1262" i="3"/>
  <c r="E1262" i="3"/>
  <c r="I1262" i="3"/>
  <c r="J1262" i="3"/>
  <c r="O1262" i="3"/>
  <c r="P1262" i="3"/>
  <c r="C1263" i="3"/>
  <c r="E1263" i="3"/>
  <c r="I1263" i="3"/>
  <c r="J1263" i="3"/>
  <c r="O1263" i="3"/>
  <c r="P1263" i="3"/>
  <c r="C1264" i="3"/>
  <c r="E1264" i="3"/>
  <c r="I1264" i="3"/>
  <c r="J1264" i="3"/>
  <c r="O1264" i="3"/>
  <c r="P1264" i="3"/>
  <c r="C1265" i="3"/>
  <c r="E1265" i="3"/>
  <c r="I1265" i="3"/>
  <c r="J1265" i="3"/>
  <c r="O1265" i="3"/>
  <c r="P1265" i="3"/>
  <c r="C1266" i="3"/>
  <c r="E1266" i="3"/>
  <c r="I1266" i="3"/>
  <c r="J1266" i="3"/>
  <c r="O1266" i="3"/>
  <c r="P1266" i="3"/>
  <c r="C1267" i="3"/>
  <c r="E1267" i="3"/>
  <c r="I1267" i="3"/>
  <c r="J1267" i="3"/>
  <c r="O1267" i="3"/>
  <c r="P1267" i="3"/>
  <c r="C1268" i="3"/>
  <c r="E1268" i="3"/>
  <c r="I1268" i="3"/>
  <c r="J1268" i="3"/>
  <c r="O1268" i="3"/>
  <c r="P1268" i="3"/>
  <c r="C1269" i="3"/>
  <c r="E1269" i="3"/>
  <c r="I1269" i="3"/>
  <c r="J1269" i="3"/>
  <c r="O1269" i="3"/>
  <c r="P1269" i="3"/>
  <c r="C1270" i="3"/>
  <c r="E1270" i="3"/>
  <c r="I1270" i="3"/>
  <c r="J1270" i="3"/>
  <c r="O1270" i="3"/>
  <c r="P1270" i="3"/>
  <c r="C1271" i="3"/>
  <c r="E1271" i="3"/>
  <c r="I1271" i="3"/>
  <c r="J1271" i="3"/>
  <c r="O1271" i="3"/>
  <c r="P1271" i="3"/>
  <c r="C1272" i="3"/>
  <c r="E1272" i="3"/>
  <c r="I1272" i="3"/>
  <c r="J1272" i="3"/>
  <c r="O1272" i="3"/>
  <c r="P1272" i="3"/>
  <c r="C1273" i="3"/>
  <c r="E1273" i="3"/>
  <c r="I1273" i="3"/>
  <c r="J1273" i="3"/>
  <c r="O1273" i="3"/>
  <c r="P1273" i="3"/>
  <c r="C1274" i="3"/>
  <c r="E1274" i="3"/>
  <c r="I1274" i="3"/>
  <c r="J1274" i="3"/>
  <c r="O1274" i="3"/>
  <c r="P1274" i="3"/>
  <c r="C1275" i="3"/>
  <c r="E1275" i="3"/>
  <c r="I1275" i="3"/>
  <c r="J1275" i="3"/>
  <c r="O1275" i="3"/>
  <c r="P1275" i="3"/>
  <c r="C1276" i="3"/>
  <c r="E1276" i="3"/>
  <c r="I1276" i="3"/>
  <c r="J1276" i="3"/>
  <c r="O1276" i="3"/>
  <c r="P1276" i="3"/>
  <c r="C1277" i="3"/>
  <c r="E1277" i="3"/>
  <c r="I1277" i="3"/>
  <c r="J1277" i="3"/>
  <c r="O1277" i="3"/>
  <c r="P1277" i="3"/>
  <c r="C1278" i="3"/>
  <c r="E1278" i="3"/>
  <c r="I1278" i="3"/>
  <c r="J1278" i="3"/>
  <c r="O1278" i="3"/>
  <c r="P1278" i="3"/>
  <c r="C1279" i="3"/>
  <c r="E1279" i="3"/>
  <c r="I1279" i="3"/>
  <c r="J1279" i="3"/>
  <c r="O1279" i="3"/>
  <c r="P1279" i="3"/>
  <c r="C1280" i="3"/>
  <c r="E1280" i="3"/>
  <c r="I1280" i="3"/>
  <c r="J1280" i="3"/>
  <c r="O1280" i="3"/>
  <c r="P1280" i="3"/>
  <c r="C1281" i="3"/>
  <c r="E1281" i="3"/>
  <c r="I1281" i="3"/>
  <c r="J1281" i="3"/>
  <c r="O1281" i="3"/>
  <c r="P1281" i="3"/>
  <c r="C1282" i="3"/>
  <c r="E1282" i="3"/>
  <c r="I1282" i="3"/>
  <c r="J1282" i="3"/>
  <c r="O1282" i="3"/>
  <c r="P1282" i="3"/>
  <c r="C1283" i="3"/>
  <c r="E1283" i="3"/>
  <c r="I1283" i="3"/>
  <c r="J1283" i="3"/>
  <c r="O1283" i="3"/>
  <c r="P1283" i="3"/>
  <c r="C1284" i="3"/>
  <c r="E1284" i="3"/>
  <c r="I1284" i="3"/>
  <c r="J1284" i="3"/>
  <c r="O1284" i="3"/>
  <c r="P1284" i="3"/>
  <c r="C1285" i="3"/>
  <c r="E1285" i="3"/>
  <c r="I1285" i="3"/>
  <c r="J1285" i="3"/>
  <c r="O1285" i="3"/>
  <c r="P1285" i="3"/>
  <c r="C1286" i="3"/>
  <c r="E1286" i="3"/>
  <c r="I1286" i="3"/>
  <c r="J1286" i="3"/>
  <c r="O1286" i="3"/>
  <c r="P1286" i="3"/>
  <c r="C1287" i="3"/>
  <c r="E1287" i="3"/>
  <c r="I1287" i="3"/>
  <c r="J1287" i="3"/>
  <c r="O1287" i="3"/>
  <c r="P1287" i="3"/>
  <c r="C1288" i="3"/>
  <c r="E1288" i="3"/>
  <c r="I1288" i="3"/>
  <c r="J1288" i="3"/>
  <c r="O1288" i="3"/>
  <c r="P1288" i="3"/>
  <c r="C1289" i="3"/>
  <c r="E1289" i="3"/>
  <c r="I1289" i="3"/>
  <c r="J1289" i="3"/>
  <c r="O1289" i="3"/>
  <c r="P1289" i="3"/>
  <c r="C1290" i="3"/>
  <c r="E1290" i="3"/>
  <c r="I1290" i="3"/>
  <c r="J1290" i="3"/>
  <c r="O1290" i="3"/>
  <c r="P1290" i="3"/>
  <c r="C1291" i="3"/>
  <c r="E1291" i="3"/>
  <c r="I1291" i="3"/>
  <c r="J1291" i="3"/>
  <c r="O1291" i="3"/>
  <c r="P1291" i="3"/>
  <c r="C1292" i="3"/>
  <c r="E1292" i="3"/>
  <c r="I1292" i="3"/>
  <c r="J1292" i="3"/>
  <c r="O1292" i="3"/>
  <c r="P1292" i="3"/>
  <c r="C1293" i="3"/>
  <c r="E1293" i="3"/>
  <c r="I1293" i="3"/>
  <c r="J1293" i="3"/>
  <c r="O1293" i="3"/>
  <c r="P1293" i="3"/>
  <c r="C1294" i="3"/>
  <c r="E1294" i="3"/>
  <c r="I1294" i="3"/>
  <c r="J1294" i="3"/>
  <c r="O1294" i="3"/>
  <c r="P1294" i="3"/>
  <c r="C1295" i="3"/>
  <c r="E1295" i="3"/>
  <c r="I1295" i="3"/>
  <c r="J1295" i="3"/>
  <c r="O1295" i="3"/>
  <c r="P1295" i="3"/>
  <c r="C1296" i="3"/>
  <c r="E1296" i="3"/>
  <c r="I1296" i="3"/>
  <c r="J1296" i="3"/>
  <c r="O1296" i="3"/>
  <c r="P1296" i="3"/>
  <c r="C1297" i="3"/>
  <c r="E1297" i="3"/>
  <c r="I1297" i="3"/>
  <c r="J1297" i="3"/>
  <c r="O1297" i="3"/>
  <c r="P1297" i="3"/>
  <c r="C1298" i="3"/>
  <c r="E1298" i="3"/>
  <c r="I1298" i="3"/>
  <c r="J1298" i="3"/>
  <c r="O1298" i="3"/>
  <c r="P1298" i="3"/>
  <c r="C1299" i="3"/>
  <c r="E1299" i="3"/>
  <c r="I1299" i="3"/>
  <c r="J1299" i="3"/>
  <c r="O1299" i="3"/>
  <c r="P1299" i="3"/>
  <c r="C1300" i="3"/>
  <c r="E1300" i="3"/>
  <c r="I1300" i="3"/>
  <c r="J1300" i="3"/>
  <c r="O1300" i="3"/>
  <c r="P1300" i="3"/>
  <c r="C1301" i="3"/>
  <c r="E1301" i="3"/>
  <c r="I1301" i="3"/>
  <c r="J1301" i="3"/>
  <c r="O1301" i="3"/>
  <c r="P1301" i="3"/>
  <c r="C1302" i="3"/>
  <c r="E1302" i="3"/>
  <c r="I1302" i="3"/>
  <c r="J1302" i="3"/>
  <c r="O1302" i="3"/>
  <c r="P1302" i="3"/>
  <c r="C1303" i="3"/>
  <c r="E1303" i="3"/>
  <c r="I1303" i="3"/>
  <c r="J1303" i="3"/>
  <c r="O1303" i="3"/>
  <c r="P1303" i="3"/>
  <c r="C1304" i="3"/>
  <c r="E1304" i="3"/>
  <c r="I1304" i="3"/>
  <c r="J1304" i="3"/>
  <c r="O1304" i="3"/>
  <c r="P1304" i="3"/>
  <c r="C1305" i="3"/>
  <c r="E1305" i="3"/>
  <c r="I1305" i="3"/>
  <c r="J1305" i="3"/>
  <c r="O1305" i="3"/>
  <c r="P1305" i="3"/>
  <c r="C1306" i="3"/>
  <c r="E1306" i="3"/>
  <c r="I1306" i="3"/>
  <c r="J1306" i="3"/>
  <c r="O1306" i="3"/>
  <c r="P1306" i="3"/>
  <c r="C1307" i="3"/>
  <c r="E1307" i="3"/>
  <c r="I1307" i="3"/>
  <c r="J1307" i="3"/>
  <c r="O1307" i="3"/>
  <c r="P1307" i="3"/>
  <c r="C1308" i="3"/>
  <c r="E1308" i="3"/>
  <c r="I1308" i="3"/>
  <c r="J1308" i="3"/>
  <c r="O1308" i="3"/>
  <c r="P1308" i="3"/>
  <c r="C1309" i="3"/>
  <c r="E1309" i="3"/>
  <c r="I1309" i="3"/>
  <c r="J1309" i="3"/>
  <c r="O1309" i="3"/>
  <c r="P1309" i="3"/>
  <c r="C1310" i="3"/>
  <c r="E1310" i="3"/>
  <c r="I1310" i="3"/>
  <c r="J1310" i="3"/>
  <c r="O1310" i="3"/>
  <c r="P1310" i="3"/>
  <c r="C1311" i="3"/>
  <c r="E1311" i="3"/>
  <c r="I1311" i="3"/>
  <c r="J1311" i="3"/>
  <c r="O1311" i="3"/>
  <c r="P1311" i="3"/>
  <c r="C1312" i="3"/>
  <c r="E1312" i="3"/>
  <c r="I1312" i="3"/>
  <c r="J1312" i="3"/>
  <c r="O1312" i="3"/>
  <c r="P1312" i="3"/>
  <c r="C1313" i="3"/>
  <c r="E1313" i="3"/>
  <c r="I1313" i="3"/>
  <c r="J1313" i="3"/>
  <c r="O1313" i="3"/>
  <c r="P1313" i="3"/>
  <c r="C1314" i="3"/>
  <c r="E1314" i="3"/>
  <c r="I1314" i="3"/>
  <c r="J1314" i="3"/>
  <c r="O1314" i="3"/>
  <c r="P1314" i="3"/>
  <c r="C1315" i="3"/>
  <c r="E1315" i="3"/>
  <c r="I1315" i="3"/>
  <c r="J1315" i="3"/>
  <c r="O1315" i="3"/>
  <c r="P1315" i="3"/>
  <c r="C1316" i="3"/>
  <c r="E1316" i="3"/>
  <c r="I1316" i="3"/>
  <c r="J1316" i="3"/>
  <c r="O1316" i="3"/>
  <c r="P1316" i="3"/>
  <c r="C1317" i="3"/>
  <c r="E1317" i="3"/>
  <c r="I1317" i="3"/>
  <c r="J1317" i="3"/>
  <c r="O1317" i="3"/>
  <c r="P1317" i="3"/>
  <c r="C1318" i="3"/>
  <c r="E1318" i="3"/>
  <c r="I1318" i="3"/>
  <c r="J1318" i="3"/>
  <c r="O1318" i="3"/>
  <c r="P1318" i="3"/>
  <c r="C1319" i="3"/>
  <c r="E1319" i="3"/>
  <c r="I1319" i="3"/>
  <c r="J1319" i="3"/>
  <c r="O1319" i="3"/>
  <c r="P1319" i="3"/>
  <c r="C1320" i="3"/>
  <c r="E1320" i="3"/>
  <c r="I1320" i="3"/>
  <c r="J1320" i="3"/>
  <c r="O1320" i="3"/>
  <c r="P1320" i="3"/>
  <c r="C1321" i="3"/>
  <c r="E1321" i="3"/>
  <c r="I1321" i="3"/>
  <c r="J1321" i="3"/>
  <c r="O1321" i="3"/>
  <c r="P1321" i="3"/>
  <c r="C1322" i="3"/>
  <c r="E1322" i="3"/>
  <c r="I1322" i="3"/>
  <c r="J1322" i="3"/>
  <c r="O1322" i="3"/>
  <c r="P1322" i="3"/>
  <c r="C1323" i="3"/>
  <c r="E1323" i="3"/>
  <c r="I1323" i="3"/>
  <c r="J1323" i="3"/>
  <c r="O1323" i="3"/>
  <c r="P1323" i="3"/>
  <c r="C1324" i="3"/>
  <c r="E1324" i="3"/>
  <c r="I1324" i="3"/>
  <c r="J1324" i="3"/>
  <c r="O1324" i="3"/>
  <c r="P1324" i="3"/>
  <c r="C1325" i="3"/>
  <c r="E1325" i="3"/>
  <c r="I1325" i="3"/>
  <c r="J1325" i="3"/>
  <c r="O1325" i="3"/>
  <c r="P1325" i="3"/>
  <c r="C1326" i="3"/>
  <c r="E1326" i="3"/>
  <c r="I1326" i="3"/>
  <c r="J1326" i="3"/>
  <c r="O1326" i="3"/>
  <c r="P1326" i="3"/>
  <c r="C1327" i="3"/>
  <c r="E1327" i="3"/>
  <c r="I1327" i="3"/>
  <c r="J1327" i="3"/>
  <c r="O1327" i="3"/>
  <c r="P1327" i="3"/>
  <c r="C1328" i="3"/>
  <c r="E1328" i="3"/>
  <c r="I1328" i="3"/>
  <c r="J1328" i="3"/>
  <c r="O1328" i="3"/>
  <c r="P1328" i="3"/>
  <c r="C1329" i="3"/>
  <c r="E1329" i="3"/>
  <c r="I1329" i="3"/>
  <c r="J1329" i="3"/>
  <c r="O1329" i="3"/>
  <c r="P1329" i="3"/>
  <c r="C1330" i="3"/>
  <c r="E1330" i="3"/>
  <c r="I1330" i="3"/>
  <c r="J1330" i="3"/>
  <c r="O1330" i="3"/>
  <c r="P1330" i="3"/>
  <c r="C1331" i="3"/>
  <c r="E1331" i="3"/>
  <c r="I1331" i="3"/>
  <c r="J1331" i="3"/>
  <c r="O1331" i="3"/>
  <c r="P1331" i="3"/>
  <c r="C1332" i="3"/>
  <c r="E1332" i="3"/>
  <c r="I1332" i="3"/>
  <c r="J1332" i="3"/>
  <c r="O1332" i="3"/>
  <c r="P1332" i="3"/>
  <c r="C1333" i="3"/>
  <c r="E1333" i="3"/>
  <c r="I1333" i="3"/>
  <c r="J1333" i="3"/>
  <c r="O1333" i="3"/>
  <c r="P1333" i="3"/>
  <c r="C1334" i="3"/>
  <c r="E1334" i="3"/>
  <c r="I1334" i="3"/>
  <c r="J1334" i="3"/>
  <c r="O1334" i="3"/>
  <c r="P1334" i="3"/>
  <c r="C1335" i="3"/>
  <c r="E1335" i="3"/>
  <c r="I1335" i="3"/>
  <c r="J1335" i="3"/>
  <c r="O1335" i="3"/>
  <c r="P1335" i="3"/>
  <c r="C1336" i="3"/>
  <c r="E1336" i="3"/>
  <c r="I1336" i="3"/>
  <c r="J1336" i="3"/>
  <c r="O1336" i="3"/>
  <c r="P1336" i="3"/>
  <c r="C1337" i="3"/>
  <c r="E1337" i="3"/>
  <c r="I1337" i="3"/>
  <c r="J1337" i="3"/>
  <c r="O1337" i="3"/>
  <c r="P1337" i="3"/>
  <c r="C1338" i="3"/>
  <c r="E1338" i="3"/>
  <c r="I1338" i="3"/>
  <c r="J1338" i="3"/>
  <c r="O1338" i="3"/>
  <c r="P1338" i="3"/>
  <c r="C1339" i="3"/>
  <c r="E1339" i="3"/>
  <c r="I1339" i="3"/>
  <c r="J1339" i="3"/>
  <c r="O1339" i="3"/>
  <c r="P1339" i="3"/>
  <c r="C1340" i="3"/>
  <c r="E1340" i="3"/>
  <c r="I1340" i="3"/>
  <c r="J1340" i="3"/>
  <c r="O1340" i="3"/>
  <c r="P1340" i="3"/>
  <c r="C1341" i="3"/>
  <c r="E1341" i="3"/>
  <c r="I1341" i="3"/>
  <c r="J1341" i="3"/>
  <c r="O1341" i="3"/>
  <c r="P1341" i="3"/>
  <c r="C1342" i="3"/>
  <c r="E1342" i="3"/>
  <c r="I1342" i="3"/>
  <c r="J1342" i="3"/>
  <c r="O1342" i="3"/>
  <c r="P1342" i="3"/>
  <c r="C1343" i="3"/>
  <c r="E1343" i="3"/>
  <c r="I1343" i="3"/>
  <c r="J1343" i="3"/>
  <c r="O1343" i="3"/>
  <c r="P1343" i="3"/>
  <c r="C1344" i="3"/>
  <c r="E1344" i="3"/>
  <c r="I1344" i="3"/>
  <c r="J1344" i="3"/>
  <c r="O1344" i="3"/>
  <c r="P1344" i="3"/>
  <c r="C1345" i="3"/>
  <c r="E1345" i="3"/>
  <c r="I1345" i="3"/>
  <c r="J1345" i="3"/>
  <c r="O1345" i="3"/>
  <c r="P1345" i="3"/>
  <c r="C1346" i="3"/>
  <c r="E1346" i="3"/>
  <c r="I1346" i="3"/>
  <c r="J1346" i="3"/>
  <c r="O1346" i="3"/>
  <c r="P1346" i="3"/>
  <c r="C1347" i="3"/>
  <c r="E1347" i="3"/>
  <c r="I1347" i="3"/>
  <c r="J1347" i="3"/>
  <c r="O1347" i="3"/>
  <c r="P1347" i="3"/>
  <c r="C1348" i="3"/>
  <c r="E1348" i="3"/>
  <c r="I1348" i="3"/>
  <c r="J1348" i="3"/>
  <c r="O1348" i="3"/>
  <c r="P1348" i="3"/>
  <c r="C1349" i="3"/>
  <c r="E1349" i="3"/>
  <c r="I1349" i="3"/>
  <c r="J1349" i="3"/>
  <c r="O1349" i="3"/>
  <c r="P1349" i="3"/>
  <c r="C1350" i="3"/>
  <c r="E1350" i="3"/>
  <c r="I1350" i="3"/>
  <c r="J1350" i="3"/>
  <c r="O1350" i="3"/>
  <c r="P1350" i="3"/>
  <c r="C1351" i="3"/>
  <c r="E1351" i="3"/>
  <c r="I1351" i="3"/>
  <c r="J1351" i="3"/>
  <c r="O1351" i="3"/>
  <c r="P1351" i="3"/>
  <c r="C1352" i="3"/>
  <c r="E1352" i="3"/>
  <c r="I1352" i="3"/>
  <c r="J1352" i="3"/>
  <c r="O1352" i="3"/>
  <c r="P1352" i="3"/>
  <c r="C1353" i="3"/>
  <c r="E1353" i="3"/>
  <c r="I1353" i="3"/>
  <c r="J1353" i="3"/>
  <c r="O1353" i="3"/>
  <c r="P1353" i="3"/>
  <c r="C1354" i="3"/>
  <c r="E1354" i="3"/>
  <c r="I1354" i="3"/>
  <c r="J1354" i="3"/>
  <c r="O1354" i="3"/>
  <c r="P1354" i="3"/>
  <c r="C1355" i="3"/>
  <c r="E1355" i="3"/>
  <c r="I1355" i="3"/>
  <c r="J1355" i="3"/>
  <c r="O1355" i="3"/>
  <c r="P1355" i="3"/>
  <c r="C1356" i="3"/>
  <c r="E1356" i="3"/>
  <c r="I1356" i="3"/>
  <c r="J1356" i="3"/>
  <c r="O1356" i="3"/>
  <c r="P1356" i="3"/>
  <c r="C1357" i="3"/>
  <c r="E1357" i="3"/>
  <c r="I1357" i="3"/>
  <c r="J1357" i="3"/>
  <c r="O1357" i="3"/>
  <c r="P1357" i="3"/>
  <c r="C1358" i="3"/>
  <c r="E1358" i="3"/>
  <c r="I1358" i="3"/>
  <c r="J1358" i="3"/>
  <c r="O1358" i="3"/>
  <c r="P1358" i="3"/>
  <c r="C1359" i="3"/>
  <c r="E1359" i="3"/>
  <c r="I1359" i="3"/>
  <c r="J1359" i="3"/>
  <c r="O1359" i="3"/>
  <c r="P1359" i="3"/>
  <c r="C1360" i="3"/>
  <c r="E1360" i="3"/>
  <c r="I1360" i="3"/>
  <c r="J1360" i="3"/>
  <c r="O1360" i="3"/>
  <c r="P1360" i="3"/>
  <c r="C1361" i="3"/>
  <c r="E1361" i="3"/>
  <c r="I1361" i="3"/>
  <c r="J1361" i="3"/>
  <c r="O1361" i="3"/>
  <c r="P1361" i="3"/>
  <c r="C1362" i="3"/>
  <c r="E1362" i="3"/>
  <c r="I1362" i="3"/>
  <c r="J1362" i="3"/>
  <c r="O1362" i="3"/>
  <c r="P1362" i="3"/>
  <c r="C1363" i="3"/>
  <c r="E1363" i="3"/>
  <c r="I1363" i="3"/>
  <c r="J1363" i="3"/>
  <c r="O1363" i="3"/>
  <c r="P1363" i="3"/>
  <c r="C1364" i="3"/>
  <c r="E1364" i="3"/>
  <c r="I1364" i="3"/>
  <c r="J1364" i="3"/>
  <c r="O1364" i="3"/>
  <c r="P1364" i="3"/>
  <c r="C1365" i="3"/>
  <c r="E1365" i="3"/>
  <c r="I1365" i="3"/>
  <c r="J1365" i="3"/>
  <c r="O1365" i="3"/>
  <c r="P1365" i="3"/>
  <c r="C1366" i="3"/>
  <c r="E1366" i="3"/>
  <c r="I1366" i="3"/>
  <c r="J1366" i="3"/>
  <c r="O1366" i="3"/>
  <c r="P1366" i="3"/>
  <c r="C1367" i="3"/>
  <c r="E1367" i="3"/>
  <c r="I1367" i="3"/>
  <c r="J1367" i="3"/>
  <c r="O1367" i="3"/>
  <c r="P1367" i="3"/>
  <c r="C1368" i="3"/>
  <c r="E1368" i="3"/>
  <c r="I1368" i="3"/>
  <c r="J1368" i="3"/>
  <c r="O1368" i="3"/>
  <c r="P1368" i="3"/>
  <c r="C1369" i="3"/>
  <c r="E1369" i="3"/>
  <c r="I1369" i="3"/>
  <c r="J1369" i="3"/>
  <c r="O1369" i="3"/>
  <c r="P1369" i="3"/>
  <c r="C1370" i="3"/>
  <c r="E1370" i="3"/>
  <c r="I1370" i="3"/>
  <c r="J1370" i="3"/>
  <c r="O1370" i="3"/>
  <c r="P1370" i="3"/>
  <c r="C1371" i="3"/>
  <c r="E1371" i="3"/>
  <c r="I1371" i="3"/>
  <c r="J1371" i="3"/>
  <c r="O1371" i="3"/>
  <c r="P1371" i="3"/>
  <c r="C1372" i="3"/>
  <c r="E1372" i="3"/>
  <c r="I1372" i="3"/>
  <c r="J1372" i="3"/>
  <c r="O1372" i="3"/>
  <c r="P1372" i="3"/>
  <c r="C1373" i="3"/>
  <c r="E1373" i="3"/>
  <c r="I1373" i="3"/>
  <c r="J1373" i="3"/>
  <c r="O1373" i="3"/>
  <c r="P1373" i="3"/>
  <c r="C1374" i="3"/>
  <c r="E1374" i="3"/>
  <c r="I1374" i="3"/>
  <c r="J1374" i="3"/>
  <c r="O1374" i="3"/>
  <c r="P1374" i="3"/>
  <c r="C1375" i="3"/>
  <c r="E1375" i="3"/>
  <c r="I1375" i="3"/>
  <c r="J1375" i="3"/>
  <c r="O1375" i="3"/>
  <c r="P1375" i="3"/>
  <c r="C1376" i="3"/>
  <c r="E1376" i="3"/>
  <c r="I1376" i="3"/>
  <c r="J1376" i="3"/>
  <c r="O1376" i="3"/>
  <c r="P1376" i="3"/>
  <c r="C1377" i="3"/>
  <c r="E1377" i="3"/>
  <c r="I1377" i="3"/>
  <c r="J1377" i="3"/>
  <c r="O1377" i="3"/>
  <c r="P1377" i="3"/>
  <c r="C1378" i="3"/>
  <c r="E1378" i="3"/>
  <c r="I1378" i="3"/>
  <c r="J1378" i="3"/>
  <c r="O1378" i="3"/>
  <c r="P1378" i="3"/>
  <c r="C1379" i="3"/>
  <c r="E1379" i="3"/>
  <c r="I1379" i="3"/>
  <c r="J1379" i="3"/>
  <c r="O1379" i="3"/>
  <c r="P1379" i="3"/>
  <c r="C1380" i="3"/>
  <c r="E1380" i="3"/>
  <c r="I1380" i="3"/>
  <c r="J1380" i="3"/>
  <c r="O1380" i="3"/>
  <c r="P1380" i="3"/>
  <c r="C1381" i="3"/>
  <c r="E1381" i="3"/>
  <c r="I1381" i="3"/>
  <c r="J1381" i="3"/>
  <c r="O1381" i="3"/>
  <c r="P1381" i="3"/>
  <c r="C1382" i="3"/>
  <c r="E1382" i="3"/>
  <c r="I1382" i="3"/>
  <c r="J1382" i="3"/>
  <c r="O1382" i="3"/>
  <c r="P1382" i="3"/>
  <c r="C1383" i="3"/>
  <c r="E1383" i="3"/>
  <c r="I1383" i="3"/>
  <c r="J1383" i="3"/>
  <c r="O1383" i="3"/>
  <c r="P1383" i="3"/>
  <c r="C1384" i="3"/>
  <c r="E1384" i="3"/>
  <c r="I1384" i="3"/>
  <c r="J1384" i="3"/>
  <c r="O1384" i="3"/>
  <c r="P1384" i="3"/>
  <c r="C1385" i="3"/>
  <c r="E1385" i="3"/>
  <c r="I1385" i="3"/>
  <c r="J1385" i="3"/>
  <c r="O1385" i="3"/>
  <c r="P1385" i="3"/>
  <c r="C1386" i="3"/>
  <c r="E1386" i="3"/>
  <c r="I1386" i="3"/>
  <c r="J1386" i="3"/>
  <c r="O1386" i="3"/>
  <c r="P1386" i="3"/>
  <c r="C1387" i="3"/>
  <c r="E1387" i="3"/>
  <c r="I1387" i="3"/>
  <c r="J1387" i="3"/>
  <c r="O1387" i="3"/>
  <c r="P1387" i="3"/>
  <c r="C1388" i="3"/>
  <c r="E1388" i="3"/>
  <c r="I1388" i="3"/>
  <c r="J1388" i="3"/>
  <c r="O1388" i="3"/>
  <c r="P1388" i="3"/>
  <c r="C1389" i="3"/>
  <c r="E1389" i="3"/>
  <c r="I1389" i="3"/>
  <c r="J1389" i="3"/>
  <c r="O1389" i="3"/>
  <c r="P1389" i="3"/>
  <c r="C1390" i="3"/>
  <c r="E1390" i="3"/>
  <c r="I1390" i="3"/>
  <c r="J1390" i="3"/>
  <c r="O1390" i="3"/>
  <c r="P1390" i="3"/>
  <c r="C1391" i="3"/>
  <c r="E1391" i="3"/>
  <c r="I1391" i="3"/>
  <c r="J1391" i="3"/>
  <c r="O1391" i="3"/>
  <c r="P1391" i="3"/>
  <c r="C1392" i="3"/>
  <c r="E1392" i="3"/>
  <c r="I1392" i="3"/>
  <c r="J1392" i="3"/>
  <c r="O1392" i="3"/>
  <c r="P1392" i="3"/>
  <c r="C1393" i="3"/>
  <c r="E1393" i="3"/>
  <c r="I1393" i="3"/>
  <c r="J1393" i="3"/>
  <c r="O1393" i="3"/>
  <c r="P1393" i="3"/>
  <c r="C1394" i="3"/>
  <c r="E1394" i="3"/>
  <c r="I1394" i="3"/>
  <c r="J1394" i="3"/>
  <c r="O1394" i="3"/>
  <c r="P1394" i="3"/>
  <c r="C1395" i="3"/>
  <c r="E1395" i="3"/>
  <c r="I1395" i="3"/>
  <c r="J1395" i="3"/>
  <c r="O1395" i="3"/>
  <c r="P1395" i="3"/>
  <c r="C1396" i="3"/>
  <c r="E1396" i="3"/>
  <c r="I1396" i="3"/>
  <c r="J1396" i="3"/>
  <c r="O1396" i="3"/>
  <c r="P1396" i="3"/>
  <c r="C1397" i="3"/>
  <c r="E1397" i="3"/>
  <c r="I1397" i="3"/>
  <c r="J1397" i="3"/>
  <c r="O1397" i="3"/>
  <c r="P1397" i="3"/>
  <c r="C1398" i="3"/>
  <c r="E1398" i="3"/>
  <c r="I1398" i="3"/>
  <c r="J1398" i="3"/>
  <c r="O1398" i="3"/>
  <c r="P1398" i="3"/>
  <c r="C1399" i="3"/>
  <c r="E1399" i="3"/>
  <c r="I1399" i="3"/>
  <c r="J1399" i="3"/>
  <c r="O1399" i="3"/>
  <c r="P1399" i="3"/>
  <c r="C1400" i="3"/>
  <c r="E1400" i="3"/>
  <c r="I1400" i="3"/>
  <c r="J1400" i="3"/>
  <c r="O1400" i="3"/>
  <c r="P1400" i="3"/>
  <c r="C1401" i="3"/>
  <c r="E1401" i="3"/>
  <c r="I1401" i="3"/>
  <c r="J1401" i="3"/>
  <c r="O1401" i="3"/>
  <c r="P1401" i="3"/>
  <c r="C1402" i="3"/>
  <c r="E1402" i="3"/>
  <c r="I1402" i="3"/>
  <c r="J1402" i="3"/>
  <c r="O1402" i="3"/>
  <c r="P1402" i="3"/>
  <c r="C1403" i="3"/>
  <c r="E1403" i="3"/>
  <c r="I1403" i="3"/>
  <c r="J1403" i="3"/>
  <c r="O1403" i="3"/>
  <c r="P1403" i="3"/>
  <c r="C1404" i="3"/>
  <c r="E1404" i="3"/>
  <c r="I1404" i="3"/>
  <c r="J1404" i="3"/>
  <c r="O1404" i="3"/>
  <c r="P1404" i="3"/>
  <c r="C1405" i="3"/>
  <c r="E1405" i="3"/>
  <c r="I1405" i="3"/>
  <c r="J1405" i="3"/>
  <c r="O1405" i="3"/>
  <c r="P1405" i="3"/>
  <c r="C1406" i="3"/>
  <c r="E1406" i="3"/>
  <c r="I1406" i="3"/>
  <c r="J1406" i="3"/>
  <c r="O1406" i="3"/>
  <c r="P1406" i="3"/>
  <c r="C1407" i="3"/>
  <c r="E1407" i="3"/>
  <c r="I1407" i="3"/>
  <c r="J1407" i="3"/>
  <c r="O1407" i="3"/>
  <c r="P1407" i="3"/>
  <c r="C1408" i="3"/>
  <c r="E1408" i="3"/>
  <c r="I1408" i="3"/>
  <c r="J1408" i="3"/>
  <c r="O1408" i="3"/>
  <c r="P1408" i="3"/>
  <c r="C1409" i="3"/>
  <c r="E1409" i="3"/>
  <c r="I1409" i="3"/>
  <c r="J1409" i="3"/>
  <c r="O1409" i="3"/>
  <c r="P1409" i="3"/>
  <c r="C1410" i="3"/>
  <c r="E1410" i="3"/>
  <c r="I1410" i="3"/>
  <c r="J1410" i="3"/>
  <c r="O1410" i="3"/>
  <c r="P1410" i="3"/>
  <c r="C1411" i="3"/>
  <c r="E1411" i="3"/>
  <c r="I1411" i="3"/>
  <c r="J1411" i="3"/>
  <c r="O1411" i="3"/>
  <c r="P1411" i="3"/>
  <c r="C1412" i="3"/>
  <c r="E1412" i="3"/>
  <c r="I1412" i="3"/>
  <c r="J1412" i="3"/>
  <c r="O1412" i="3"/>
  <c r="P1412" i="3"/>
  <c r="C1413" i="3"/>
  <c r="E1413" i="3"/>
  <c r="I1413" i="3"/>
  <c r="J1413" i="3"/>
  <c r="O1413" i="3"/>
  <c r="P1413" i="3"/>
  <c r="C1414" i="3"/>
  <c r="E1414" i="3"/>
  <c r="I1414" i="3"/>
  <c r="J1414" i="3"/>
  <c r="O1414" i="3"/>
  <c r="P1414" i="3"/>
  <c r="C1415" i="3"/>
  <c r="E1415" i="3"/>
  <c r="I1415" i="3"/>
  <c r="J1415" i="3"/>
  <c r="O1415" i="3"/>
  <c r="P1415" i="3"/>
  <c r="C1416" i="3"/>
  <c r="E1416" i="3"/>
  <c r="I1416" i="3"/>
  <c r="J1416" i="3"/>
  <c r="O1416" i="3"/>
  <c r="P1416" i="3"/>
  <c r="C1417" i="3"/>
  <c r="E1417" i="3"/>
  <c r="I1417" i="3"/>
  <c r="J1417" i="3"/>
  <c r="O1417" i="3"/>
  <c r="P1417" i="3"/>
  <c r="C1418" i="3"/>
  <c r="E1418" i="3"/>
  <c r="I1418" i="3"/>
  <c r="J1418" i="3"/>
  <c r="O1418" i="3"/>
  <c r="P1418" i="3"/>
  <c r="C1419" i="3"/>
  <c r="E1419" i="3"/>
  <c r="I1419" i="3"/>
  <c r="J1419" i="3"/>
  <c r="O1419" i="3"/>
  <c r="P1419" i="3"/>
  <c r="C1420" i="3"/>
  <c r="E1420" i="3"/>
  <c r="I1420" i="3"/>
  <c r="J1420" i="3"/>
  <c r="O1420" i="3"/>
  <c r="P1420" i="3"/>
  <c r="C1421" i="3"/>
  <c r="E1421" i="3"/>
  <c r="I1421" i="3"/>
  <c r="J1421" i="3"/>
  <c r="O1421" i="3"/>
  <c r="P1421" i="3"/>
  <c r="C1422" i="3"/>
  <c r="E1422" i="3"/>
  <c r="I1422" i="3"/>
  <c r="J1422" i="3"/>
  <c r="O1422" i="3"/>
  <c r="P1422" i="3"/>
  <c r="C1423" i="3"/>
  <c r="E1423" i="3"/>
  <c r="I1423" i="3"/>
  <c r="J1423" i="3"/>
  <c r="O1423" i="3"/>
  <c r="P1423" i="3"/>
  <c r="C1424" i="3"/>
  <c r="E1424" i="3"/>
  <c r="I1424" i="3"/>
  <c r="J1424" i="3"/>
  <c r="O1424" i="3"/>
  <c r="P1424" i="3"/>
  <c r="C1425" i="3"/>
  <c r="E1425" i="3"/>
  <c r="I1425" i="3"/>
  <c r="J1425" i="3"/>
  <c r="O1425" i="3"/>
  <c r="P1425" i="3"/>
  <c r="C1426" i="3"/>
  <c r="E1426" i="3"/>
  <c r="I1426" i="3"/>
  <c r="J1426" i="3"/>
  <c r="O1426" i="3"/>
  <c r="P1426" i="3"/>
  <c r="C1427" i="3"/>
  <c r="E1427" i="3"/>
  <c r="I1427" i="3"/>
  <c r="J1427" i="3"/>
  <c r="O1427" i="3"/>
  <c r="P1427" i="3"/>
  <c r="C1428" i="3"/>
  <c r="E1428" i="3"/>
  <c r="I1428" i="3"/>
  <c r="J1428" i="3"/>
  <c r="O1428" i="3"/>
  <c r="P1428" i="3"/>
  <c r="C1429" i="3"/>
  <c r="E1429" i="3"/>
  <c r="I1429" i="3"/>
  <c r="J1429" i="3"/>
  <c r="O1429" i="3"/>
  <c r="P1429" i="3"/>
  <c r="C1430" i="3"/>
  <c r="E1430" i="3"/>
  <c r="I1430" i="3"/>
  <c r="J1430" i="3"/>
  <c r="O1430" i="3"/>
  <c r="P1430" i="3"/>
  <c r="C2" i="2"/>
  <c r="E2" i="2"/>
  <c r="I2" i="2"/>
  <c r="J2" i="2"/>
  <c r="K2" i="2"/>
  <c r="C3" i="2"/>
  <c r="E3" i="2"/>
  <c r="I3" i="2"/>
  <c r="J3" i="2"/>
  <c r="K3" i="2"/>
  <c r="C4" i="2"/>
  <c r="E4" i="2"/>
  <c r="I4" i="2"/>
  <c r="J4" i="2"/>
  <c r="K4" i="2"/>
  <c r="C5" i="2"/>
  <c r="E5" i="2"/>
  <c r="I5" i="2"/>
  <c r="J5" i="2"/>
  <c r="K5" i="2"/>
  <c r="C6" i="2"/>
  <c r="E6" i="2"/>
  <c r="I6" i="2"/>
  <c r="J6" i="2"/>
  <c r="K6" i="2"/>
  <c r="C7" i="2"/>
  <c r="E7" i="2"/>
  <c r="I7" i="2"/>
  <c r="J7" i="2"/>
  <c r="K7" i="2"/>
  <c r="C8" i="2"/>
  <c r="E8" i="2"/>
  <c r="I8" i="2"/>
  <c r="J8" i="2"/>
  <c r="K8" i="2"/>
  <c r="C9" i="2"/>
  <c r="E9" i="2"/>
  <c r="I9" i="2"/>
  <c r="J9" i="2"/>
  <c r="K9" i="2"/>
  <c r="C10" i="2"/>
  <c r="E10" i="2"/>
  <c r="I10" i="2"/>
  <c r="J10" i="2"/>
  <c r="K10" i="2"/>
  <c r="C11" i="2"/>
  <c r="E11" i="2"/>
  <c r="I11" i="2"/>
  <c r="J11" i="2"/>
  <c r="K11" i="2"/>
  <c r="C12" i="2"/>
  <c r="E12" i="2"/>
  <c r="I12" i="2"/>
  <c r="J12" i="2"/>
  <c r="K12" i="2"/>
  <c r="C13" i="2"/>
  <c r="E13" i="2"/>
  <c r="I13" i="2"/>
  <c r="J13" i="2"/>
  <c r="K13" i="2"/>
  <c r="C14" i="2"/>
  <c r="E14" i="2"/>
  <c r="I14" i="2"/>
  <c r="J14" i="2"/>
  <c r="K14" i="2"/>
  <c r="C15" i="2"/>
  <c r="E15" i="2"/>
  <c r="I15" i="2"/>
  <c r="J15" i="2"/>
  <c r="K15" i="2"/>
  <c r="C16" i="2"/>
  <c r="E16" i="2"/>
  <c r="I16" i="2"/>
  <c r="J16" i="2"/>
  <c r="K16" i="2"/>
  <c r="C17" i="2"/>
  <c r="E17" i="2"/>
  <c r="I17" i="2"/>
  <c r="J17" i="2"/>
  <c r="K17" i="2"/>
  <c r="C18" i="2"/>
  <c r="E18" i="2"/>
  <c r="I18" i="2"/>
  <c r="J18" i="2"/>
  <c r="K18" i="2"/>
  <c r="C19" i="2"/>
  <c r="E19" i="2"/>
  <c r="I19" i="2"/>
  <c r="J19" i="2"/>
  <c r="K19" i="2"/>
  <c r="C20" i="2"/>
  <c r="E20" i="2"/>
  <c r="I20" i="2"/>
  <c r="J20" i="2"/>
  <c r="K20" i="2"/>
  <c r="C21" i="2"/>
  <c r="E21" i="2"/>
  <c r="I21" i="2"/>
  <c r="J21" i="2"/>
  <c r="K21" i="2"/>
  <c r="C22" i="2"/>
  <c r="E22" i="2"/>
  <c r="I22" i="2"/>
  <c r="J22" i="2"/>
  <c r="K22" i="2"/>
  <c r="C23" i="2"/>
  <c r="E23" i="2"/>
  <c r="I23" i="2"/>
  <c r="J23" i="2"/>
  <c r="K23" i="2"/>
  <c r="C24" i="2"/>
  <c r="E24" i="2"/>
  <c r="I24" i="2"/>
  <c r="J24" i="2"/>
  <c r="K24" i="2"/>
  <c r="C25" i="2"/>
  <c r="E25" i="2"/>
  <c r="I25" i="2"/>
  <c r="J25" i="2"/>
  <c r="K25" i="2"/>
  <c r="C26" i="2"/>
  <c r="E26" i="2"/>
  <c r="I26" i="2"/>
  <c r="J26" i="2"/>
  <c r="K26" i="2"/>
  <c r="C27" i="2"/>
  <c r="E27" i="2"/>
  <c r="I27" i="2"/>
  <c r="J27" i="2"/>
  <c r="K27" i="2"/>
  <c r="C28" i="2"/>
  <c r="E28" i="2"/>
  <c r="I28" i="2"/>
  <c r="J28" i="2"/>
  <c r="K28" i="2"/>
  <c r="C29" i="2"/>
  <c r="E29" i="2"/>
  <c r="I29" i="2"/>
  <c r="J29" i="2"/>
  <c r="K29" i="2"/>
  <c r="C30" i="2"/>
  <c r="E30" i="2"/>
  <c r="I30" i="2"/>
  <c r="J30" i="2"/>
  <c r="K30" i="2"/>
  <c r="C31" i="2"/>
  <c r="E31" i="2"/>
  <c r="I31" i="2"/>
  <c r="J31" i="2"/>
  <c r="K31" i="2"/>
  <c r="C32" i="2"/>
  <c r="E32" i="2"/>
  <c r="I32" i="2"/>
  <c r="J32" i="2"/>
  <c r="K32" i="2"/>
  <c r="C33" i="2"/>
  <c r="E33" i="2"/>
  <c r="I33" i="2"/>
  <c r="J33" i="2"/>
  <c r="K33" i="2"/>
  <c r="C34" i="2"/>
  <c r="E34" i="2"/>
  <c r="I34" i="2"/>
  <c r="J34" i="2"/>
  <c r="K34" i="2"/>
  <c r="C35" i="2"/>
  <c r="E35" i="2"/>
  <c r="I35" i="2"/>
  <c r="J35" i="2"/>
  <c r="K35" i="2"/>
  <c r="C36" i="2"/>
  <c r="E36" i="2"/>
  <c r="I36" i="2"/>
  <c r="J36" i="2"/>
  <c r="K36" i="2"/>
  <c r="C37" i="2"/>
  <c r="E37" i="2"/>
  <c r="I37" i="2"/>
  <c r="J37" i="2"/>
  <c r="K37" i="2"/>
  <c r="C38" i="2"/>
  <c r="E38" i="2"/>
  <c r="I38" i="2"/>
  <c r="J38" i="2"/>
  <c r="K38" i="2"/>
  <c r="C39" i="2"/>
  <c r="E39" i="2"/>
  <c r="I39" i="2"/>
  <c r="J39" i="2"/>
  <c r="K39" i="2"/>
  <c r="C40" i="2"/>
  <c r="E40" i="2"/>
  <c r="I40" i="2"/>
  <c r="J40" i="2"/>
  <c r="K40" i="2"/>
  <c r="C41" i="2"/>
  <c r="E41" i="2"/>
  <c r="I41" i="2"/>
  <c r="J41" i="2"/>
  <c r="K41" i="2"/>
  <c r="C42" i="2"/>
  <c r="E42" i="2"/>
  <c r="I42" i="2"/>
  <c r="J42" i="2"/>
  <c r="K42" i="2"/>
  <c r="C43" i="2"/>
  <c r="E43" i="2"/>
  <c r="I43" i="2"/>
  <c r="J43" i="2"/>
  <c r="K43" i="2"/>
  <c r="C44" i="2"/>
  <c r="E44" i="2"/>
  <c r="I44" i="2"/>
  <c r="J44" i="2"/>
  <c r="K44" i="2"/>
  <c r="C45" i="2"/>
  <c r="E45" i="2"/>
  <c r="I45" i="2"/>
  <c r="J45" i="2"/>
  <c r="K45" i="2"/>
  <c r="C46" i="2"/>
  <c r="E46" i="2"/>
  <c r="I46" i="2"/>
  <c r="J46" i="2"/>
  <c r="K46" i="2"/>
  <c r="C47" i="2"/>
  <c r="E47" i="2"/>
  <c r="I47" i="2"/>
  <c r="J47" i="2"/>
  <c r="K47" i="2"/>
  <c r="C48" i="2"/>
  <c r="E48" i="2"/>
  <c r="I48" i="2"/>
  <c r="J48" i="2"/>
  <c r="K48" i="2"/>
  <c r="C49" i="2"/>
  <c r="E49" i="2"/>
  <c r="I49" i="2"/>
  <c r="J49" i="2"/>
  <c r="K49" i="2"/>
  <c r="C50" i="2"/>
  <c r="E50" i="2"/>
  <c r="I50" i="2"/>
  <c r="J50" i="2"/>
  <c r="K50" i="2"/>
  <c r="C51" i="2"/>
  <c r="E51" i="2"/>
  <c r="I51" i="2"/>
  <c r="J51" i="2"/>
  <c r="K51" i="2"/>
  <c r="C52" i="2"/>
  <c r="E52" i="2"/>
  <c r="I52" i="2"/>
  <c r="J52" i="2"/>
  <c r="K52" i="2"/>
  <c r="C53" i="2"/>
  <c r="E53" i="2"/>
  <c r="I53" i="2"/>
  <c r="J53" i="2"/>
  <c r="K53" i="2"/>
  <c r="C54" i="2"/>
  <c r="E54" i="2"/>
  <c r="I54" i="2"/>
  <c r="J54" i="2"/>
  <c r="K54" i="2"/>
  <c r="C55" i="2"/>
  <c r="E55" i="2"/>
  <c r="I55" i="2"/>
  <c r="J55" i="2"/>
  <c r="K55" i="2"/>
  <c r="C56" i="2"/>
  <c r="E56" i="2"/>
  <c r="I56" i="2"/>
  <c r="J56" i="2"/>
  <c r="K56" i="2"/>
  <c r="C57" i="2"/>
  <c r="E57" i="2"/>
  <c r="I57" i="2"/>
  <c r="J57" i="2"/>
  <c r="K57" i="2"/>
  <c r="C58" i="2"/>
  <c r="E58" i="2"/>
  <c r="I58" i="2"/>
  <c r="J58" i="2"/>
  <c r="K58" i="2"/>
  <c r="C59" i="2"/>
  <c r="E59" i="2"/>
  <c r="I59" i="2"/>
  <c r="J59" i="2"/>
  <c r="K59" i="2"/>
  <c r="C60" i="2"/>
  <c r="E60" i="2"/>
  <c r="I60" i="2"/>
  <c r="J60" i="2"/>
  <c r="K60" i="2"/>
  <c r="C61" i="2"/>
  <c r="E61" i="2"/>
  <c r="I61" i="2"/>
  <c r="J61" i="2"/>
  <c r="K61" i="2"/>
  <c r="C62" i="2"/>
  <c r="E62" i="2"/>
  <c r="I62" i="2"/>
  <c r="J62" i="2"/>
  <c r="K62" i="2"/>
  <c r="C63" i="2"/>
  <c r="E63" i="2"/>
  <c r="I63" i="2"/>
  <c r="J63" i="2"/>
  <c r="K63" i="2"/>
  <c r="C64" i="2"/>
  <c r="E64" i="2"/>
  <c r="I64" i="2"/>
  <c r="J64" i="2"/>
  <c r="K64" i="2"/>
  <c r="C65" i="2"/>
  <c r="E65" i="2"/>
  <c r="I65" i="2"/>
  <c r="J65" i="2"/>
  <c r="K65" i="2"/>
  <c r="C66" i="2"/>
  <c r="E66" i="2"/>
  <c r="I66" i="2"/>
  <c r="J66" i="2"/>
  <c r="K66" i="2"/>
  <c r="C67" i="2"/>
  <c r="E67" i="2"/>
  <c r="I67" i="2"/>
  <c r="J67" i="2"/>
  <c r="K67" i="2"/>
  <c r="C68" i="2"/>
  <c r="E68" i="2"/>
  <c r="I68" i="2"/>
  <c r="J68" i="2"/>
  <c r="K68" i="2"/>
  <c r="C69" i="2"/>
  <c r="E69" i="2"/>
  <c r="I69" i="2"/>
  <c r="J69" i="2"/>
  <c r="K69" i="2"/>
  <c r="C70" i="2"/>
  <c r="E70" i="2"/>
  <c r="I70" i="2"/>
  <c r="J70" i="2"/>
  <c r="K70" i="2"/>
  <c r="C71" i="2"/>
  <c r="E71" i="2"/>
  <c r="I71" i="2"/>
  <c r="J71" i="2"/>
  <c r="K71" i="2"/>
  <c r="C72" i="2"/>
  <c r="E72" i="2"/>
  <c r="I72" i="2"/>
  <c r="J72" i="2"/>
  <c r="K72" i="2"/>
  <c r="C73" i="2"/>
  <c r="E73" i="2"/>
  <c r="I73" i="2"/>
  <c r="J73" i="2"/>
  <c r="K73" i="2"/>
  <c r="C74" i="2"/>
  <c r="E74" i="2"/>
  <c r="I74" i="2"/>
  <c r="J74" i="2"/>
  <c r="K74" i="2"/>
  <c r="C75" i="2"/>
  <c r="E75" i="2"/>
  <c r="I75" i="2"/>
  <c r="J75" i="2"/>
  <c r="K75" i="2"/>
  <c r="C76" i="2"/>
  <c r="E76" i="2"/>
  <c r="I76" i="2"/>
  <c r="J76" i="2"/>
  <c r="K76" i="2"/>
  <c r="C77" i="2"/>
  <c r="E77" i="2"/>
  <c r="I77" i="2"/>
  <c r="J77" i="2"/>
  <c r="K77" i="2"/>
  <c r="C78" i="2"/>
  <c r="E78" i="2"/>
  <c r="I78" i="2"/>
  <c r="J78" i="2"/>
  <c r="K78" i="2"/>
  <c r="C79" i="2"/>
  <c r="E79" i="2"/>
  <c r="I79" i="2"/>
  <c r="J79" i="2"/>
  <c r="K79" i="2"/>
  <c r="C80" i="2"/>
  <c r="E80" i="2"/>
  <c r="I80" i="2"/>
  <c r="J80" i="2"/>
  <c r="K80" i="2"/>
  <c r="C81" i="2"/>
  <c r="E81" i="2"/>
  <c r="I81" i="2"/>
  <c r="J81" i="2"/>
  <c r="K81" i="2"/>
  <c r="C82" i="2"/>
  <c r="E82" i="2"/>
  <c r="I82" i="2"/>
  <c r="J82" i="2"/>
  <c r="K82" i="2"/>
  <c r="C83" i="2"/>
  <c r="E83" i="2"/>
  <c r="I83" i="2"/>
  <c r="J83" i="2"/>
  <c r="K83" i="2"/>
  <c r="C84" i="2"/>
  <c r="E84" i="2"/>
  <c r="I84" i="2"/>
  <c r="J84" i="2"/>
  <c r="K84" i="2"/>
  <c r="C85" i="2"/>
  <c r="E85" i="2"/>
  <c r="I85" i="2"/>
  <c r="J85" i="2"/>
  <c r="K85" i="2"/>
  <c r="C86" i="2"/>
  <c r="E86" i="2"/>
  <c r="I86" i="2"/>
  <c r="J86" i="2"/>
  <c r="K86" i="2"/>
  <c r="C87" i="2"/>
  <c r="E87" i="2"/>
  <c r="I87" i="2"/>
  <c r="J87" i="2"/>
  <c r="K87" i="2"/>
  <c r="C88" i="2"/>
  <c r="E88" i="2"/>
  <c r="I88" i="2"/>
  <c r="J88" i="2"/>
  <c r="K88" i="2"/>
  <c r="C89" i="2"/>
  <c r="E89" i="2"/>
  <c r="I89" i="2"/>
  <c r="J89" i="2"/>
  <c r="K89" i="2"/>
  <c r="C90" i="2"/>
  <c r="E90" i="2"/>
  <c r="I90" i="2"/>
  <c r="J90" i="2"/>
  <c r="K90" i="2"/>
  <c r="C91" i="2"/>
  <c r="E91" i="2"/>
  <c r="I91" i="2"/>
  <c r="J91" i="2"/>
  <c r="K91" i="2"/>
  <c r="C92" i="2"/>
  <c r="E92" i="2"/>
  <c r="I92" i="2"/>
  <c r="J92" i="2"/>
  <c r="K92" i="2"/>
  <c r="C93" i="2"/>
  <c r="E93" i="2"/>
  <c r="I93" i="2"/>
  <c r="J93" i="2"/>
  <c r="K93" i="2"/>
  <c r="C94" i="2"/>
  <c r="E94" i="2"/>
  <c r="I94" i="2"/>
  <c r="J94" i="2"/>
  <c r="K94" i="2"/>
  <c r="C95" i="2"/>
  <c r="E95" i="2"/>
  <c r="I95" i="2"/>
  <c r="J95" i="2"/>
  <c r="K95" i="2"/>
  <c r="C96" i="2"/>
  <c r="E96" i="2"/>
  <c r="I96" i="2"/>
  <c r="J96" i="2"/>
  <c r="K96" i="2"/>
  <c r="C97" i="2"/>
  <c r="E97" i="2"/>
  <c r="I97" i="2"/>
  <c r="J97" i="2"/>
  <c r="K97" i="2"/>
  <c r="C98" i="2"/>
  <c r="E98" i="2"/>
  <c r="I98" i="2"/>
  <c r="J98" i="2"/>
  <c r="K98" i="2"/>
  <c r="C99" i="2"/>
  <c r="E99" i="2"/>
  <c r="I99" i="2"/>
  <c r="J99" i="2"/>
  <c r="K99" i="2"/>
  <c r="C100" i="2"/>
  <c r="E100" i="2"/>
  <c r="I100" i="2"/>
  <c r="J100" i="2"/>
  <c r="K100" i="2"/>
  <c r="C101" i="2"/>
  <c r="E101" i="2"/>
  <c r="I101" i="2"/>
  <c r="J101" i="2"/>
  <c r="K101" i="2"/>
  <c r="C102" i="2"/>
  <c r="E102" i="2"/>
  <c r="I102" i="2"/>
  <c r="J102" i="2"/>
  <c r="K102" i="2"/>
  <c r="C103" i="2"/>
  <c r="E103" i="2"/>
  <c r="I103" i="2"/>
  <c r="J103" i="2"/>
  <c r="K103" i="2"/>
  <c r="C104" i="2"/>
  <c r="E104" i="2"/>
  <c r="I104" i="2"/>
  <c r="J104" i="2"/>
  <c r="K104" i="2"/>
  <c r="C105" i="2"/>
  <c r="E105" i="2"/>
  <c r="I105" i="2"/>
  <c r="J105" i="2"/>
  <c r="K105" i="2"/>
  <c r="C106" i="2"/>
  <c r="E106" i="2"/>
  <c r="I106" i="2"/>
  <c r="J106" i="2"/>
  <c r="K106" i="2"/>
  <c r="C107" i="2"/>
  <c r="E107" i="2"/>
  <c r="I107" i="2"/>
  <c r="J107" i="2"/>
  <c r="K107" i="2"/>
  <c r="C108" i="2"/>
  <c r="E108" i="2"/>
  <c r="I108" i="2"/>
  <c r="J108" i="2"/>
  <c r="K108" i="2"/>
  <c r="C109" i="2"/>
  <c r="E109" i="2"/>
  <c r="I109" i="2"/>
  <c r="J109" i="2"/>
  <c r="K109" i="2"/>
  <c r="C110" i="2"/>
  <c r="E110" i="2"/>
  <c r="I110" i="2"/>
  <c r="J110" i="2"/>
  <c r="K110" i="2"/>
  <c r="C111" i="2"/>
  <c r="E111" i="2"/>
  <c r="I111" i="2"/>
  <c r="J111" i="2"/>
  <c r="K111" i="2"/>
  <c r="C112" i="2"/>
  <c r="E112" i="2"/>
  <c r="I112" i="2"/>
  <c r="J112" i="2"/>
  <c r="K112" i="2"/>
  <c r="C113" i="2"/>
  <c r="E113" i="2"/>
  <c r="I113" i="2"/>
  <c r="J113" i="2"/>
  <c r="K113" i="2"/>
  <c r="C114" i="2"/>
  <c r="E114" i="2"/>
  <c r="I114" i="2"/>
  <c r="J114" i="2"/>
  <c r="K114" i="2"/>
  <c r="C115" i="2"/>
  <c r="E115" i="2"/>
  <c r="I115" i="2"/>
  <c r="J115" i="2"/>
  <c r="K115" i="2"/>
  <c r="C116" i="2"/>
  <c r="E116" i="2"/>
  <c r="I116" i="2"/>
  <c r="J116" i="2"/>
  <c r="K116" i="2"/>
  <c r="C117" i="2"/>
  <c r="E117" i="2"/>
  <c r="I117" i="2"/>
  <c r="J117" i="2"/>
  <c r="K117" i="2"/>
  <c r="C118" i="2"/>
  <c r="E118" i="2"/>
  <c r="I118" i="2"/>
  <c r="J118" i="2"/>
  <c r="K118" i="2"/>
  <c r="C119" i="2"/>
  <c r="E119" i="2"/>
  <c r="I119" i="2"/>
  <c r="J119" i="2"/>
  <c r="K119" i="2"/>
  <c r="C120" i="2"/>
  <c r="E120" i="2"/>
  <c r="I120" i="2"/>
  <c r="J120" i="2"/>
  <c r="K120" i="2"/>
  <c r="C121" i="2"/>
  <c r="E121" i="2"/>
  <c r="I121" i="2"/>
  <c r="J121" i="2"/>
  <c r="K121" i="2"/>
  <c r="C122" i="2"/>
  <c r="E122" i="2"/>
  <c r="I122" i="2"/>
  <c r="J122" i="2"/>
  <c r="K122" i="2"/>
  <c r="C123" i="2"/>
  <c r="E123" i="2"/>
  <c r="I123" i="2"/>
  <c r="J123" i="2"/>
  <c r="K123" i="2"/>
  <c r="C124" i="2"/>
  <c r="E124" i="2"/>
  <c r="I124" i="2"/>
  <c r="J124" i="2"/>
  <c r="K124" i="2"/>
  <c r="C125" i="2"/>
  <c r="E125" i="2"/>
  <c r="I125" i="2"/>
  <c r="J125" i="2"/>
  <c r="K125" i="2"/>
  <c r="C126" i="2"/>
  <c r="E126" i="2"/>
  <c r="I126" i="2"/>
  <c r="J126" i="2"/>
  <c r="K126" i="2"/>
  <c r="C127" i="2"/>
  <c r="E127" i="2"/>
  <c r="I127" i="2"/>
  <c r="J127" i="2"/>
  <c r="K127" i="2"/>
  <c r="C128" i="2"/>
  <c r="E128" i="2"/>
  <c r="I128" i="2"/>
  <c r="J128" i="2"/>
  <c r="K128" i="2"/>
  <c r="C129" i="2"/>
  <c r="E129" i="2"/>
  <c r="I129" i="2"/>
  <c r="J129" i="2"/>
  <c r="K129" i="2"/>
  <c r="C130" i="2"/>
  <c r="E130" i="2"/>
  <c r="I130" i="2"/>
  <c r="J130" i="2"/>
  <c r="K130" i="2"/>
  <c r="C131" i="2"/>
  <c r="E131" i="2"/>
  <c r="I131" i="2"/>
  <c r="J131" i="2"/>
  <c r="K131" i="2"/>
  <c r="C2" i="1"/>
  <c r="E2" i="1"/>
  <c r="C3" i="1"/>
  <c r="E3" i="1"/>
  <c r="C4" i="1"/>
  <c r="E4" i="1"/>
  <c r="C5" i="1"/>
  <c r="E5" i="1"/>
  <c r="C6" i="1"/>
  <c r="E6" i="1"/>
  <c r="C7" i="1"/>
  <c r="E7" i="1"/>
  <c r="C8" i="1"/>
  <c r="E8" i="1"/>
  <c r="C9" i="1"/>
  <c r="E9" i="1"/>
  <c r="C10" i="1"/>
  <c r="E10" i="1"/>
  <c r="C11" i="1"/>
  <c r="E11" i="1"/>
  <c r="C12" i="1"/>
  <c r="E12" i="1"/>
  <c r="C13" i="1"/>
  <c r="E13" i="1"/>
  <c r="C14" i="1"/>
  <c r="E14" i="1"/>
  <c r="C15" i="1"/>
  <c r="E15" i="1"/>
</calcChain>
</file>

<file path=xl/sharedStrings.xml><?xml version="1.0" encoding="utf-8"?>
<sst xmlns="http://schemas.openxmlformats.org/spreadsheetml/2006/main" count="3188" uniqueCount="39">
  <si>
    <t>PR</t>
  </si>
  <si>
    <t>Aalst-Oudenaarde</t>
  </si>
  <si>
    <t>Antwerpen</t>
  </si>
  <si>
    <t>Brugge</t>
  </si>
  <si>
    <t>Dendermonde-Sint-Niklaas</t>
  </si>
  <si>
    <t>Gent</t>
  </si>
  <si>
    <t>Halle-Vilvoorde</t>
  </si>
  <si>
    <t>Hasselt</t>
  </si>
  <si>
    <t>Ieper-Oostende-Diksmuide</t>
  </si>
  <si>
    <t>Kortrijk-Roeselare-Tielt</t>
  </si>
  <si>
    <t>Leuven</t>
  </si>
  <si>
    <t>Maaseik</t>
  </si>
  <si>
    <t>Mechelen</t>
  </si>
  <si>
    <t>Tongeren</t>
  </si>
  <si>
    <t>Turnhout</t>
  </si>
  <si>
    <t>type</t>
  </si>
  <si>
    <t>datum</t>
  </si>
  <si>
    <t>NIS</t>
  </si>
  <si>
    <t>mandaten</t>
  </si>
  <si>
    <t>ingeschreven kiezers</t>
  </si>
  <si>
    <t>totaal stembiljetten</t>
  </si>
  <si>
    <t>blanco&amp;ongeldig</t>
  </si>
  <si>
    <t>verkregen zetels</t>
  </si>
  <si>
    <t>stemcijfer</t>
  </si>
  <si>
    <t>lijststemmen cat.2</t>
  </si>
  <si>
    <t>lijststemmen cat.1</t>
  </si>
  <si>
    <t>aantal
kandidaten</t>
  </si>
  <si>
    <t>lijst</t>
  </si>
  <si>
    <t>lijstnr</t>
  </si>
  <si>
    <t>totaal
stembiljetten</t>
  </si>
  <si>
    <t>ingeschreven
kiezers</t>
  </si>
  <si>
    <t>opvolger</t>
  </si>
  <si>
    <t>verkozen</t>
  </si>
  <si>
    <t>naamstemmen</t>
  </si>
  <si>
    <t>naam stembiljet</t>
  </si>
  <si>
    <t>volgnr</t>
  </si>
  <si>
    <t>kieskring (PR-district)</t>
  </si>
  <si>
    <t>stembiljetten cat.1</t>
  </si>
  <si>
    <t>stembiljetten cat.2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</si>
</sst>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6763-7BD6-4696-B4EA-7E07D754C0C8}">
  <dimension ref="A1:H16"/>
  <sheetViews>
    <sheetView tabSelected="1" workbookViewId="0">
      <selection activeCell="F3" sqref="F3"/>
    </sheetView>
  </sheetViews>
  <sheetFormatPr defaultColWidth="11.5546875" defaultRowHeight="14.4" x14ac:dyDescent="0.3"/>
  <cols>
    <col min="4" max="4" width="19.21875" customWidth="1"/>
    <col min="6" max="6" width="18.88671875" bestFit="1" customWidth="1"/>
    <col min="7" max="7" width="17.77734375" bestFit="1" customWidth="1"/>
    <col min="8" max="8" width="20.33203125" customWidth="1"/>
  </cols>
  <sheetData>
    <row r="1" spans="1:8" x14ac:dyDescent="0.3">
      <c r="A1" t="s">
        <v>15</v>
      </c>
      <c r="B1" t="s">
        <v>16</v>
      </c>
      <c r="C1" t="s">
        <v>17</v>
      </c>
      <c r="D1" t="s">
        <v>36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0</v>
      </c>
      <c r="B2" s="1">
        <v>45578</v>
      </c>
      <c r="C2" t="str">
        <f>("41002")</f>
        <v>41002</v>
      </c>
      <c r="D2" t="s">
        <v>1</v>
      </c>
      <c r="E2" t="str">
        <f>("10")</f>
        <v>10</v>
      </c>
      <c r="F2">
        <v>326041</v>
      </c>
      <c r="G2">
        <v>211624</v>
      </c>
      <c r="H2">
        <v>8580</v>
      </c>
    </row>
    <row r="3" spans="1:8" x14ac:dyDescent="0.3">
      <c r="A3" t="s">
        <v>0</v>
      </c>
      <c r="B3" s="1">
        <v>45578</v>
      </c>
      <c r="C3" t="str">
        <f>("11002")</f>
        <v>11002</v>
      </c>
      <c r="D3" t="s">
        <v>2</v>
      </c>
      <c r="E3" t="str">
        <f>("20")</f>
        <v>20</v>
      </c>
      <c r="F3">
        <v>710734</v>
      </c>
      <c r="G3">
        <v>437819</v>
      </c>
      <c r="H3">
        <v>9219</v>
      </c>
    </row>
    <row r="4" spans="1:8" x14ac:dyDescent="0.3">
      <c r="A4" t="s">
        <v>0</v>
      </c>
      <c r="B4" s="1">
        <v>45578</v>
      </c>
      <c r="C4" t="str">
        <f>("31005")</f>
        <v>31005</v>
      </c>
      <c r="D4" t="s">
        <v>3</v>
      </c>
      <c r="E4" t="str">
        <f>("9")</f>
        <v>9</v>
      </c>
      <c r="F4">
        <v>223527</v>
      </c>
      <c r="G4">
        <v>138738</v>
      </c>
      <c r="H4">
        <v>4265</v>
      </c>
    </row>
    <row r="5" spans="1:8" x14ac:dyDescent="0.3">
      <c r="A5" t="s">
        <v>0</v>
      </c>
      <c r="B5" s="1">
        <v>45578</v>
      </c>
      <c r="C5" t="str">
        <f>("46021")</f>
        <v>46021</v>
      </c>
      <c r="D5" t="s">
        <v>4</v>
      </c>
      <c r="E5" t="str">
        <f>("11")</f>
        <v>11</v>
      </c>
      <c r="F5">
        <v>368453</v>
      </c>
      <c r="G5">
        <v>232138</v>
      </c>
      <c r="H5">
        <v>6513</v>
      </c>
    </row>
    <row r="6" spans="1:8" x14ac:dyDescent="0.3">
      <c r="A6" t="s">
        <v>0</v>
      </c>
      <c r="B6" s="1">
        <v>45578</v>
      </c>
      <c r="C6" t="str">
        <f>("44021")</f>
        <v>44021</v>
      </c>
      <c r="D6" t="s">
        <v>5</v>
      </c>
      <c r="E6" t="str">
        <f>("15")</f>
        <v>15</v>
      </c>
      <c r="F6">
        <v>481110</v>
      </c>
      <c r="G6">
        <v>309317</v>
      </c>
      <c r="H6">
        <v>9918</v>
      </c>
    </row>
    <row r="7" spans="1:8" x14ac:dyDescent="0.3">
      <c r="A7" t="s">
        <v>0</v>
      </c>
      <c r="B7" s="1">
        <v>45578</v>
      </c>
      <c r="C7" t="str">
        <f>("23027")</f>
        <v>23027</v>
      </c>
      <c r="D7" t="s">
        <v>6</v>
      </c>
      <c r="E7" t="str">
        <f>("20")</f>
        <v>20</v>
      </c>
      <c r="F7">
        <v>454681</v>
      </c>
      <c r="G7">
        <v>285986</v>
      </c>
      <c r="H7">
        <v>11036</v>
      </c>
    </row>
    <row r="8" spans="1:8" x14ac:dyDescent="0.3">
      <c r="A8" t="s">
        <v>0</v>
      </c>
      <c r="B8" s="1">
        <v>45578</v>
      </c>
      <c r="C8" t="str">
        <f>("71022")</f>
        <v>71022</v>
      </c>
      <c r="D8" t="s">
        <v>7</v>
      </c>
      <c r="E8" t="str">
        <f>("15")</f>
        <v>15</v>
      </c>
      <c r="F8">
        <v>330544</v>
      </c>
      <c r="G8">
        <v>205503</v>
      </c>
      <c r="H8">
        <v>6453</v>
      </c>
    </row>
    <row r="9" spans="1:8" x14ac:dyDescent="0.3">
      <c r="A9" t="s">
        <v>0</v>
      </c>
      <c r="B9" s="1">
        <v>45578</v>
      </c>
      <c r="C9" t="str">
        <f>("33011")</f>
        <v>33011</v>
      </c>
      <c r="D9" t="s">
        <v>8</v>
      </c>
      <c r="E9" t="str">
        <f>("11")</f>
        <v>11</v>
      </c>
      <c r="F9">
        <v>297391</v>
      </c>
      <c r="G9">
        <v>191660</v>
      </c>
      <c r="H9">
        <v>8521</v>
      </c>
    </row>
    <row r="10" spans="1:8" x14ac:dyDescent="0.3">
      <c r="A10" t="s">
        <v>0</v>
      </c>
      <c r="B10" s="1">
        <v>45578</v>
      </c>
      <c r="C10" t="str">
        <f>("34022")</f>
        <v>34022</v>
      </c>
      <c r="D10" t="s">
        <v>9</v>
      </c>
      <c r="E10" t="str">
        <f>("16")</f>
        <v>16</v>
      </c>
      <c r="F10">
        <v>415132</v>
      </c>
      <c r="G10">
        <v>270680</v>
      </c>
      <c r="H10">
        <v>11163</v>
      </c>
    </row>
    <row r="11" spans="1:8" x14ac:dyDescent="0.3">
      <c r="A11" t="s">
        <v>0</v>
      </c>
      <c r="B11" s="1">
        <v>45578</v>
      </c>
      <c r="C11" t="str">
        <f>("24062")</f>
        <v>24062</v>
      </c>
      <c r="D11" t="s">
        <v>10</v>
      </c>
      <c r="E11" t="str">
        <f>("16")</f>
        <v>16</v>
      </c>
      <c r="F11">
        <v>385550</v>
      </c>
      <c r="G11">
        <v>254659</v>
      </c>
      <c r="H11">
        <v>9508</v>
      </c>
    </row>
    <row r="12" spans="1:8" x14ac:dyDescent="0.3">
      <c r="A12" t="s">
        <v>0</v>
      </c>
      <c r="B12" s="1">
        <v>45578</v>
      </c>
      <c r="C12" t="str">
        <f>("72021")</f>
        <v>72021</v>
      </c>
      <c r="D12" t="s">
        <v>11</v>
      </c>
      <c r="E12" t="str">
        <f>("9")</f>
        <v>9</v>
      </c>
      <c r="F12">
        <v>178345</v>
      </c>
      <c r="G12">
        <v>109533</v>
      </c>
      <c r="H12">
        <v>4019</v>
      </c>
    </row>
    <row r="13" spans="1:8" x14ac:dyDescent="0.3">
      <c r="A13" t="s">
        <v>0</v>
      </c>
      <c r="B13" s="1">
        <v>45578</v>
      </c>
      <c r="C13" t="str">
        <f>("12025")</f>
        <v>12025</v>
      </c>
      <c r="D13" t="s">
        <v>12</v>
      </c>
      <c r="E13" t="str">
        <f>("7")</f>
        <v>7</v>
      </c>
      <c r="F13">
        <v>268172</v>
      </c>
      <c r="G13">
        <v>169028</v>
      </c>
      <c r="H13">
        <v>5368</v>
      </c>
    </row>
    <row r="14" spans="1:8" x14ac:dyDescent="0.3">
      <c r="A14" t="s">
        <v>0</v>
      </c>
      <c r="B14" s="1">
        <v>45578</v>
      </c>
      <c r="C14" t="str">
        <f>("73083")</f>
        <v>73083</v>
      </c>
      <c r="D14" t="s">
        <v>13</v>
      </c>
      <c r="E14" t="str">
        <f>("7")</f>
        <v>7</v>
      </c>
      <c r="F14">
        <v>140772</v>
      </c>
      <c r="G14">
        <v>91118</v>
      </c>
      <c r="H14">
        <v>4498</v>
      </c>
    </row>
    <row r="15" spans="1:8" x14ac:dyDescent="0.3">
      <c r="A15" t="s">
        <v>0</v>
      </c>
      <c r="B15" s="1">
        <v>45578</v>
      </c>
      <c r="C15" t="str">
        <f>("13040")</f>
        <v>13040</v>
      </c>
      <c r="D15" t="s">
        <v>14</v>
      </c>
      <c r="E15" t="str">
        <f>("9")</f>
        <v>9</v>
      </c>
      <c r="F15">
        <v>346855</v>
      </c>
      <c r="G15">
        <v>220759</v>
      </c>
      <c r="H15">
        <v>8311</v>
      </c>
    </row>
    <row r="16" spans="1:8" x14ac:dyDescent="0.3">
      <c r="F16">
        <f>SUM(F2:F15)</f>
        <v>4927307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AE86-E3ED-49DE-B414-00A2FEF55516}">
  <dimension ref="A1:O131"/>
  <sheetViews>
    <sheetView workbookViewId="0">
      <selection activeCell="S19" sqref="S19"/>
    </sheetView>
  </sheetViews>
  <sheetFormatPr defaultColWidth="11.5546875" defaultRowHeight="14.4" x14ac:dyDescent="0.3"/>
  <cols>
    <col min="4" max="4" width="23.6640625" customWidth="1"/>
  </cols>
  <sheetData>
    <row r="1" spans="1:15" ht="43.2" x14ac:dyDescent="0.3">
      <c r="A1" t="s">
        <v>15</v>
      </c>
      <c r="B1" t="s">
        <v>16</v>
      </c>
      <c r="C1" t="s">
        <v>17</v>
      </c>
      <c r="D1" t="s">
        <v>36</v>
      </c>
      <c r="E1" t="s">
        <v>18</v>
      </c>
      <c r="F1" s="3" t="s">
        <v>30</v>
      </c>
      <c r="G1" s="3" t="s">
        <v>29</v>
      </c>
      <c r="H1" s="2" t="s">
        <v>21</v>
      </c>
      <c r="I1" s="4" t="s">
        <v>28</v>
      </c>
      <c r="J1" s="4" t="s">
        <v>27</v>
      </c>
      <c r="K1" s="3" t="s">
        <v>26</v>
      </c>
      <c r="L1" s="2" t="s">
        <v>25</v>
      </c>
      <c r="M1" s="2" t="s">
        <v>24</v>
      </c>
      <c r="N1" s="2" t="s">
        <v>23</v>
      </c>
      <c r="O1" s="2" t="s">
        <v>22</v>
      </c>
    </row>
    <row r="2" spans="1:15" x14ac:dyDescent="0.3">
      <c r="A2" t="s">
        <v>0</v>
      </c>
      <c r="B2" s="1">
        <v>45578</v>
      </c>
      <c r="C2" t="str">
        <f t="shared" ref="C2:C8" si="0">("41002")</f>
        <v>41002</v>
      </c>
      <c r="D2" t="s">
        <v>1</v>
      </c>
      <c r="E2" t="str">
        <f t="shared" ref="E2:E8" si="1">("10")</f>
        <v>10</v>
      </c>
      <c r="F2">
        <v>326041</v>
      </c>
      <c r="G2">
        <v>211624</v>
      </c>
      <c r="H2">
        <v>8580</v>
      </c>
      <c r="I2" t="str">
        <f>("1")</f>
        <v>1</v>
      </c>
      <c r="J2" t="str">
        <f>("Vooruit")</f>
        <v>Vooruit</v>
      </c>
      <c r="K2" t="str">
        <f t="shared" ref="K2:K8" si="2">("10")</f>
        <v>10</v>
      </c>
      <c r="L2">
        <v>14185</v>
      </c>
      <c r="M2">
        <v>11632</v>
      </c>
      <c r="N2">
        <v>25817</v>
      </c>
      <c r="O2">
        <v>1</v>
      </c>
    </row>
    <row r="3" spans="1:15" x14ac:dyDescent="0.3">
      <c r="A3" t="s">
        <v>0</v>
      </c>
      <c r="B3" s="1">
        <v>45578</v>
      </c>
      <c r="C3" t="str">
        <f t="shared" si="0"/>
        <v>41002</v>
      </c>
      <c r="D3" t="s">
        <v>1</v>
      </c>
      <c r="E3" t="str">
        <f t="shared" si="1"/>
        <v>10</v>
      </c>
      <c r="F3">
        <v>326041</v>
      </c>
      <c r="G3">
        <v>211624</v>
      </c>
      <c r="H3">
        <v>8580</v>
      </c>
      <c r="I3" t="str">
        <f>("2")</f>
        <v>2</v>
      </c>
      <c r="J3" t="str">
        <f>("PVDA")</f>
        <v>PVDA</v>
      </c>
      <c r="K3" t="str">
        <f t="shared" si="2"/>
        <v>10</v>
      </c>
      <c r="L3">
        <v>3623</v>
      </c>
      <c r="M3">
        <v>3128</v>
      </c>
      <c r="N3">
        <v>6751</v>
      </c>
      <c r="O3">
        <v>0</v>
      </c>
    </row>
    <row r="4" spans="1:15" x14ac:dyDescent="0.3">
      <c r="A4" t="s">
        <v>0</v>
      </c>
      <c r="B4" s="1">
        <v>45578</v>
      </c>
      <c r="C4" t="str">
        <f t="shared" si="0"/>
        <v>41002</v>
      </c>
      <c r="D4" t="s">
        <v>1</v>
      </c>
      <c r="E4" t="str">
        <f t="shared" si="1"/>
        <v>10</v>
      </c>
      <c r="F4">
        <v>326041</v>
      </c>
      <c r="G4">
        <v>211624</v>
      </c>
      <c r="H4">
        <v>8580</v>
      </c>
      <c r="I4" t="str">
        <f>("3")</f>
        <v>3</v>
      </c>
      <c r="J4" t="str">
        <f>("cd&amp;v")</f>
        <v>cd&amp;v</v>
      </c>
      <c r="K4" t="str">
        <f t="shared" si="2"/>
        <v>10</v>
      </c>
      <c r="L4">
        <v>12931</v>
      </c>
      <c r="M4">
        <v>20762</v>
      </c>
      <c r="N4">
        <v>33693</v>
      </c>
      <c r="O4">
        <v>2</v>
      </c>
    </row>
    <row r="5" spans="1:15" x14ac:dyDescent="0.3">
      <c r="A5" t="s">
        <v>0</v>
      </c>
      <c r="B5" s="1">
        <v>45578</v>
      </c>
      <c r="C5" t="str">
        <f t="shared" si="0"/>
        <v>41002</v>
      </c>
      <c r="D5" t="s">
        <v>1</v>
      </c>
      <c r="E5" t="str">
        <f t="shared" si="1"/>
        <v>10</v>
      </c>
      <c r="F5">
        <v>326041</v>
      </c>
      <c r="G5">
        <v>211624</v>
      </c>
      <c r="H5">
        <v>8580</v>
      </c>
      <c r="I5" t="str">
        <f>("4")</f>
        <v>4</v>
      </c>
      <c r="J5" t="str">
        <f>("VLAAMS BELANG")</f>
        <v>VLAAMS BELANG</v>
      </c>
      <c r="K5" t="str">
        <f t="shared" si="2"/>
        <v>10</v>
      </c>
      <c r="L5">
        <v>31090</v>
      </c>
      <c r="M5">
        <v>17913</v>
      </c>
      <c r="N5">
        <v>49003</v>
      </c>
      <c r="O5">
        <v>3</v>
      </c>
    </row>
    <row r="6" spans="1:15" x14ac:dyDescent="0.3">
      <c r="A6" t="s">
        <v>0</v>
      </c>
      <c r="B6" s="1">
        <v>45578</v>
      </c>
      <c r="C6" t="str">
        <f t="shared" si="0"/>
        <v>41002</v>
      </c>
      <c r="D6" t="s">
        <v>1</v>
      </c>
      <c r="E6" t="str">
        <f t="shared" si="1"/>
        <v>10</v>
      </c>
      <c r="F6">
        <v>326041</v>
      </c>
      <c r="G6">
        <v>211624</v>
      </c>
      <c r="H6">
        <v>8580</v>
      </c>
      <c r="I6" t="str">
        <f>("5")</f>
        <v>5</v>
      </c>
      <c r="J6" t="str">
        <f>("N-VA")</f>
        <v>N-VA</v>
      </c>
      <c r="K6" t="str">
        <f t="shared" si="2"/>
        <v>10</v>
      </c>
      <c r="L6">
        <v>28425</v>
      </c>
      <c r="M6">
        <v>14420</v>
      </c>
      <c r="N6">
        <v>42845</v>
      </c>
      <c r="O6">
        <v>2</v>
      </c>
    </row>
    <row r="7" spans="1:15" x14ac:dyDescent="0.3">
      <c r="A7" t="s">
        <v>0</v>
      </c>
      <c r="B7" s="1">
        <v>45578</v>
      </c>
      <c r="C7" t="str">
        <f t="shared" si="0"/>
        <v>41002</v>
      </c>
      <c r="D7" t="s">
        <v>1</v>
      </c>
      <c r="E7" t="str">
        <f t="shared" si="1"/>
        <v>10</v>
      </c>
      <c r="F7">
        <v>326041</v>
      </c>
      <c r="G7">
        <v>211624</v>
      </c>
      <c r="H7">
        <v>8580</v>
      </c>
      <c r="I7" t="str">
        <f>("6")</f>
        <v>6</v>
      </c>
      <c r="J7" t="str">
        <f>("Open Vld")</f>
        <v>Open Vld</v>
      </c>
      <c r="K7" t="str">
        <f t="shared" si="2"/>
        <v>10</v>
      </c>
      <c r="L7">
        <v>10022</v>
      </c>
      <c r="M7">
        <v>18986</v>
      </c>
      <c r="N7">
        <v>29008</v>
      </c>
      <c r="O7">
        <v>1</v>
      </c>
    </row>
    <row r="8" spans="1:15" x14ac:dyDescent="0.3">
      <c r="A8" t="s">
        <v>0</v>
      </c>
      <c r="B8" s="1">
        <v>45578</v>
      </c>
      <c r="C8" t="str">
        <f t="shared" si="0"/>
        <v>41002</v>
      </c>
      <c r="D8" t="s">
        <v>1</v>
      </c>
      <c r="E8" t="str">
        <f t="shared" si="1"/>
        <v>10</v>
      </c>
      <c r="F8">
        <v>326041</v>
      </c>
      <c r="G8">
        <v>211624</v>
      </c>
      <c r="H8">
        <v>8580</v>
      </c>
      <c r="I8" t="str">
        <f>("7")</f>
        <v>7</v>
      </c>
      <c r="J8" t="str">
        <f>("GROEN")</f>
        <v>GROEN</v>
      </c>
      <c r="K8" t="str">
        <f t="shared" si="2"/>
        <v>10</v>
      </c>
      <c r="L8">
        <v>9055</v>
      </c>
      <c r="M8">
        <v>6872</v>
      </c>
      <c r="N8">
        <v>15927</v>
      </c>
      <c r="O8">
        <v>1</v>
      </c>
    </row>
    <row r="9" spans="1:15" x14ac:dyDescent="0.3">
      <c r="A9" t="s">
        <v>0</v>
      </c>
      <c r="B9" s="1">
        <v>45578</v>
      </c>
      <c r="C9" t="str">
        <f t="shared" ref="C9:C20" si="3">("11002")</f>
        <v>11002</v>
      </c>
      <c r="D9" t="s">
        <v>2</v>
      </c>
      <c r="E9" t="str">
        <f t="shared" ref="E9:E20" si="4">("20")</f>
        <v>20</v>
      </c>
      <c r="F9">
        <v>710734</v>
      </c>
      <c r="G9">
        <v>437819</v>
      </c>
      <c r="H9">
        <v>9219</v>
      </c>
      <c r="I9" t="str">
        <f>("1")</f>
        <v>1</v>
      </c>
      <c r="J9" t="str">
        <f>("Vooruit")</f>
        <v>Vooruit</v>
      </c>
      <c r="K9" t="str">
        <f t="shared" ref="K9:K15" si="5">("20")</f>
        <v>20</v>
      </c>
      <c r="L9">
        <v>19911</v>
      </c>
      <c r="M9">
        <v>24011</v>
      </c>
      <c r="N9">
        <v>43922</v>
      </c>
      <c r="O9">
        <v>2</v>
      </c>
    </row>
    <row r="10" spans="1:15" x14ac:dyDescent="0.3">
      <c r="A10" t="s">
        <v>0</v>
      </c>
      <c r="B10" s="1">
        <v>45578</v>
      </c>
      <c r="C10" t="str">
        <f t="shared" si="3"/>
        <v>11002</v>
      </c>
      <c r="D10" t="s">
        <v>2</v>
      </c>
      <c r="E10" t="str">
        <f t="shared" si="4"/>
        <v>20</v>
      </c>
      <c r="F10">
        <v>710734</v>
      </c>
      <c r="G10">
        <v>437819</v>
      </c>
      <c r="H10">
        <v>9219</v>
      </c>
      <c r="I10" t="str">
        <f>("2")</f>
        <v>2</v>
      </c>
      <c r="J10" t="str">
        <f>("PVDA")</f>
        <v>PVDA</v>
      </c>
      <c r="K10" t="str">
        <f t="shared" si="5"/>
        <v>20</v>
      </c>
      <c r="L10">
        <v>15302</v>
      </c>
      <c r="M10">
        <v>27864</v>
      </c>
      <c r="N10">
        <v>43166</v>
      </c>
      <c r="O10">
        <v>2</v>
      </c>
    </row>
    <row r="11" spans="1:15" x14ac:dyDescent="0.3">
      <c r="A11" t="s">
        <v>0</v>
      </c>
      <c r="B11" s="1">
        <v>45578</v>
      </c>
      <c r="C11" t="str">
        <f t="shared" si="3"/>
        <v>11002</v>
      </c>
      <c r="D11" t="s">
        <v>2</v>
      </c>
      <c r="E11" t="str">
        <f t="shared" si="4"/>
        <v>20</v>
      </c>
      <c r="F11">
        <v>710734</v>
      </c>
      <c r="G11">
        <v>437819</v>
      </c>
      <c r="H11">
        <v>9219</v>
      </c>
      <c r="I11" t="str">
        <f>("3")</f>
        <v>3</v>
      </c>
      <c r="J11" t="str">
        <f>("cd&amp;v")</f>
        <v>cd&amp;v</v>
      </c>
      <c r="K11" t="str">
        <f t="shared" si="5"/>
        <v>20</v>
      </c>
      <c r="L11">
        <v>12921</v>
      </c>
      <c r="M11">
        <v>29641</v>
      </c>
      <c r="N11">
        <v>42562</v>
      </c>
      <c r="O11">
        <v>2</v>
      </c>
    </row>
    <row r="12" spans="1:15" x14ac:dyDescent="0.3">
      <c r="A12" t="s">
        <v>0</v>
      </c>
      <c r="B12" s="1">
        <v>45578</v>
      </c>
      <c r="C12" t="str">
        <f t="shared" si="3"/>
        <v>11002</v>
      </c>
      <c r="D12" t="s">
        <v>2</v>
      </c>
      <c r="E12" t="str">
        <f t="shared" si="4"/>
        <v>20</v>
      </c>
      <c r="F12">
        <v>710734</v>
      </c>
      <c r="G12">
        <v>437819</v>
      </c>
      <c r="H12">
        <v>9219</v>
      </c>
      <c r="I12" t="str">
        <f>("4")</f>
        <v>4</v>
      </c>
      <c r="J12" t="str">
        <f>("VLAAMS BELANG")</f>
        <v>VLAAMS BELANG</v>
      </c>
      <c r="K12" t="str">
        <f t="shared" si="5"/>
        <v>20</v>
      </c>
      <c r="L12">
        <v>22282</v>
      </c>
      <c r="M12">
        <v>44883</v>
      </c>
      <c r="N12">
        <v>67165</v>
      </c>
      <c r="O12">
        <v>3</v>
      </c>
    </row>
    <row r="13" spans="1:15" x14ac:dyDescent="0.3">
      <c r="A13" t="s">
        <v>0</v>
      </c>
      <c r="B13" s="1">
        <v>45578</v>
      </c>
      <c r="C13" t="str">
        <f t="shared" si="3"/>
        <v>11002</v>
      </c>
      <c r="D13" t="s">
        <v>2</v>
      </c>
      <c r="E13" t="str">
        <f t="shared" si="4"/>
        <v>20</v>
      </c>
      <c r="F13">
        <v>710734</v>
      </c>
      <c r="G13">
        <v>437819</v>
      </c>
      <c r="H13">
        <v>9219</v>
      </c>
      <c r="I13" t="str">
        <f>("5")</f>
        <v>5</v>
      </c>
      <c r="J13" t="str">
        <f>("N-VA")</f>
        <v>N-VA</v>
      </c>
      <c r="K13" t="str">
        <f t="shared" si="5"/>
        <v>20</v>
      </c>
      <c r="L13">
        <v>70042</v>
      </c>
      <c r="M13">
        <v>83128</v>
      </c>
      <c r="N13">
        <v>153170</v>
      </c>
      <c r="O13">
        <v>9</v>
      </c>
    </row>
    <row r="14" spans="1:15" x14ac:dyDescent="0.3">
      <c r="A14" t="s">
        <v>0</v>
      </c>
      <c r="B14" s="1">
        <v>45578</v>
      </c>
      <c r="C14" t="str">
        <f t="shared" si="3"/>
        <v>11002</v>
      </c>
      <c r="D14" t="s">
        <v>2</v>
      </c>
      <c r="E14" t="str">
        <f t="shared" si="4"/>
        <v>20</v>
      </c>
      <c r="F14">
        <v>710734</v>
      </c>
      <c r="G14">
        <v>437819</v>
      </c>
      <c r="H14">
        <v>9219</v>
      </c>
      <c r="I14" t="str">
        <f>("6")</f>
        <v>6</v>
      </c>
      <c r="J14" t="str">
        <f>("Open Vld")</f>
        <v>Open Vld</v>
      </c>
      <c r="K14" t="str">
        <f t="shared" si="5"/>
        <v>20</v>
      </c>
      <c r="L14">
        <v>6670</v>
      </c>
      <c r="M14">
        <v>11980</v>
      </c>
      <c r="N14">
        <v>18650</v>
      </c>
      <c r="O14">
        <v>0</v>
      </c>
    </row>
    <row r="15" spans="1:15" x14ac:dyDescent="0.3">
      <c r="A15" t="s">
        <v>0</v>
      </c>
      <c r="B15" s="1">
        <v>45578</v>
      </c>
      <c r="C15" t="str">
        <f t="shared" si="3"/>
        <v>11002</v>
      </c>
      <c r="D15" t="s">
        <v>2</v>
      </c>
      <c r="E15" t="str">
        <f t="shared" si="4"/>
        <v>20</v>
      </c>
      <c r="F15">
        <v>710734</v>
      </c>
      <c r="G15">
        <v>437819</v>
      </c>
      <c r="H15">
        <v>9219</v>
      </c>
      <c r="I15" t="str">
        <f>("7")</f>
        <v>7</v>
      </c>
      <c r="J15" t="str">
        <f>("GROEN")</f>
        <v>GROEN</v>
      </c>
      <c r="K15" t="str">
        <f t="shared" si="5"/>
        <v>20</v>
      </c>
      <c r="L15">
        <v>24815</v>
      </c>
      <c r="M15">
        <v>24218</v>
      </c>
      <c r="N15">
        <v>49033</v>
      </c>
      <c r="O15">
        <v>2</v>
      </c>
    </row>
    <row r="16" spans="1:15" x14ac:dyDescent="0.3">
      <c r="A16" t="s">
        <v>0</v>
      </c>
      <c r="B16" s="1">
        <v>45578</v>
      </c>
      <c r="C16" t="str">
        <f t="shared" si="3"/>
        <v>11002</v>
      </c>
      <c r="D16" t="s">
        <v>2</v>
      </c>
      <c r="E16" t="str">
        <f t="shared" si="4"/>
        <v>20</v>
      </c>
      <c r="F16">
        <v>710734</v>
      </c>
      <c r="G16">
        <v>437819</v>
      </c>
      <c r="H16">
        <v>9219</v>
      </c>
      <c r="I16" t="str">
        <f>("8")</f>
        <v>8</v>
      </c>
      <c r="J16" t="str">
        <f>("Volt België")</f>
        <v>Volt België</v>
      </c>
      <c r="K16" t="str">
        <f>("9")</f>
        <v>9</v>
      </c>
      <c r="L16">
        <v>893</v>
      </c>
      <c r="M16">
        <v>944</v>
      </c>
      <c r="N16">
        <v>1837</v>
      </c>
      <c r="O16">
        <v>0</v>
      </c>
    </row>
    <row r="17" spans="1:15" x14ac:dyDescent="0.3">
      <c r="A17" t="s">
        <v>0</v>
      </c>
      <c r="B17" s="1">
        <v>45578</v>
      </c>
      <c r="C17" t="str">
        <f t="shared" si="3"/>
        <v>11002</v>
      </c>
      <c r="D17" t="s">
        <v>2</v>
      </c>
      <c r="E17" t="str">
        <f t="shared" si="4"/>
        <v>20</v>
      </c>
      <c r="F17">
        <v>710734</v>
      </c>
      <c r="G17">
        <v>437819</v>
      </c>
      <c r="H17">
        <v>9219</v>
      </c>
      <c r="I17" t="str">
        <f>("9")</f>
        <v>9</v>
      </c>
      <c r="J17" t="str">
        <f>("DierAnimal")</f>
        <v>DierAnimal</v>
      </c>
      <c r="K17" t="str">
        <f>("11")</f>
        <v>11</v>
      </c>
      <c r="L17">
        <v>1525</v>
      </c>
      <c r="M17">
        <v>1884</v>
      </c>
      <c r="N17">
        <v>3409</v>
      </c>
      <c r="O17">
        <v>0</v>
      </c>
    </row>
    <row r="18" spans="1:15" x14ac:dyDescent="0.3">
      <c r="A18" t="s">
        <v>0</v>
      </c>
      <c r="B18" s="1">
        <v>45578</v>
      </c>
      <c r="C18" t="str">
        <f t="shared" si="3"/>
        <v>11002</v>
      </c>
      <c r="D18" t="s">
        <v>2</v>
      </c>
      <c r="E18" t="str">
        <f t="shared" si="4"/>
        <v>20</v>
      </c>
      <c r="F18">
        <v>710734</v>
      </c>
      <c r="G18">
        <v>437819</v>
      </c>
      <c r="H18">
        <v>9219</v>
      </c>
      <c r="I18" t="str">
        <f>("10")</f>
        <v>10</v>
      </c>
      <c r="J18" t="str">
        <f>("Team Fouad Ahidar A+")</f>
        <v>Team Fouad Ahidar A+</v>
      </c>
      <c r="K18" t="str">
        <f>("11")</f>
        <v>11</v>
      </c>
      <c r="L18">
        <v>813</v>
      </c>
      <c r="M18">
        <v>3741</v>
      </c>
      <c r="N18">
        <v>4554</v>
      </c>
      <c r="O18">
        <v>0</v>
      </c>
    </row>
    <row r="19" spans="1:15" x14ac:dyDescent="0.3">
      <c r="A19" t="s">
        <v>0</v>
      </c>
      <c r="B19" s="1">
        <v>45578</v>
      </c>
      <c r="C19" t="str">
        <f t="shared" si="3"/>
        <v>11002</v>
      </c>
      <c r="D19" t="s">
        <v>2</v>
      </c>
      <c r="E19" t="str">
        <f t="shared" si="4"/>
        <v>20</v>
      </c>
      <c r="F19">
        <v>710734</v>
      </c>
      <c r="G19">
        <v>437819</v>
      </c>
      <c r="H19">
        <v>9219</v>
      </c>
      <c r="I19" t="str">
        <f>("11")</f>
        <v>11</v>
      </c>
      <c r="J19" t="str">
        <f>("SVD")</f>
        <v>SVD</v>
      </c>
      <c r="K19" t="str">
        <f>("11")</f>
        <v>11</v>
      </c>
      <c r="L19">
        <v>80</v>
      </c>
      <c r="M19">
        <v>252</v>
      </c>
      <c r="N19">
        <v>332</v>
      </c>
      <c r="O19">
        <v>0</v>
      </c>
    </row>
    <row r="20" spans="1:15" x14ac:dyDescent="0.3">
      <c r="A20" t="s">
        <v>0</v>
      </c>
      <c r="B20" s="1">
        <v>45578</v>
      </c>
      <c r="C20" t="str">
        <f t="shared" si="3"/>
        <v>11002</v>
      </c>
      <c r="D20" t="s">
        <v>2</v>
      </c>
      <c r="E20" t="str">
        <f t="shared" si="4"/>
        <v>20</v>
      </c>
      <c r="F20">
        <v>710734</v>
      </c>
      <c r="G20">
        <v>437819</v>
      </c>
      <c r="H20">
        <v>9219</v>
      </c>
      <c r="I20" t="str">
        <f>("12")</f>
        <v>12</v>
      </c>
      <c r="J20" t="str">
        <f>("B.U.B. Antwerpen")</f>
        <v>B.U.B. Antwerpen</v>
      </c>
      <c r="K20" t="str">
        <f>("6")</f>
        <v>6</v>
      </c>
      <c r="L20">
        <v>199</v>
      </c>
      <c r="M20">
        <v>601</v>
      </c>
      <c r="N20">
        <v>800</v>
      </c>
      <c r="O20">
        <v>0</v>
      </c>
    </row>
    <row r="21" spans="1:15" x14ac:dyDescent="0.3">
      <c r="A21" t="s">
        <v>0</v>
      </c>
      <c r="B21" s="1">
        <v>45578</v>
      </c>
      <c r="C21" t="str">
        <f t="shared" ref="C21:C31" si="6">("31005")</f>
        <v>31005</v>
      </c>
      <c r="D21" t="s">
        <v>3</v>
      </c>
      <c r="E21" t="str">
        <f t="shared" ref="E21:E31" si="7">("9")</f>
        <v>9</v>
      </c>
      <c r="F21">
        <v>223527</v>
      </c>
      <c r="G21">
        <v>138738</v>
      </c>
      <c r="H21">
        <v>4265</v>
      </c>
      <c r="I21" t="str">
        <f>("1")</f>
        <v>1</v>
      </c>
      <c r="J21" t="str">
        <f>("Vooruit")</f>
        <v>Vooruit</v>
      </c>
      <c r="K21" t="str">
        <f t="shared" ref="K21:K27" si="8">("9")</f>
        <v>9</v>
      </c>
      <c r="L21">
        <v>8383</v>
      </c>
      <c r="M21">
        <v>12678</v>
      </c>
      <c r="N21">
        <v>21061</v>
      </c>
      <c r="O21">
        <v>2</v>
      </c>
    </row>
    <row r="22" spans="1:15" x14ac:dyDescent="0.3">
      <c r="A22" t="s">
        <v>0</v>
      </c>
      <c r="B22" s="1">
        <v>45578</v>
      </c>
      <c r="C22" t="str">
        <f t="shared" si="6"/>
        <v>31005</v>
      </c>
      <c r="D22" t="s">
        <v>3</v>
      </c>
      <c r="E22" t="str">
        <f t="shared" si="7"/>
        <v>9</v>
      </c>
      <c r="F22">
        <v>223527</v>
      </c>
      <c r="G22">
        <v>138738</v>
      </c>
      <c r="H22">
        <v>4265</v>
      </c>
      <c r="I22" t="str">
        <f>("2")</f>
        <v>2</v>
      </c>
      <c r="J22" t="str">
        <f>("PVDA")</f>
        <v>PVDA</v>
      </c>
      <c r="K22" t="str">
        <f t="shared" si="8"/>
        <v>9</v>
      </c>
      <c r="L22">
        <v>1644</v>
      </c>
      <c r="M22">
        <v>1394</v>
      </c>
      <c r="N22">
        <v>3038</v>
      </c>
      <c r="O22">
        <v>0</v>
      </c>
    </row>
    <row r="23" spans="1:15" x14ac:dyDescent="0.3">
      <c r="A23" t="s">
        <v>0</v>
      </c>
      <c r="B23" s="1">
        <v>45578</v>
      </c>
      <c r="C23" t="str">
        <f t="shared" si="6"/>
        <v>31005</v>
      </c>
      <c r="D23" t="s">
        <v>3</v>
      </c>
      <c r="E23" t="str">
        <f t="shared" si="7"/>
        <v>9</v>
      </c>
      <c r="F23">
        <v>223527</v>
      </c>
      <c r="G23">
        <v>138738</v>
      </c>
      <c r="H23">
        <v>4265</v>
      </c>
      <c r="I23" t="str">
        <f>("3")</f>
        <v>3</v>
      </c>
      <c r="J23" t="str">
        <f>("cd&amp;v")</f>
        <v>cd&amp;v</v>
      </c>
      <c r="K23" t="str">
        <f t="shared" si="8"/>
        <v>9</v>
      </c>
      <c r="L23">
        <v>9556</v>
      </c>
      <c r="M23">
        <v>30070</v>
      </c>
      <c r="N23">
        <v>39626</v>
      </c>
      <c r="O23">
        <v>3</v>
      </c>
    </row>
    <row r="24" spans="1:15" x14ac:dyDescent="0.3">
      <c r="A24" t="s">
        <v>0</v>
      </c>
      <c r="B24" s="1">
        <v>45578</v>
      </c>
      <c r="C24" t="str">
        <f t="shared" si="6"/>
        <v>31005</v>
      </c>
      <c r="D24" t="s">
        <v>3</v>
      </c>
      <c r="E24" t="str">
        <f t="shared" si="7"/>
        <v>9</v>
      </c>
      <c r="F24">
        <v>223527</v>
      </c>
      <c r="G24">
        <v>138738</v>
      </c>
      <c r="H24">
        <v>4265</v>
      </c>
      <c r="I24" t="str">
        <f>("4")</f>
        <v>4</v>
      </c>
      <c r="J24" t="str">
        <f>("VLAAMS BELANG")</f>
        <v>VLAAMS BELANG</v>
      </c>
      <c r="K24" t="str">
        <f t="shared" si="8"/>
        <v>9</v>
      </c>
      <c r="L24">
        <v>12843</v>
      </c>
      <c r="M24">
        <v>6975</v>
      </c>
      <c r="N24">
        <v>19818</v>
      </c>
      <c r="O24">
        <v>1</v>
      </c>
    </row>
    <row r="25" spans="1:15" x14ac:dyDescent="0.3">
      <c r="A25" t="s">
        <v>0</v>
      </c>
      <c r="B25" s="1">
        <v>45578</v>
      </c>
      <c r="C25" t="str">
        <f t="shared" si="6"/>
        <v>31005</v>
      </c>
      <c r="D25" t="s">
        <v>3</v>
      </c>
      <c r="E25" t="str">
        <f t="shared" si="7"/>
        <v>9</v>
      </c>
      <c r="F25">
        <v>223527</v>
      </c>
      <c r="G25">
        <v>138738</v>
      </c>
      <c r="H25">
        <v>4265</v>
      </c>
      <c r="I25" t="str">
        <f>("5")</f>
        <v>5</v>
      </c>
      <c r="J25" t="str">
        <f>("N-VA")</f>
        <v>N-VA</v>
      </c>
      <c r="K25" t="str">
        <f t="shared" si="8"/>
        <v>9</v>
      </c>
      <c r="L25">
        <v>15252</v>
      </c>
      <c r="M25">
        <v>13622</v>
      </c>
      <c r="N25">
        <v>28874</v>
      </c>
      <c r="O25">
        <v>2</v>
      </c>
    </row>
    <row r="26" spans="1:15" x14ac:dyDescent="0.3">
      <c r="A26" t="s">
        <v>0</v>
      </c>
      <c r="B26" s="1">
        <v>45578</v>
      </c>
      <c r="C26" t="str">
        <f t="shared" si="6"/>
        <v>31005</v>
      </c>
      <c r="D26" t="s">
        <v>3</v>
      </c>
      <c r="E26" t="str">
        <f t="shared" si="7"/>
        <v>9</v>
      </c>
      <c r="F26">
        <v>223527</v>
      </c>
      <c r="G26">
        <v>138738</v>
      </c>
      <c r="H26">
        <v>4265</v>
      </c>
      <c r="I26" t="str">
        <f>("6")</f>
        <v>6</v>
      </c>
      <c r="J26" t="str">
        <f>("Open Vld")</f>
        <v>Open Vld</v>
      </c>
      <c r="K26" t="str">
        <f t="shared" si="8"/>
        <v>9</v>
      </c>
      <c r="L26">
        <v>4031</v>
      </c>
      <c r="M26">
        <v>4584</v>
      </c>
      <c r="N26">
        <v>8615</v>
      </c>
      <c r="O26">
        <v>0</v>
      </c>
    </row>
    <row r="27" spans="1:15" x14ac:dyDescent="0.3">
      <c r="A27" t="s">
        <v>0</v>
      </c>
      <c r="B27" s="1">
        <v>45578</v>
      </c>
      <c r="C27" t="str">
        <f t="shared" si="6"/>
        <v>31005</v>
      </c>
      <c r="D27" t="s">
        <v>3</v>
      </c>
      <c r="E27" t="str">
        <f t="shared" si="7"/>
        <v>9</v>
      </c>
      <c r="F27">
        <v>223527</v>
      </c>
      <c r="G27">
        <v>138738</v>
      </c>
      <c r="H27">
        <v>4265</v>
      </c>
      <c r="I27" t="str">
        <f>("7")</f>
        <v>7</v>
      </c>
      <c r="J27" t="str">
        <f>("GROEN")</f>
        <v>GROEN</v>
      </c>
      <c r="K27" t="str">
        <f t="shared" si="8"/>
        <v>9</v>
      </c>
      <c r="L27">
        <v>6722</v>
      </c>
      <c r="M27">
        <v>4982</v>
      </c>
      <c r="N27">
        <v>11704</v>
      </c>
      <c r="O27">
        <v>1</v>
      </c>
    </row>
    <row r="28" spans="1:15" x14ac:dyDescent="0.3">
      <c r="A28" t="s">
        <v>0</v>
      </c>
      <c r="B28" s="1">
        <v>45578</v>
      </c>
      <c r="C28" t="str">
        <f t="shared" si="6"/>
        <v>31005</v>
      </c>
      <c r="D28" t="s">
        <v>3</v>
      </c>
      <c r="E28" t="str">
        <f t="shared" si="7"/>
        <v>9</v>
      </c>
      <c r="F28">
        <v>223527</v>
      </c>
      <c r="G28">
        <v>138738</v>
      </c>
      <c r="H28">
        <v>4265</v>
      </c>
      <c r="I28" t="str">
        <f>("8")</f>
        <v>8</v>
      </c>
      <c r="J28" t="str">
        <f>("DierAnimal")</f>
        <v>DierAnimal</v>
      </c>
      <c r="K28" t="str">
        <f>("6")</f>
        <v>6</v>
      </c>
      <c r="L28">
        <v>660</v>
      </c>
      <c r="M28">
        <v>398</v>
      </c>
      <c r="N28">
        <v>1058</v>
      </c>
      <c r="O28">
        <v>0</v>
      </c>
    </row>
    <row r="29" spans="1:15" x14ac:dyDescent="0.3">
      <c r="A29" t="s">
        <v>0</v>
      </c>
      <c r="B29" s="1">
        <v>45578</v>
      </c>
      <c r="C29" t="str">
        <f t="shared" si="6"/>
        <v>31005</v>
      </c>
      <c r="D29" t="s">
        <v>3</v>
      </c>
      <c r="E29" t="str">
        <f t="shared" si="7"/>
        <v>9</v>
      </c>
      <c r="F29">
        <v>223527</v>
      </c>
      <c r="G29">
        <v>138738</v>
      </c>
      <c r="H29">
        <v>4265</v>
      </c>
      <c r="I29" t="str">
        <f>("9")</f>
        <v>9</v>
      </c>
      <c r="J29" t="str">
        <f>("B.U.B. WEST-VL")</f>
        <v>B.U.B. WEST-VL</v>
      </c>
      <c r="K29" t="str">
        <f>("1")</f>
        <v>1</v>
      </c>
      <c r="L29">
        <v>52</v>
      </c>
      <c r="M29">
        <v>81</v>
      </c>
      <c r="N29">
        <v>133</v>
      </c>
      <c r="O29">
        <v>0</v>
      </c>
    </row>
    <row r="30" spans="1:15" x14ac:dyDescent="0.3">
      <c r="A30" t="s">
        <v>0</v>
      </c>
      <c r="B30" s="1">
        <v>45578</v>
      </c>
      <c r="C30" t="str">
        <f t="shared" si="6"/>
        <v>31005</v>
      </c>
      <c r="D30" t="s">
        <v>3</v>
      </c>
      <c r="E30" t="str">
        <f t="shared" si="7"/>
        <v>9</v>
      </c>
      <c r="F30">
        <v>223527</v>
      </c>
      <c r="G30">
        <v>138738</v>
      </c>
      <c r="H30">
        <v>4265</v>
      </c>
      <c r="I30" t="str">
        <f>("10")</f>
        <v>10</v>
      </c>
      <c r="J30" t="str">
        <f>("SVD")</f>
        <v>SVD</v>
      </c>
      <c r="K30" t="str">
        <f>("4")</f>
        <v>4</v>
      </c>
      <c r="L30">
        <v>111</v>
      </c>
      <c r="M30">
        <v>160</v>
      </c>
      <c r="N30">
        <v>271</v>
      </c>
      <c r="O30">
        <v>0</v>
      </c>
    </row>
    <row r="31" spans="1:15" x14ac:dyDescent="0.3">
      <c r="A31" t="s">
        <v>0</v>
      </c>
      <c r="B31" s="1">
        <v>45578</v>
      </c>
      <c r="C31" t="str">
        <f t="shared" si="6"/>
        <v>31005</v>
      </c>
      <c r="D31" t="s">
        <v>3</v>
      </c>
      <c r="E31" t="str">
        <f t="shared" si="7"/>
        <v>9</v>
      </c>
      <c r="F31">
        <v>223527</v>
      </c>
      <c r="G31">
        <v>138738</v>
      </c>
      <c r="H31">
        <v>4265</v>
      </c>
      <c r="I31" t="str">
        <f>("11")</f>
        <v>11</v>
      </c>
      <c r="J31" t="str">
        <f>("Volt")</f>
        <v>Volt</v>
      </c>
      <c r="K31" t="str">
        <f>("1")</f>
        <v>1</v>
      </c>
      <c r="L31">
        <v>121</v>
      </c>
      <c r="M31">
        <v>154</v>
      </c>
      <c r="N31">
        <v>275</v>
      </c>
      <c r="O31">
        <v>0</v>
      </c>
    </row>
    <row r="32" spans="1:15" x14ac:dyDescent="0.3">
      <c r="A32" t="s">
        <v>0</v>
      </c>
      <c r="B32" s="1">
        <v>45578</v>
      </c>
      <c r="C32" t="str">
        <f t="shared" ref="C32:C41" si="9">("46021")</f>
        <v>46021</v>
      </c>
      <c r="D32" t="s">
        <v>4</v>
      </c>
      <c r="E32" t="str">
        <f t="shared" ref="E32:E41" si="10">("11")</f>
        <v>11</v>
      </c>
      <c r="F32">
        <v>368453</v>
      </c>
      <c r="G32">
        <v>232138</v>
      </c>
      <c r="H32">
        <v>6513</v>
      </c>
      <c r="I32" t="str">
        <f>("1")</f>
        <v>1</v>
      </c>
      <c r="J32" t="str">
        <f>("Vooruit")</f>
        <v>Vooruit</v>
      </c>
      <c r="K32" t="str">
        <f t="shared" ref="K32:K39" si="11">("11")</f>
        <v>11</v>
      </c>
      <c r="L32">
        <v>9302</v>
      </c>
      <c r="M32">
        <v>25506</v>
      </c>
      <c r="N32">
        <v>34808</v>
      </c>
      <c r="O32">
        <v>2</v>
      </c>
    </row>
    <row r="33" spans="1:15" x14ac:dyDescent="0.3">
      <c r="A33" t="s">
        <v>0</v>
      </c>
      <c r="B33" s="1">
        <v>45578</v>
      </c>
      <c r="C33" t="str">
        <f t="shared" si="9"/>
        <v>46021</v>
      </c>
      <c r="D33" t="s">
        <v>4</v>
      </c>
      <c r="E33" t="str">
        <f t="shared" si="10"/>
        <v>11</v>
      </c>
      <c r="F33">
        <v>368453</v>
      </c>
      <c r="G33">
        <v>232138</v>
      </c>
      <c r="H33">
        <v>6513</v>
      </c>
      <c r="I33" t="str">
        <f>("2")</f>
        <v>2</v>
      </c>
      <c r="J33" t="str">
        <f>("PVDA")</f>
        <v>PVDA</v>
      </c>
      <c r="K33" t="str">
        <f t="shared" si="11"/>
        <v>11</v>
      </c>
      <c r="L33">
        <v>3389</v>
      </c>
      <c r="M33">
        <v>3571</v>
      </c>
      <c r="N33">
        <v>6960</v>
      </c>
      <c r="O33">
        <v>0</v>
      </c>
    </row>
    <row r="34" spans="1:15" x14ac:dyDescent="0.3">
      <c r="A34" t="s">
        <v>0</v>
      </c>
      <c r="B34" s="1">
        <v>45578</v>
      </c>
      <c r="C34" t="str">
        <f t="shared" si="9"/>
        <v>46021</v>
      </c>
      <c r="D34" t="s">
        <v>4</v>
      </c>
      <c r="E34" t="str">
        <f t="shared" si="10"/>
        <v>11</v>
      </c>
      <c r="F34">
        <v>368453</v>
      </c>
      <c r="G34">
        <v>232138</v>
      </c>
      <c r="H34">
        <v>6513</v>
      </c>
      <c r="I34" t="str">
        <f>("3")</f>
        <v>3</v>
      </c>
      <c r="J34" t="str">
        <f>("cd&amp;v")</f>
        <v>cd&amp;v</v>
      </c>
      <c r="K34" t="str">
        <f t="shared" si="11"/>
        <v>11</v>
      </c>
      <c r="L34">
        <v>14762</v>
      </c>
      <c r="M34">
        <v>21306</v>
      </c>
      <c r="N34">
        <v>36068</v>
      </c>
      <c r="O34">
        <v>2</v>
      </c>
    </row>
    <row r="35" spans="1:15" x14ac:dyDescent="0.3">
      <c r="A35" t="s">
        <v>0</v>
      </c>
      <c r="B35" s="1">
        <v>45578</v>
      </c>
      <c r="C35" t="str">
        <f t="shared" si="9"/>
        <v>46021</v>
      </c>
      <c r="D35" t="s">
        <v>4</v>
      </c>
      <c r="E35" t="str">
        <f t="shared" si="10"/>
        <v>11</v>
      </c>
      <c r="F35">
        <v>368453</v>
      </c>
      <c r="G35">
        <v>232138</v>
      </c>
      <c r="H35">
        <v>6513</v>
      </c>
      <c r="I35" t="str">
        <f>("4")</f>
        <v>4</v>
      </c>
      <c r="J35" t="str">
        <f>("VLAAMS BELANG")</f>
        <v>VLAAMS BELANG</v>
      </c>
      <c r="K35" t="str">
        <f t="shared" si="11"/>
        <v>11</v>
      </c>
      <c r="L35">
        <v>25994</v>
      </c>
      <c r="M35">
        <v>22401</v>
      </c>
      <c r="N35">
        <v>48395</v>
      </c>
      <c r="O35">
        <v>2</v>
      </c>
    </row>
    <row r="36" spans="1:15" x14ac:dyDescent="0.3">
      <c r="A36" t="s">
        <v>0</v>
      </c>
      <c r="B36" s="1">
        <v>45578</v>
      </c>
      <c r="C36" t="str">
        <f t="shared" si="9"/>
        <v>46021</v>
      </c>
      <c r="D36" t="s">
        <v>4</v>
      </c>
      <c r="E36" t="str">
        <f t="shared" si="10"/>
        <v>11</v>
      </c>
      <c r="F36">
        <v>368453</v>
      </c>
      <c r="G36">
        <v>232138</v>
      </c>
      <c r="H36">
        <v>6513</v>
      </c>
      <c r="I36" t="str">
        <f>("5")</f>
        <v>5</v>
      </c>
      <c r="J36" t="str">
        <f>("N-VA")</f>
        <v>N-VA</v>
      </c>
      <c r="K36" t="str">
        <f t="shared" si="11"/>
        <v>11</v>
      </c>
      <c r="L36">
        <v>35335</v>
      </c>
      <c r="M36">
        <v>20206</v>
      </c>
      <c r="N36">
        <v>55541</v>
      </c>
      <c r="O36">
        <v>3</v>
      </c>
    </row>
    <row r="37" spans="1:15" x14ac:dyDescent="0.3">
      <c r="A37" t="s">
        <v>0</v>
      </c>
      <c r="B37" s="1">
        <v>45578</v>
      </c>
      <c r="C37" t="str">
        <f t="shared" si="9"/>
        <v>46021</v>
      </c>
      <c r="D37" t="s">
        <v>4</v>
      </c>
      <c r="E37" t="str">
        <f t="shared" si="10"/>
        <v>11</v>
      </c>
      <c r="F37">
        <v>368453</v>
      </c>
      <c r="G37">
        <v>232138</v>
      </c>
      <c r="H37">
        <v>6513</v>
      </c>
      <c r="I37" t="str">
        <f>("6")</f>
        <v>6</v>
      </c>
      <c r="J37" t="str">
        <f>("Open Vld")</f>
        <v>Open Vld</v>
      </c>
      <c r="K37" t="str">
        <f t="shared" si="11"/>
        <v>11</v>
      </c>
      <c r="L37">
        <v>7314</v>
      </c>
      <c r="M37">
        <v>12296</v>
      </c>
      <c r="N37">
        <v>19610</v>
      </c>
      <c r="O37">
        <v>1</v>
      </c>
    </row>
    <row r="38" spans="1:15" x14ac:dyDescent="0.3">
      <c r="A38" t="s">
        <v>0</v>
      </c>
      <c r="B38" s="1">
        <v>45578</v>
      </c>
      <c r="C38" t="str">
        <f t="shared" si="9"/>
        <v>46021</v>
      </c>
      <c r="D38" t="s">
        <v>4</v>
      </c>
      <c r="E38" t="str">
        <f t="shared" si="10"/>
        <v>11</v>
      </c>
      <c r="F38">
        <v>368453</v>
      </c>
      <c r="G38">
        <v>232138</v>
      </c>
      <c r="H38">
        <v>6513</v>
      </c>
      <c r="I38" t="str">
        <f>("7")</f>
        <v>7</v>
      </c>
      <c r="J38" t="str">
        <f>("GROEN")</f>
        <v>GROEN</v>
      </c>
      <c r="K38" t="str">
        <f t="shared" si="11"/>
        <v>11</v>
      </c>
      <c r="L38">
        <v>8649</v>
      </c>
      <c r="M38">
        <v>12145</v>
      </c>
      <c r="N38">
        <v>20794</v>
      </c>
      <c r="O38">
        <v>1</v>
      </c>
    </row>
    <row r="39" spans="1:15" x14ac:dyDescent="0.3">
      <c r="A39" t="s">
        <v>0</v>
      </c>
      <c r="B39" s="1">
        <v>45578</v>
      </c>
      <c r="C39" t="str">
        <f t="shared" si="9"/>
        <v>46021</v>
      </c>
      <c r="D39" t="s">
        <v>4</v>
      </c>
      <c r="E39" t="str">
        <f t="shared" si="10"/>
        <v>11</v>
      </c>
      <c r="F39">
        <v>368453</v>
      </c>
      <c r="G39">
        <v>232138</v>
      </c>
      <c r="H39">
        <v>6513</v>
      </c>
      <c r="I39" t="str">
        <f>("8")</f>
        <v>8</v>
      </c>
      <c r="J39" t="str">
        <f>("GV-Gezond Verstand")</f>
        <v>GV-Gezond Verstand</v>
      </c>
      <c r="K39" t="str">
        <f t="shared" si="11"/>
        <v>11</v>
      </c>
      <c r="L39">
        <v>605</v>
      </c>
      <c r="M39">
        <v>1344</v>
      </c>
      <c r="N39">
        <v>1949</v>
      </c>
      <c r="O39">
        <v>0</v>
      </c>
    </row>
    <row r="40" spans="1:15" x14ac:dyDescent="0.3">
      <c r="A40" t="s">
        <v>0</v>
      </c>
      <c r="B40" s="1">
        <v>45578</v>
      </c>
      <c r="C40" t="str">
        <f t="shared" si="9"/>
        <v>46021</v>
      </c>
      <c r="D40" t="s">
        <v>4</v>
      </c>
      <c r="E40" t="str">
        <f t="shared" si="10"/>
        <v>11</v>
      </c>
      <c r="F40">
        <v>368453</v>
      </c>
      <c r="G40">
        <v>232138</v>
      </c>
      <c r="H40">
        <v>6513</v>
      </c>
      <c r="I40" t="str">
        <f>("9")</f>
        <v>9</v>
      </c>
      <c r="J40" t="str">
        <f>("Volt")</f>
        <v>Volt</v>
      </c>
      <c r="K40" t="str">
        <f>("3")</f>
        <v>3</v>
      </c>
      <c r="L40">
        <v>295</v>
      </c>
      <c r="M40">
        <v>261</v>
      </c>
      <c r="N40">
        <v>556</v>
      </c>
      <c r="O40">
        <v>0</v>
      </c>
    </row>
    <row r="41" spans="1:15" x14ac:dyDescent="0.3">
      <c r="A41" t="s">
        <v>0</v>
      </c>
      <c r="B41" s="1">
        <v>45578</v>
      </c>
      <c r="C41" t="str">
        <f t="shared" si="9"/>
        <v>46021</v>
      </c>
      <c r="D41" t="s">
        <v>4</v>
      </c>
      <c r="E41" t="str">
        <f t="shared" si="10"/>
        <v>11</v>
      </c>
      <c r="F41">
        <v>368453</v>
      </c>
      <c r="G41">
        <v>232138</v>
      </c>
      <c r="H41">
        <v>6513</v>
      </c>
      <c r="I41" t="str">
        <f>("10")</f>
        <v>10</v>
      </c>
      <c r="J41" t="str">
        <f>("Zwakke Weggebruiker")</f>
        <v>Zwakke Weggebruiker</v>
      </c>
      <c r="K41" t="str">
        <f>("1")</f>
        <v>1</v>
      </c>
      <c r="L41">
        <v>426</v>
      </c>
      <c r="M41">
        <v>518</v>
      </c>
      <c r="N41">
        <v>944</v>
      </c>
      <c r="O41">
        <v>0</v>
      </c>
    </row>
    <row r="42" spans="1:15" x14ac:dyDescent="0.3">
      <c r="A42" t="s">
        <v>0</v>
      </c>
      <c r="B42" s="1">
        <v>45578</v>
      </c>
      <c r="C42" t="str">
        <f t="shared" ref="C42:C50" si="12">("44021")</f>
        <v>44021</v>
      </c>
      <c r="D42" t="s">
        <v>5</v>
      </c>
      <c r="E42" t="str">
        <f t="shared" ref="E42:E50" si="13">("15")</f>
        <v>15</v>
      </c>
      <c r="F42">
        <v>481110</v>
      </c>
      <c r="G42">
        <v>309317</v>
      </c>
      <c r="H42">
        <v>9918</v>
      </c>
      <c r="I42" t="str">
        <f>("1")</f>
        <v>1</v>
      </c>
      <c r="J42" t="str">
        <f>("Vooruit")</f>
        <v>Vooruit</v>
      </c>
      <c r="K42" t="str">
        <f t="shared" ref="K42:K48" si="14">("15")</f>
        <v>15</v>
      </c>
      <c r="L42">
        <v>25504</v>
      </c>
      <c r="M42">
        <v>14902</v>
      </c>
      <c r="N42">
        <v>40406</v>
      </c>
      <c r="O42">
        <v>2</v>
      </c>
    </row>
    <row r="43" spans="1:15" x14ac:dyDescent="0.3">
      <c r="A43" t="s">
        <v>0</v>
      </c>
      <c r="B43" s="1">
        <v>45578</v>
      </c>
      <c r="C43" t="str">
        <f t="shared" si="12"/>
        <v>44021</v>
      </c>
      <c r="D43" t="s">
        <v>5</v>
      </c>
      <c r="E43" t="str">
        <f t="shared" si="13"/>
        <v>15</v>
      </c>
      <c r="F43">
        <v>481110</v>
      </c>
      <c r="G43">
        <v>309317</v>
      </c>
      <c r="H43">
        <v>9918</v>
      </c>
      <c r="I43" t="str">
        <f>("2")</f>
        <v>2</v>
      </c>
      <c r="J43" t="str">
        <f>("PVDA")</f>
        <v>PVDA</v>
      </c>
      <c r="K43" t="str">
        <f t="shared" si="14"/>
        <v>15</v>
      </c>
      <c r="L43">
        <v>9532</v>
      </c>
      <c r="M43">
        <v>6445</v>
      </c>
      <c r="N43">
        <v>15977</v>
      </c>
      <c r="O43">
        <v>0</v>
      </c>
    </row>
    <row r="44" spans="1:15" x14ac:dyDescent="0.3">
      <c r="A44" t="s">
        <v>0</v>
      </c>
      <c r="B44" s="1">
        <v>45578</v>
      </c>
      <c r="C44" t="str">
        <f t="shared" si="12"/>
        <v>44021</v>
      </c>
      <c r="D44" t="s">
        <v>5</v>
      </c>
      <c r="E44" t="str">
        <f t="shared" si="13"/>
        <v>15</v>
      </c>
      <c r="F44">
        <v>481110</v>
      </c>
      <c r="G44">
        <v>309317</v>
      </c>
      <c r="H44">
        <v>9918</v>
      </c>
      <c r="I44" t="str">
        <f>("3")</f>
        <v>3</v>
      </c>
      <c r="J44" t="str">
        <f>("cd&amp;v")</f>
        <v>cd&amp;v</v>
      </c>
      <c r="K44" t="str">
        <f t="shared" si="14"/>
        <v>15</v>
      </c>
      <c r="L44">
        <v>17150</v>
      </c>
      <c r="M44">
        <v>35976</v>
      </c>
      <c r="N44">
        <v>53126</v>
      </c>
      <c r="O44">
        <v>3</v>
      </c>
    </row>
    <row r="45" spans="1:15" x14ac:dyDescent="0.3">
      <c r="A45" t="s">
        <v>0</v>
      </c>
      <c r="B45" s="1">
        <v>45578</v>
      </c>
      <c r="C45" t="str">
        <f t="shared" si="12"/>
        <v>44021</v>
      </c>
      <c r="D45" t="s">
        <v>5</v>
      </c>
      <c r="E45" t="str">
        <f t="shared" si="13"/>
        <v>15</v>
      </c>
      <c r="F45">
        <v>481110</v>
      </c>
      <c r="G45">
        <v>309317</v>
      </c>
      <c r="H45">
        <v>9918</v>
      </c>
      <c r="I45" t="str">
        <f>("4")</f>
        <v>4</v>
      </c>
      <c r="J45" t="str">
        <f>("VLAAMS BELANG")</f>
        <v>VLAAMS BELANG</v>
      </c>
      <c r="K45" t="str">
        <f t="shared" si="14"/>
        <v>15</v>
      </c>
      <c r="L45">
        <v>23983</v>
      </c>
      <c r="M45">
        <v>11375</v>
      </c>
      <c r="N45">
        <v>35358</v>
      </c>
      <c r="O45">
        <v>2</v>
      </c>
    </row>
    <row r="46" spans="1:15" x14ac:dyDescent="0.3">
      <c r="A46" t="s">
        <v>0</v>
      </c>
      <c r="B46" s="1">
        <v>45578</v>
      </c>
      <c r="C46" t="str">
        <f t="shared" si="12"/>
        <v>44021</v>
      </c>
      <c r="D46" t="s">
        <v>5</v>
      </c>
      <c r="E46" t="str">
        <f t="shared" si="13"/>
        <v>15</v>
      </c>
      <c r="F46">
        <v>481110</v>
      </c>
      <c r="G46">
        <v>309317</v>
      </c>
      <c r="H46">
        <v>9918</v>
      </c>
      <c r="I46" t="str">
        <f>("5")</f>
        <v>5</v>
      </c>
      <c r="J46" t="str">
        <f>("N-VA")</f>
        <v>N-VA</v>
      </c>
      <c r="K46" t="str">
        <f t="shared" si="14"/>
        <v>15</v>
      </c>
      <c r="L46">
        <v>40616</v>
      </c>
      <c r="M46">
        <v>26486</v>
      </c>
      <c r="N46">
        <v>67102</v>
      </c>
      <c r="O46">
        <v>4</v>
      </c>
    </row>
    <row r="47" spans="1:15" x14ac:dyDescent="0.3">
      <c r="A47" t="s">
        <v>0</v>
      </c>
      <c r="B47" s="1">
        <v>45578</v>
      </c>
      <c r="C47" t="str">
        <f t="shared" si="12"/>
        <v>44021</v>
      </c>
      <c r="D47" t="s">
        <v>5</v>
      </c>
      <c r="E47" t="str">
        <f t="shared" si="13"/>
        <v>15</v>
      </c>
      <c r="F47">
        <v>481110</v>
      </c>
      <c r="G47">
        <v>309317</v>
      </c>
      <c r="H47">
        <v>9918</v>
      </c>
      <c r="I47" t="str">
        <f>("6")</f>
        <v>6</v>
      </c>
      <c r="J47" t="str">
        <f>("Open Vld")</f>
        <v>Open Vld</v>
      </c>
      <c r="K47" t="str">
        <f t="shared" si="14"/>
        <v>15</v>
      </c>
      <c r="L47">
        <v>15684</v>
      </c>
      <c r="M47">
        <v>17965</v>
      </c>
      <c r="N47">
        <v>33649</v>
      </c>
      <c r="O47">
        <v>2</v>
      </c>
    </row>
    <row r="48" spans="1:15" x14ac:dyDescent="0.3">
      <c r="A48" t="s">
        <v>0</v>
      </c>
      <c r="B48" s="1">
        <v>45578</v>
      </c>
      <c r="C48" t="str">
        <f t="shared" si="12"/>
        <v>44021</v>
      </c>
      <c r="D48" t="s">
        <v>5</v>
      </c>
      <c r="E48" t="str">
        <f t="shared" si="13"/>
        <v>15</v>
      </c>
      <c r="F48">
        <v>481110</v>
      </c>
      <c r="G48">
        <v>309317</v>
      </c>
      <c r="H48">
        <v>9918</v>
      </c>
      <c r="I48" t="str">
        <f>("7")</f>
        <v>7</v>
      </c>
      <c r="J48" t="str">
        <f>("GROEN")</f>
        <v>GROEN</v>
      </c>
      <c r="K48" t="str">
        <f t="shared" si="14"/>
        <v>15</v>
      </c>
      <c r="L48">
        <v>32884</v>
      </c>
      <c r="M48">
        <v>17127</v>
      </c>
      <c r="N48">
        <v>50011</v>
      </c>
      <c r="O48">
        <v>2</v>
      </c>
    </row>
    <row r="49" spans="1:15" x14ac:dyDescent="0.3">
      <c r="A49" t="s">
        <v>0</v>
      </c>
      <c r="B49" s="1">
        <v>45578</v>
      </c>
      <c r="C49" t="str">
        <f t="shared" si="12"/>
        <v>44021</v>
      </c>
      <c r="D49" t="s">
        <v>5</v>
      </c>
      <c r="E49" t="str">
        <f t="shared" si="13"/>
        <v>15</v>
      </c>
      <c r="F49">
        <v>481110</v>
      </c>
      <c r="G49">
        <v>309317</v>
      </c>
      <c r="H49">
        <v>9918</v>
      </c>
      <c r="I49" t="str">
        <f>("8")</f>
        <v>8</v>
      </c>
      <c r="J49" t="str">
        <f>("Volt")</f>
        <v>Volt</v>
      </c>
      <c r="K49" t="str">
        <f>("3")</f>
        <v>3</v>
      </c>
      <c r="L49">
        <v>697</v>
      </c>
      <c r="M49">
        <v>351</v>
      </c>
      <c r="N49">
        <v>1048</v>
      </c>
      <c r="O49">
        <v>0</v>
      </c>
    </row>
    <row r="50" spans="1:15" x14ac:dyDescent="0.3">
      <c r="A50" t="s">
        <v>0</v>
      </c>
      <c r="B50" s="1">
        <v>45578</v>
      </c>
      <c r="C50" t="str">
        <f t="shared" si="12"/>
        <v>44021</v>
      </c>
      <c r="D50" t="s">
        <v>5</v>
      </c>
      <c r="E50" t="str">
        <f t="shared" si="13"/>
        <v>15</v>
      </c>
      <c r="F50">
        <v>481110</v>
      </c>
      <c r="G50">
        <v>309317</v>
      </c>
      <c r="H50">
        <v>9918</v>
      </c>
      <c r="I50" t="str">
        <f>("9")</f>
        <v>9</v>
      </c>
      <c r="J50" t="str">
        <f>("DierAnimal")</f>
        <v>DierAnimal</v>
      </c>
      <c r="K50" t="str">
        <f>("5")</f>
        <v>5</v>
      </c>
      <c r="L50">
        <v>1951</v>
      </c>
      <c r="M50">
        <v>771</v>
      </c>
      <c r="N50">
        <v>2722</v>
      </c>
      <c r="O50">
        <v>0</v>
      </c>
    </row>
    <row r="51" spans="1:15" x14ac:dyDescent="0.3">
      <c r="A51" t="s">
        <v>0</v>
      </c>
      <c r="B51" s="1">
        <v>45578</v>
      </c>
      <c r="C51" t="str">
        <f t="shared" ref="C51:C59" si="15">("23027")</f>
        <v>23027</v>
      </c>
      <c r="D51" t="s">
        <v>6</v>
      </c>
      <c r="E51" t="str">
        <f t="shared" ref="E51:E59" si="16">("20")</f>
        <v>20</v>
      </c>
      <c r="F51">
        <v>454681</v>
      </c>
      <c r="G51">
        <v>285986</v>
      </c>
      <c r="H51">
        <v>11036</v>
      </c>
      <c r="I51" t="str">
        <f>("1")</f>
        <v>1</v>
      </c>
      <c r="J51" t="str">
        <f>("Vooruit")</f>
        <v>Vooruit</v>
      </c>
      <c r="K51" t="str">
        <f t="shared" ref="K51:K58" si="17">("20")</f>
        <v>20</v>
      </c>
      <c r="L51">
        <v>10304</v>
      </c>
      <c r="M51">
        <v>16593</v>
      </c>
      <c r="N51">
        <v>26897</v>
      </c>
      <c r="O51">
        <v>2</v>
      </c>
    </row>
    <row r="52" spans="1:15" x14ac:dyDescent="0.3">
      <c r="A52" t="s">
        <v>0</v>
      </c>
      <c r="B52" s="1">
        <v>45578</v>
      </c>
      <c r="C52" t="str">
        <f t="shared" si="15"/>
        <v>23027</v>
      </c>
      <c r="D52" t="s">
        <v>6</v>
      </c>
      <c r="E52" t="str">
        <f t="shared" si="16"/>
        <v>20</v>
      </c>
      <c r="F52">
        <v>454681</v>
      </c>
      <c r="G52">
        <v>285986</v>
      </c>
      <c r="H52">
        <v>11036</v>
      </c>
      <c r="I52" t="str">
        <f>("2")</f>
        <v>2</v>
      </c>
      <c r="J52" t="str">
        <f>("PVDA")</f>
        <v>PVDA</v>
      </c>
      <c r="K52" t="str">
        <f t="shared" si="17"/>
        <v>20</v>
      </c>
      <c r="L52">
        <v>5024</v>
      </c>
      <c r="M52">
        <v>5923</v>
      </c>
      <c r="N52">
        <v>10947</v>
      </c>
      <c r="O52">
        <v>0</v>
      </c>
    </row>
    <row r="53" spans="1:15" x14ac:dyDescent="0.3">
      <c r="A53" t="s">
        <v>0</v>
      </c>
      <c r="B53" s="1">
        <v>45578</v>
      </c>
      <c r="C53" t="str">
        <f t="shared" si="15"/>
        <v>23027</v>
      </c>
      <c r="D53" t="s">
        <v>6</v>
      </c>
      <c r="E53" t="str">
        <f t="shared" si="16"/>
        <v>20</v>
      </c>
      <c r="F53">
        <v>454681</v>
      </c>
      <c r="G53">
        <v>285986</v>
      </c>
      <c r="H53">
        <v>11036</v>
      </c>
      <c r="I53" t="str">
        <f>("3")</f>
        <v>3</v>
      </c>
      <c r="J53" t="str">
        <f>("cd&amp;v")</f>
        <v>cd&amp;v</v>
      </c>
      <c r="K53" t="str">
        <f t="shared" si="17"/>
        <v>20</v>
      </c>
      <c r="L53">
        <v>11380</v>
      </c>
      <c r="M53">
        <v>34634</v>
      </c>
      <c r="N53">
        <v>46014</v>
      </c>
      <c r="O53">
        <v>4</v>
      </c>
    </row>
    <row r="54" spans="1:15" x14ac:dyDescent="0.3">
      <c r="A54" t="s">
        <v>0</v>
      </c>
      <c r="B54" s="1">
        <v>45578</v>
      </c>
      <c r="C54" t="str">
        <f t="shared" si="15"/>
        <v>23027</v>
      </c>
      <c r="D54" t="s">
        <v>6</v>
      </c>
      <c r="E54" t="str">
        <f t="shared" si="16"/>
        <v>20</v>
      </c>
      <c r="F54">
        <v>454681</v>
      </c>
      <c r="G54">
        <v>285986</v>
      </c>
      <c r="H54">
        <v>11036</v>
      </c>
      <c r="I54" t="str">
        <f>("4")</f>
        <v>4</v>
      </c>
      <c r="J54" t="str">
        <f>("VLAAMS BELANG")</f>
        <v>VLAAMS BELANG</v>
      </c>
      <c r="K54" t="str">
        <f t="shared" si="17"/>
        <v>20</v>
      </c>
      <c r="L54">
        <v>21352</v>
      </c>
      <c r="M54">
        <v>14299</v>
      </c>
      <c r="N54">
        <v>35651</v>
      </c>
      <c r="O54">
        <v>3</v>
      </c>
    </row>
    <row r="55" spans="1:15" x14ac:dyDescent="0.3">
      <c r="A55" t="s">
        <v>0</v>
      </c>
      <c r="B55" s="1">
        <v>45578</v>
      </c>
      <c r="C55" t="str">
        <f t="shared" si="15"/>
        <v>23027</v>
      </c>
      <c r="D55" t="s">
        <v>6</v>
      </c>
      <c r="E55" t="str">
        <f t="shared" si="16"/>
        <v>20</v>
      </c>
      <c r="F55">
        <v>454681</v>
      </c>
      <c r="G55">
        <v>285986</v>
      </c>
      <c r="H55">
        <v>11036</v>
      </c>
      <c r="I55" t="str">
        <f>("5")</f>
        <v>5</v>
      </c>
      <c r="J55" t="str">
        <f>("N-VA")</f>
        <v>N-VA</v>
      </c>
      <c r="K55" t="str">
        <f t="shared" si="17"/>
        <v>20</v>
      </c>
      <c r="L55">
        <v>37458</v>
      </c>
      <c r="M55">
        <v>31692</v>
      </c>
      <c r="N55">
        <v>69150</v>
      </c>
      <c r="O55">
        <v>6</v>
      </c>
    </row>
    <row r="56" spans="1:15" x14ac:dyDescent="0.3">
      <c r="A56" t="s">
        <v>0</v>
      </c>
      <c r="B56" s="1">
        <v>45578</v>
      </c>
      <c r="C56" t="str">
        <f t="shared" si="15"/>
        <v>23027</v>
      </c>
      <c r="D56" t="s">
        <v>6</v>
      </c>
      <c r="E56" t="str">
        <f t="shared" si="16"/>
        <v>20</v>
      </c>
      <c r="F56">
        <v>454681</v>
      </c>
      <c r="G56">
        <v>285986</v>
      </c>
      <c r="H56">
        <v>11036</v>
      </c>
      <c r="I56" t="str">
        <f>("6")</f>
        <v>6</v>
      </c>
      <c r="J56" t="str">
        <f>("Open Vld")</f>
        <v>Open Vld</v>
      </c>
      <c r="K56" t="str">
        <f t="shared" si="17"/>
        <v>20</v>
      </c>
      <c r="L56">
        <v>11914</v>
      </c>
      <c r="M56">
        <v>18416</v>
      </c>
      <c r="N56">
        <v>30330</v>
      </c>
      <c r="O56">
        <v>2</v>
      </c>
    </row>
    <row r="57" spans="1:15" x14ac:dyDescent="0.3">
      <c r="A57" t="s">
        <v>0</v>
      </c>
      <c r="B57" s="1">
        <v>45578</v>
      </c>
      <c r="C57" t="str">
        <f t="shared" si="15"/>
        <v>23027</v>
      </c>
      <c r="D57" t="s">
        <v>6</v>
      </c>
      <c r="E57" t="str">
        <f t="shared" si="16"/>
        <v>20</v>
      </c>
      <c r="F57">
        <v>454681</v>
      </c>
      <c r="G57">
        <v>285986</v>
      </c>
      <c r="H57">
        <v>11036</v>
      </c>
      <c r="I57" t="str">
        <f>("7")</f>
        <v>7</v>
      </c>
      <c r="J57" t="str">
        <f>("GROEN")</f>
        <v>GROEN</v>
      </c>
      <c r="K57" t="str">
        <f t="shared" si="17"/>
        <v>20</v>
      </c>
      <c r="L57">
        <v>11750</v>
      </c>
      <c r="M57">
        <v>9870</v>
      </c>
      <c r="N57">
        <v>21620</v>
      </c>
      <c r="O57">
        <v>1</v>
      </c>
    </row>
    <row r="58" spans="1:15" x14ac:dyDescent="0.3">
      <c r="A58" t="s">
        <v>0</v>
      </c>
      <c r="B58" s="1">
        <v>45578</v>
      </c>
      <c r="C58" t="str">
        <f t="shared" si="15"/>
        <v>23027</v>
      </c>
      <c r="D58" t="s">
        <v>6</v>
      </c>
      <c r="E58" t="str">
        <f t="shared" si="16"/>
        <v>20</v>
      </c>
      <c r="F58">
        <v>454681</v>
      </c>
      <c r="G58">
        <v>285986</v>
      </c>
      <c r="H58">
        <v>11036</v>
      </c>
      <c r="I58" t="str">
        <f>("8")</f>
        <v>8</v>
      </c>
      <c r="J58" t="str">
        <f>("UF Union Francophone")</f>
        <v>UF Union Francophone</v>
      </c>
      <c r="K58" t="str">
        <f t="shared" si="17"/>
        <v>20</v>
      </c>
      <c r="L58">
        <v>14449</v>
      </c>
      <c r="M58">
        <v>14642</v>
      </c>
      <c r="N58">
        <v>29091</v>
      </c>
      <c r="O58">
        <v>2</v>
      </c>
    </row>
    <row r="59" spans="1:15" x14ac:dyDescent="0.3">
      <c r="A59" t="s">
        <v>0</v>
      </c>
      <c r="B59" s="1">
        <v>45578</v>
      </c>
      <c r="C59" t="str">
        <f t="shared" si="15"/>
        <v>23027</v>
      </c>
      <c r="D59" t="s">
        <v>6</v>
      </c>
      <c r="E59" t="str">
        <f t="shared" si="16"/>
        <v>20</v>
      </c>
      <c r="F59">
        <v>454681</v>
      </c>
      <c r="G59">
        <v>285986</v>
      </c>
      <c r="H59">
        <v>11036</v>
      </c>
      <c r="I59" t="str">
        <f>("9")</f>
        <v>9</v>
      </c>
      <c r="J59" t="str">
        <f>("TeamFouadAhidar+1800")</f>
        <v>TeamFouadAhidar+1800</v>
      </c>
      <c r="K59" t="str">
        <f>("7")</f>
        <v>7</v>
      </c>
      <c r="L59">
        <v>1398</v>
      </c>
      <c r="M59">
        <v>3852</v>
      </c>
      <c r="N59">
        <v>5250</v>
      </c>
      <c r="O59">
        <v>0</v>
      </c>
    </row>
    <row r="60" spans="1:15" x14ac:dyDescent="0.3">
      <c r="A60" t="s">
        <v>0</v>
      </c>
      <c r="B60" s="1">
        <v>45578</v>
      </c>
      <c r="C60" t="str">
        <f t="shared" ref="C60:C71" si="18">("71022")</f>
        <v>71022</v>
      </c>
      <c r="D60" t="s">
        <v>7</v>
      </c>
      <c r="E60" t="str">
        <f t="shared" ref="E60:E71" si="19">("15")</f>
        <v>15</v>
      </c>
      <c r="F60">
        <v>330544</v>
      </c>
      <c r="G60">
        <v>205503</v>
      </c>
      <c r="H60">
        <v>6453</v>
      </c>
      <c r="I60" t="str">
        <f>("1")</f>
        <v>1</v>
      </c>
      <c r="J60" t="str">
        <f>("Vooruit")</f>
        <v>Vooruit</v>
      </c>
      <c r="K60" t="str">
        <f t="shared" ref="K60:K68" si="20">("15")</f>
        <v>15</v>
      </c>
      <c r="L60">
        <v>11182</v>
      </c>
      <c r="M60">
        <v>21090</v>
      </c>
      <c r="N60">
        <v>32272</v>
      </c>
      <c r="O60">
        <v>2</v>
      </c>
    </row>
    <row r="61" spans="1:15" x14ac:dyDescent="0.3">
      <c r="A61" t="s">
        <v>0</v>
      </c>
      <c r="B61" s="1">
        <v>45578</v>
      </c>
      <c r="C61" t="str">
        <f t="shared" si="18"/>
        <v>71022</v>
      </c>
      <c r="D61" t="s">
        <v>7</v>
      </c>
      <c r="E61" t="str">
        <f t="shared" si="19"/>
        <v>15</v>
      </c>
      <c r="F61">
        <v>330544</v>
      </c>
      <c r="G61">
        <v>205503</v>
      </c>
      <c r="H61">
        <v>6453</v>
      </c>
      <c r="I61" t="str">
        <f>("2")</f>
        <v>2</v>
      </c>
      <c r="J61" t="str">
        <f>("PVDA")</f>
        <v>PVDA</v>
      </c>
      <c r="K61" t="str">
        <f t="shared" si="20"/>
        <v>15</v>
      </c>
      <c r="L61">
        <v>3654</v>
      </c>
      <c r="M61">
        <v>5944</v>
      </c>
      <c r="N61">
        <v>9598</v>
      </c>
      <c r="O61">
        <v>0</v>
      </c>
    </row>
    <row r="62" spans="1:15" x14ac:dyDescent="0.3">
      <c r="A62" t="s">
        <v>0</v>
      </c>
      <c r="B62" s="1">
        <v>45578</v>
      </c>
      <c r="C62" t="str">
        <f t="shared" si="18"/>
        <v>71022</v>
      </c>
      <c r="D62" t="s">
        <v>7</v>
      </c>
      <c r="E62" t="str">
        <f t="shared" si="19"/>
        <v>15</v>
      </c>
      <c r="F62">
        <v>330544</v>
      </c>
      <c r="G62">
        <v>205503</v>
      </c>
      <c r="H62">
        <v>6453</v>
      </c>
      <c r="I62" t="str">
        <f>("3")</f>
        <v>3</v>
      </c>
      <c r="J62" t="str">
        <f>("cd&amp;v")</f>
        <v>cd&amp;v</v>
      </c>
      <c r="K62" t="str">
        <f t="shared" si="20"/>
        <v>15</v>
      </c>
      <c r="L62">
        <v>12401</v>
      </c>
      <c r="M62">
        <v>33537</v>
      </c>
      <c r="N62">
        <v>45938</v>
      </c>
      <c r="O62">
        <v>4</v>
      </c>
    </row>
    <row r="63" spans="1:15" x14ac:dyDescent="0.3">
      <c r="A63" t="s">
        <v>0</v>
      </c>
      <c r="B63" s="1">
        <v>45578</v>
      </c>
      <c r="C63" t="str">
        <f t="shared" si="18"/>
        <v>71022</v>
      </c>
      <c r="D63" t="s">
        <v>7</v>
      </c>
      <c r="E63" t="str">
        <f t="shared" si="19"/>
        <v>15</v>
      </c>
      <c r="F63">
        <v>330544</v>
      </c>
      <c r="G63">
        <v>205503</v>
      </c>
      <c r="H63">
        <v>6453</v>
      </c>
      <c r="I63" t="str">
        <f>("4")</f>
        <v>4</v>
      </c>
      <c r="J63" t="str">
        <f>("VLAAMS BELANG")</f>
        <v>VLAAMS BELANG</v>
      </c>
      <c r="K63" t="str">
        <f t="shared" si="20"/>
        <v>15</v>
      </c>
      <c r="L63">
        <v>17598</v>
      </c>
      <c r="M63">
        <v>17322</v>
      </c>
      <c r="N63">
        <v>34920</v>
      </c>
      <c r="O63">
        <v>3</v>
      </c>
    </row>
    <row r="64" spans="1:15" x14ac:dyDescent="0.3">
      <c r="A64" t="s">
        <v>0</v>
      </c>
      <c r="B64" s="1">
        <v>45578</v>
      </c>
      <c r="C64" t="str">
        <f t="shared" si="18"/>
        <v>71022</v>
      </c>
      <c r="D64" t="s">
        <v>7</v>
      </c>
      <c r="E64" t="str">
        <f t="shared" si="19"/>
        <v>15</v>
      </c>
      <c r="F64">
        <v>330544</v>
      </c>
      <c r="G64">
        <v>205503</v>
      </c>
      <c r="H64">
        <v>6453</v>
      </c>
      <c r="I64" t="str">
        <f>("5")</f>
        <v>5</v>
      </c>
      <c r="J64" t="str">
        <f>("N-VA")</f>
        <v>N-VA</v>
      </c>
      <c r="K64" t="str">
        <f t="shared" si="20"/>
        <v>15</v>
      </c>
      <c r="L64">
        <v>20852</v>
      </c>
      <c r="M64">
        <v>22762</v>
      </c>
      <c r="N64">
        <v>43614</v>
      </c>
      <c r="O64">
        <v>4</v>
      </c>
    </row>
    <row r="65" spans="1:15" x14ac:dyDescent="0.3">
      <c r="A65" t="s">
        <v>0</v>
      </c>
      <c r="B65" s="1">
        <v>45578</v>
      </c>
      <c r="C65" t="str">
        <f t="shared" si="18"/>
        <v>71022</v>
      </c>
      <c r="D65" t="s">
        <v>7</v>
      </c>
      <c r="E65" t="str">
        <f t="shared" si="19"/>
        <v>15</v>
      </c>
      <c r="F65">
        <v>330544</v>
      </c>
      <c r="G65">
        <v>205503</v>
      </c>
      <c r="H65">
        <v>6453</v>
      </c>
      <c r="I65" t="str">
        <f>("6")</f>
        <v>6</v>
      </c>
      <c r="J65" t="str">
        <f>("Open Vld Limburg")</f>
        <v>Open Vld Limburg</v>
      </c>
      <c r="K65" t="str">
        <f t="shared" si="20"/>
        <v>15</v>
      </c>
      <c r="L65">
        <v>4717</v>
      </c>
      <c r="M65">
        <v>11990</v>
      </c>
      <c r="N65">
        <v>16707</v>
      </c>
      <c r="O65">
        <v>1</v>
      </c>
    </row>
    <row r="66" spans="1:15" x14ac:dyDescent="0.3">
      <c r="A66" t="s">
        <v>0</v>
      </c>
      <c r="B66" s="1">
        <v>45578</v>
      </c>
      <c r="C66" t="str">
        <f t="shared" si="18"/>
        <v>71022</v>
      </c>
      <c r="D66" t="s">
        <v>7</v>
      </c>
      <c r="E66" t="str">
        <f t="shared" si="19"/>
        <v>15</v>
      </c>
      <c r="F66">
        <v>330544</v>
      </c>
      <c r="G66">
        <v>205503</v>
      </c>
      <c r="H66">
        <v>6453</v>
      </c>
      <c r="I66" t="str">
        <f>("7")</f>
        <v>7</v>
      </c>
      <c r="J66" t="str">
        <f>("GROEN")</f>
        <v>GROEN</v>
      </c>
      <c r="K66" t="str">
        <f t="shared" si="20"/>
        <v>15</v>
      </c>
      <c r="L66">
        <v>5867</v>
      </c>
      <c r="M66">
        <v>5827</v>
      </c>
      <c r="N66">
        <v>11694</v>
      </c>
      <c r="O66">
        <v>1</v>
      </c>
    </row>
    <row r="67" spans="1:15" x14ac:dyDescent="0.3">
      <c r="A67" t="s">
        <v>0</v>
      </c>
      <c r="B67" s="1">
        <v>45578</v>
      </c>
      <c r="C67" t="str">
        <f t="shared" si="18"/>
        <v>71022</v>
      </c>
      <c r="D67" t="s">
        <v>7</v>
      </c>
      <c r="E67" t="str">
        <f t="shared" si="19"/>
        <v>15</v>
      </c>
      <c r="F67">
        <v>330544</v>
      </c>
      <c r="G67">
        <v>205503</v>
      </c>
      <c r="H67">
        <v>6453</v>
      </c>
      <c r="I67" t="str">
        <f>("8")</f>
        <v>8</v>
      </c>
      <c r="J67" t="str">
        <f>("BBB")</f>
        <v>BBB</v>
      </c>
      <c r="K67" t="str">
        <f t="shared" si="20"/>
        <v>15</v>
      </c>
      <c r="L67">
        <v>303</v>
      </c>
      <c r="M67">
        <v>286</v>
      </c>
      <c r="N67">
        <v>589</v>
      </c>
      <c r="O67">
        <v>0</v>
      </c>
    </row>
    <row r="68" spans="1:15" x14ac:dyDescent="0.3">
      <c r="A68" t="s">
        <v>0</v>
      </c>
      <c r="B68" s="1">
        <v>45578</v>
      </c>
      <c r="C68" t="str">
        <f t="shared" si="18"/>
        <v>71022</v>
      </c>
      <c r="D68" t="s">
        <v>7</v>
      </c>
      <c r="E68" t="str">
        <f t="shared" si="19"/>
        <v>15</v>
      </c>
      <c r="F68">
        <v>330544</v>
      </c>
      <c r="G68">
        <v>205503</v>
      </c>
      <c r="H68">
        <v>6453</v>
      </c>
      <c r="I68" t="str">
        <f>("9")</f>
        <v>9</v>
      </c>
      <c r="J68" t="str">
        <f>("Limburg Anders")</f>
        <v>Limburg Anders</v>
      </c>
      <c r="K68" t="str">
        <f t="shared" si="20"/>
        <v>15</v>
      </c>
      <c r="L68">
        <v>461</v>
      </c>
      <c r="M68">
        <v>527</v>
      </c>
      <c r="N68">
        <v>988</v>
      </c>
      <c r="O68">
        <v>0</v>
      </c>
    </row>
    <row r="69" spans="1:15" x14ac:dyDescent="0.3">
      <c r="A69" t="s">
        <v>0</v>
      </c>
      <c r="B69" s="1">
        <v>45578</v>
      </c>
      <c r="C69" t="str">
        <f t="shared" si="18"/>
        <v>71022</v>
      </c>
      <c r="D69" t="s">
        <v>7</v>
      </c>
      <c r="E69" t="str">
        <f t="shared" si="19"/>
        <v>15</v>
      </c>
      <c r="F69">
        <v>330544</v>
      </c>
      <c r="G69">
        <v>205503</v>
      </c>
      <c r="H69">
        <v>6453</v>
      </c>
      <c r="I69" t="str">
        <f>("10")</f>
        <v>10</v>
      </c>
      <c r="J69" t="str">
        <f>("Volt")</f>
        <v>Volt</v>
      </c>
      <c r="K69" t="str">
        <f>("1")</f>
        <v>1</v>
      </c>
      <c r="L69">
        <v>146</v>
      </c>
      <c r="M69">
        <v>235</v>
      </c>
      <c r="N69">
        <v>381</v>
      </c>
      <c r="O69">
        <v>0</v>
      </c>
    </row>
    <row r="70" spans="1:15" x14ac:dyDescent="0.3">
      <c r="A70" t="s">
        <v>0</v>
      </c>
      <c r="B70" s="1">
        <v>45578</v>
      </c>
      <c r="C70" t="str">
        <f t="shared" si="18"/>
        <v>71022</v>
      </c>
      <c r="D70" t="s">
        <v>7</v>
      </c>
      <c r="E70" t="str">
        <f t="shared" si="19"/>
        <v>15</v>
      </c>
      <c r="F70">
        <v>330544</v>
      </c>
      <c r="G70">
        <v>205503</v>
      </c>
      <c r="H70">
        <v>6453</v>
      </c>
      <c r="I70" t="str">
        <f>("11")</f>
        <v>11</v>
      </c>
      <c r="J70" t="str">
        <f>("Interactief Beringen")</f>
        <v>Interactief Beringen</v>
      </c>
      <c r="K70" t="str">
        <f>("8")</f>
        <v>8</v>
      </c>
      <c r="L70">
        <v>45</v>
      </c>
      <c r="M70">
        <v>468</v>
      </c>
      <c r="N70">
        <v>513</v>
      </c>
      <c r="O70">
        <v>0</v>
      </c>
    </row>
    <row r="71" spans="1:15" x14ac:dyDescent="0.3">
      <c r="A71" t="s">
        <v>0</v>
      </c>
      <c r="B71" s="1">
        <v>45578</v>
      </c>
      <c r="C71" t="str">
        <f t="shared" si="18"/>
        <v>71022</v>
      </c>
      <c r="D71" t="s">
        <v>7</v>
      </c>
      <c r="E71" t="str">
        <f t="shared" si="19"/>
        <v>15</v>
      </c>
      <c r="F71">
        <v>330544</v>
      </c>
      <c r="G71">
        <v>205503</v>
      </c>
      <c r="H71">
        <v>6453</v>
      </c>
      <c r="I71" t="str">
        <f>("12")</f>
        <v>12</v>
      </c>
      <c r="J71" t="str">
        <f>("DierAnimal")</f>
        <v>DierAnimal</v>
      </c>
      <c r="K71" t="str">
        <f>("3")</f>
        <v>3</v>
      </c>
      <c r="L71">
        <v>963</v>
      </c>
      <c r="M71">
        <v>873</v>
      </c>
      <c r="N71">
        <v>1836</v>
      </c>
      <c r="O71">
        <v>0</v>
      </c>
    </row>
    <row r="72" spans="1:15" x14ac:dyDescent="0.3">
      <c r="A72" t="s">
        <v>0</v>
      </c>
      <c r="B72" s="1">
        <v>45578</v>
      </c>
      <c r="C72" t="str">
        <f t="shared" ref="C72:C80" si="21">("33011")</f>
        <v>33011</v>
      </c>
      <c r="D72" t="s">
        <v>8</v>
      </c>
      <c r="E72" t="str">
        <f t="shared" ref="E72:E80" si="22">("11")</f>
        <v>11</v>
      </c>
      <c r="F72">
        <v>297391</v>
      </c>
      <c r="G72">
        <v>191660</v>
      </c>
      <c r="H72">
        <v>8521</v>
      </c>
      <c r="I72" t="str">
        <f>("1")</f>
        <v>1</v>
      </c>
      <c r="J72" t="str">
        <f>("Vooruit")</f>
        <v>Vooruit</v>
      </c>
      <c r="K72" t="str">
        <f t="shared" ref="K72:K78" si="23">("11")</f>
        <v>11</v>
      </c>
      <c r="L72">
        <v>15041</v>
      </c>
      <c r="M72">
        <v>21773</v>
      </c>
      <c r="N72">
        <v>36814</v>
      </c>
      <c r="O72">
        <v>2</v>
      </c>
    </row>
    <row r="73" spans="1:15" x14ac:dyDescent="0.3">
      <c r="A73" t="s">
        <v>0</v>
      </c>
      <c r="B73" s="1">
        <v>45578</v>
      </c>
      <c r="C73" t="str">
        <f t="shared" si="21"/>
        <v>33011</v>
      </c>
      <c r="D73" t="s">
        <v>8</v>
      </c>
      <c r="E73" t="str">
        <f t="shared" si="22"/>
        <v>11</v>
      </c>
      <c r="F73">
        <v>297391</v>
      </c>
      <c r="G73">
        <v>191660</v>
      </c>
      <c r="H73">
        <v>8521</v>
      </c>
      <c r="I73" t="str">
        <f>("2")</f>
        <v>2</v>
      </c>
      <c r="J73" t="str">
        <f>("PVDA")</f>
        <v>PVDA</v>
      </c>
      <c r="K73" t="str">
        <f t="shared" si="23"/>
        <v>11</v>
      </c>
      <c r="L73">
        <v>2781</v>
      </c>
      <c r="M73">
        <v>2288</v>
      </c>
      <c r="N73">
        <v>5069</v>
      </c>
      <c r="O73">
        <v>0</v>
      </c>
    </row>
    <row r="74" spans="1:15" x14ac:dyDescent="0.3">
      <c r="A74" t="s">
        <v>0</v>
      </c>
      <c r="B74" s="1">
        <v>45578</v>
      </c>
      <c r="C74" t="str">
        <f t="shared" si="21"/>
        <v>33011</v>
      </c>
      <c r="D74" t="s">
        <v>8</v>
      </c>
      <c r="E74" t="str">
        <f t="shared" si="22"/>
        <v>11</v>
      </c>
      <c r="F74">
        <v>297391</v>
      </c>
      <c r="G74">
        <v>191660</v>
      </c>
      <c r="H74">
        <v>8521</v>
      </c>
      <c r="I74" t="str">
        <f>("3")</f>
        <v>3</v>
      </c>
      <c r="J74" t="str">
        <f>("cd&amp;v")</f>
        <v>cd&amp;v</v>
      </c>
      <c r="K74" t="str">
        <f t="shared" si="23"/>
        <v>11</v>
      </c>
      <c r="L74">
        <v>13354</v>
      </c>
      <c r="M74">
        <v>23746</v>
      </c>
      <c r="N74">
        <v>37100</v>
      </c>
      <c r="O74">
        <v>3</v>
      </c>
    </row>
    <row r="75" spans="1:15" x14ac:dyDescent="0.3">
      <c r="A75" t="s">
        <v>0</v>
      </c>
      <c r="B75" s="1">
        <v>45578</v>
      </c>
      <c r="C75" t="str">
        <f t="shared" si="21"/>
        <v>33011</v>
      </c>
      <c r="D75" t="s">
        <v>8</v>
      </c>
      <c r="E75" t="str">
        <f t="shared" si="22"/>
        <v>11</v>
      </c>
      <c r="F75">
        <v>297391</v>
      </c>
      <c r="G75">
        <v>191660</v>
      </c>
      <c r="H75">
        <v>8521</v>
      </c>
      <c r="I75" t="str">
        <f>("4")</f>
        <v>4</v>
      </c>
      <c r="J75" t="str">
        <f>("VLAAMS BELANG")</f>
        <v>VLAAMS BELANG</v>
      </c>
      <c r="K75" t="str">
        <f t="shared" si="23"/>
        <v>11</v>
      </c>
      <c r="L75">
        <v>24388</v>
      </c>
      <c r="M75">
        <v>12958</v>
      </c>
      <c r="N75">
        <v>37346</v>
      </c>
      <c r="O75">
        <v>3</v>
      </c>
    </row>
    <row r="76" spans="1:15" x14ac:dyDescent="0.3">
      <c r="A76" t="s">
        <v>0</v>
      </c>
      <c r="B76" s="1">
        <v>45578</v>
      </c>
      <c r="C76" t="str">
        <f t="shared" si="21"/>
        <v>33011</v>
      </c>
      <c r="D76" t="s">
        <v>8</v>
      </c>
      <c r="E76" t="str">
        <f t="shared" si="22"/>
        <v>11</v>
      </c>
      <c r="F76">
        <v>297391</v>
      </c>
      <c r="G76">
        <v>191660</v>
      </c>
      <c r="H76">
        <v>8521</v>
      </c>
      <c r="I76" t="str">
        <f>("5")</f>
        <v>5</v>
      </c>
      <c r="J76" t="str">
        <f>("N-VA")</f>
        <v>N-VA</v>
      </c>
      <c r="K76" t="str">
        <f t="shared" si="23"/>
        <v>11</v>
      </c>
      <c r="L76">
        <v>20186</v>
      </c>
      <c r="M76">
        <v>14354</v>
      </c>
      <c r="N76">
        <v>34540</v>
      </c>
      <c r="O76">
        <v>2</v>
      </c>
    </row>
    <row r="77" spans="1:15" x14ac:dyDescent="0.3">
      <c r="A77" t="s">
        <v>0</v>
      </c>
      <c r="B77" s="1">
        <v>45578</v>
      </c>
      <c r="C77" t="str">
        <f t="shared" si="21"/>
        <v>33011</v>
      </c>
      <c r="D77" t="s">
        <v>8</v>
      </c>
      <c r="E77" t="str">
        <f t="shared" si="22"/>
        <v>11</v>
      </c>
      <c r="F77">
        <v>297391</v>
      </c>
      <c r="G77">
        <v>191660</v>
      </c>
      <c r="H77">
        <v>8521</v>
      </c>
      <c r="I77" t="str">
        <f>("6")</f>
        <v>6</v>
      </c>
      <c r="J77" t="str">
        <f>("Open Vld")</f>
        <v>Open Vld</v>
      </c>
      <c r="K77" t="str">
        <f t="shared" si="23"/>
        <v>11</v>
      </c>
      <c r="L77">
        <v>6073</v>
      </c>
      <c r="M77">
        <v>15208</v>
      </c>
      <c r="N77">
        <v>21281</v>
      </c>
      <c r="O77">
        <v>1</v>
      </c>
    </row>
    <row r="78" spans="1:15" x14ac:dyDescent="0.3">
      <c r="A78" t="s">
        <v>0</v>
      </c>
      <c r="B78" s="1">
        <v>45578</v>
      </c>
      <c r="C78" t="str">
        <f t="shared" si="21"/>
        <v>33011</v>
      </c>
      <c r="D78" t="s">
        <v>8</v>
      </c>
      <c r="E78" t="str">
        <f t="shared" si="22"/>
        <v>11</v>
      </c>
      <c r="F78">
        <v>297391</v>
      </c>
      <c r="G78">
        <v>191660</v>
      </c>
      <c r="H78">
        <v>8521</v>
      </c>
      <c r="I78" t="str">
        <f>("7")</f>
        <v>7</v>
      </c>
      <c r="J78" t="str">
        <f>("GROEN")</f>
        <v>GROEN</v>
      </c>
      <c r="K78" t="str">
        <f t="shared" si="23"/>
        <v>11</v>
      </c>
      <c r="L78">
        <v>5630</v>
      </c>
      <c r="M78">
        <v>4048</v>
      </c>
      <c r="N78">
        <v>9678</v>
      </c>
      <c r="O78">
        <v>0</v>
      </c>
    </row>
    <row r="79" spans="1:15" x14ac:dyDescent="0.3">
      <c r="A79" t="s">
        <v>0</v>
      </c>
      <c r="B79" s="1">
        <v>45578</v>
      </c>
      <c r="C79" t="str">
        <f t="shared" si="21"/>
        <v>33011</v>
      </c>
      <c r="D79" t="s">
        <v>8</v>
      </c>
      <c r="E79" t="str">
        <f t="shared" si="22"/>
        <v>11</v>
      </c>
      <c r="F79">
        <v>297391</v>
      </c>
      <c r="G79">
        <v>191660</v>
      </c>
      <c r="H79">
        <v>8521</v>
      </c>
      <c r="I79" t="str">
        <f>("8")</f>
        <v>8</v>
      </c>
      <c r="J79" t="str">
        <f>("V.I.T.A.L.")</f>
        <v>V.I.T.A.L.</v>
      </c>
      <c r="K79" t="str">
        <f>("1")</f>
        <v>1</v>
      </c>
      <c r="L79">
        <v>243</v>
      </c>
      <c r="M79">
        <v>344</v>
      </c>
      <c r="N79">
        <v>587</v>
      </c>
      <c r="O79">
        <v>0</v>
      </c>
    </row>
    <row r="80" spans="1:15" x14ac:dyDescent="0.3">
      <c r="A80" t="s">
        <v>0</v>
      </c>
      <c r="B80" s="1">
        <v>45578</v>
      </c>
      <c r="C80" t="str">
        <f t="shared" si="21"/>
        <v>33011</v>
      </c>
      <c r="D80" t="s">
        <v>8</v>
      </c>
      <c r="E80" t="str">
        <f t="shared" si="22"/>
        <v>11</v>
      </c>
      <c r="F80">
        <v>297391</v>
      </c>
      <c r="G80">
        <v>191660</v>
      </c>
      <c r="H80">
        <v>8521</v>
      </c>
      <c r="I80" t="str">
        <f>("9")</f>
        <v>9</v>
      </c>
      <c r="J80" t="str">
        <f>("SVD")</f>
        <v>SVD</v>
      </c>
      <c r="K80" t="str">
        <f>("9")</f>
        <v>9</v>
      </c>
      <c r="L80">
        <v>274</v>
      </c>
      <c r="M80">
        <v>450</v>
      </c>
      <c r="N80">
        <v>724</v>
      </c>
      <c r="O80">
        <v>0</v>
      </c>
    </row>
    <row r="81" spans="1:15" x14ac:dyDescent="0.3">
      <c r="A81" t="s">
        <v>0</v>
      </c>
      <c r="B81" s="1">
        <v>45578</v>
      </c>
      <c r="C81" t="str">
        <f t="shared" ref="C81:C88" si="24">("34022")</f>
        <v>34022</v>
      </c>
      <c r="D81" t="s">
        <v>9</v>
      </c>
      <c r="E81" t="str">
        <f t="shared" ref="E81:E97" si="25">("16")</f>
        <v>16</v>
      </c>
      <c r="F81">
        <v>415132</v>
      </c>
      <c r="G81">
        <v>270680</v>
      </c>
      <c r="H81">
        <v>11163</v>
      </c>
      <c r="I81" t="str">
        <f>("1")</f>
        <v>1</v>
      </c>
      <c r="J81" t="str">
        <f>("Vooruit")</f>
        <v>Vooruit</v>
      </c>
      <c r="K81" t="str">
        <f t="shared" ref="K81:K87" si="26">("16")</f>
        <v>16</v>
      </c>
      <c r="L81">
        <v>18674</v>
      </c>
      <c r="M81">
        <v>14840</v>
      </c>
      <c r="N81">
        <v>33514</v>
      </c>
      <c r="O81">
        <v>2</v>
      </c>
    </row>
    <row r="82" spans="1:15" x14ac:dyDescent="0.3">
      <c r="A82" t="s">
        <v>0</v>
      </c>
      <c r="B82" s="1">
        <v>45578</v>
      </c>
      <c r="C82" t="str">
        <f t="shared" si="24"/>
        <v>34022</v>
      </c>
      <c r="D82" t="s">
        <v>9</v>
      </c>
      <c r="E82" t="str">
        <f t="shared" si="25"/>
        <v>16</v>
      </c>
      <c r="F82">
        <v>415132</v>
      </c>
      <c r="G82">
        <v>270680</v>
      </c>
      <c r="H82">
        <v>11163</v>
      </c>
      <c r="I82" t="str">
        <f>("2")</f>
        <v>2</v>
      </c>
      <c r="J82" t="str">
        <f>("PVDA")</f>
        <v>PVDA</v>
      </c>
      <c r="K82" t="str">
        <f t="shared" si="26"/>
        <v>16</v>
      </c>
      <c r="L82">
        <v>3812</v>
      </c>
      <c r="M82">
        <v>2517</v>
      </c>
      <c r="N82">
        <v>6329</v>
      </c>
      <c r="O82">
        <v>0</v>
      </c>
    </row>
    <row r="83" spans="1:15" x14ac:dyDescent="0.3">
      <c r="A83" t="s">
        <v>0</v>
      </c>
      <c r="B83" s="1">
        <v>45578</v>
      </c>
      <c r="C83" t="str">
        <f t="shared" si="24"/>
        <v>34022</v>
      </c>
      <c r="D83" t="s">
        <v>9</v>
      </c>
      <c r="E83" t="str">
        <f t="shared" si="25"/>
        <v>16</v>
      </c>
      <c r="F83">
        <v>415132</v>
      </c>
      <c r="G83">
        <v>270680</v>
      </c>
      <c r="H83">
        <v>11163</v>
      </c>
      <c r="I83" t="str">
        <f>("3")</f>
        <v>3</v>
      </c>
      <c r="J83" t="str">
        <f>("cd&amp;v")</f>
        <v>cd&amp;v</v>
      </c>
      <c r="K83" t="str">
        <f t="shared" si="26"/>
        <v>16</v>
      </c>
      <c r="L83">
        <v>25592</v>
      </c>
      <c r="M83">
        <v>45496</v>
      </c>
      <c r="N83">
        <v>71088</v>
      </c>
      <c r="O83">
        <v>5</v>
      </c>
    </row>
    <row r="84" spans="1:15" x14ac:dyDescent="0.3">
      <c r="A84" t="s">
        <v>0</v>
      </c>
      <c r="B84" s="1">
        <v>45578</v>
      </c>
      <c r="C84" t="str">
        <f t="shared" si="24"/>
        <v>34022</v>
      </c>
      <c r="D84" t="s">
        <v>9</v>
      </c>
      <c r="E84" t="str">
        <f t="shared" si="25"/>
        <v>16</v>
      </c>
      <c r="F84">
        <v>415132</v>
      </c>
      <c r="G84">
        <v>270680</v>
      </c>
      <c r="H84">
        <v>11163</v>
      </c>
      <c r="I84" t="str">
        <f>("4")</f>
        <v>4</v>
      </c>
      <c r="J84" t="str">
        <f>("VLAAMS BELANG")</f>
        <v>VLAAMS BELANG</v>
      </c>
      <c r="K84" t="str">
        <f t="shared" si="26"/>
        <v>16</v>
      </c>
      <c r="L84">
        <v>37602</v>
      </c>
      <c r="M84">
        <v>18130</v>
      </c>
      <c r="N84">
        <v>55732</v>
      </c>
      <c r="O84">
        <v>4</v>
      </c>
    </row>
    <row r="85" spans="1:15" x14ac:dyDescent="0.3">
      <c r="A85" t="s">
        <v>0</v>
      </c>
      <c r="B85" s="1">
        <v>45578</v>
      </c>
      <c r="C85" t="str">
        <f t="shared" si="24"/>
        <v>34022</v>
      </c>
      <c r="D85" t="s">
        <v>9</v>
      </c>
      <c r="E85" t="str">
        <f t="shared" si="25"/>
        <v>16</v>
      </c>
      <c r="F85">
        <v>415132</v>
      </c>
      <c r="G85">
        <v>270680</v>
      </c>
      <c r="H85">
        <v>11163</v>
      </c>
      <c r="I85" t="str">
        <f>("5")</f>
        <v>5</v>
      </c>
      <c r="J85" t="str">
        <f>("N-VA")</f>
        <v>N-VA</v>
      </c>
      <c r="K85" t="str">
        <f t="shared" si="26"/>
        <v>16</v>
      </c>
      <c r="L85">
        <v>33850</v>
      </c>
      <c r="M85">
        <v>19691</v>
      </c>
      <c r="N85">
        <v>53541</v>
      </c>
      <c r="O85">
        <v>3</v>
      </c>
    </row>
    <row r="86" spans="1:15" x14ac:dyDescent="0.3">
      <c r="A86" t="s">
        <v>0</v>
      </c>
      <c r="B86" s="1">
        <v>45578</v>
      </c>
      <c r="C86" t="str">
        <f t="shared" si="24"/>
        <v>34022</v>
      </c>
      <c r="D86" t="s">
        <v>9</v>
      </c>
      <c r="E86" t="str">
        <f t="shared" si="25"/>
        <v>16</v>
      </c>
      <c r="F86">
        <v>415132</v>
      </c>
      <c r="G86">
        <v>270680</v>
      </c>
      <c r="H86">
        <v>11163</v>
      </c>
      <c r="I86" t="str">
        <f>("6")</f>
        <v>6</v>
      </c>
      <c r="J86" t="str">
        <f>("Open Vld")</f>
        <v>Open Vld</v>
      </c>
      <c r="K86" t="str">
        <f t="shared" si="26"/>
        <v>16</v>
      </c>
      <c r="L86">
        <v>6445</v>
      </c>
      <c r="M86">
        <v>10023</v>
      </c>
      <c r="N86">
        <v>16468</v>
      </c>
      <c r="O86">
        <v>1</v>
      </c>
    </row>
    <row r="87" spans="1:15" x14ac:dyDescent="0.3">
      <c r="A87" t="s">
        <v>0</v>
      </c>
      <c r="B87" s="1">
        <v>45578</v>
      </c>
      <c r="C87" t="str">
        <f t="shared" si="24"/>
        <v>34022</v>
      </c>
      <c r="D87" t="s">
        <v>9</v>
      </c>
      <c r="E87" t="str">
        <f t="shared" si="25"/>
        <v>16</v>
      </c>
      <c r="F87">
        <v>415132</v>
      </c>
      <c r="G87">
        <v>270680</v>
      </c>
      <c r="H87">
        <v>11163</v>
      </c>
      <c r="I87" t="str">
        <f>("7")</f>
        <v>7</v>
      </c>
      <c r="J87" t="str">
        <f>("GROEN")</f>
        <v>GROEN</v>
      </c>
      <c r="K87" t="str">
        <f t="shared" si="26"/>
        <v>16</v>
      </c>
      <c r="L87">
        <v>11214</v>
      </c>
      <c r="M87">
        <v>9454</v>
      </c>
      <c r="N87">
        <v>20668</v>
      </c>
      <c r="O87">
        <v>1</v>
      </c>
    </row>
    <row r="88" spans="1:15" x14ac:dyDescent="0.3">
      <c r="A88" t="s">
        <v>0</v>
      </c>
      <c r="B88" s="1">
        <v>45578</v>
      </c>
      <c r="C88" t="str">
        <f t="shared" si="24"/>
        <v>34022</v>
      </c>
      <c r="D88" t="s">
        <v>9</v>
      </c>
      <c r="E88" t="str">
        <f t="shared" si="25"/>
        <v>16</v>
      </c>
      <c r="F88">
        <v>415132</v>
      </c>
      <c r="G88">
        <v>270680</v>
      </c>
      <c r="H88">
        <v>11163</v>
      </c>
      <c r="I88" t="str">
        <f>("8")</f>
        <v>8</v>
      </c>
      <c r="J88" t="str">
        <f>("DJ Joeri Pauwels")</f>
        <v>DJ Joeri Pauwels</v>
      </c>
      <c r="K88" t="str">
        <f>("1")</f>
        <v>1</v>
      </c>
      <c r="L88">
        <v>890</v>
      </c>
      <c r="M88">
        <v>1287</v>
      </c>
      <c r="N88">
        <v>2177</v>
      </c>
      <c r="O88">
        <v>0</v>
      </c>
    </row>
    <row r="89" spans="1:15" x14ac:dyDescent="0.3">
      <c r="A89" t="s">
        <v>0</v>
      </c>
      <c r="B89" s="1">
        <v>45578</v>
      </c>
      <c r="C89" t="str">
        <f t="shared" ref="C89:C97" si="27">("24062")</f>
        <v>24062</v>
      </c>
      <c r="D89" t="s">
        <v>10</v>
      </c>
      <c r="E89" t="str">
        <f t="shared" si="25"/>
        <v>16</v>
      </c>
      <c r="F89">
        <v>385550</v>
      </c>
      <c r="G89">
        <v>254659</v>
      </c>
      <c r="H89">
        <v>9508</v>
      </c>
      <c r="I89" t="str">
        <f>("1")</f>
        <v>1</v>
      </c>
      <c r="J89" t="str">
        <f>("Vooruit")</f>
        <v>Vooruit</v>
      </c>
      <c r="K89" t="str">
        <f t="shared" ref="K89:K95" si="28">("16")</f>
        <v>16</v>
      </c>
      <c r="L89">
        <v>17781</v>
      </c>
      <c r="M89">
        <v>21948</v>
      </c>
      <c r="N89">
        <v>39729</v>
      </c>
      <c r="O89">
        <v>3</v>
      </c>
    </row>
    <row r="90" spans="1:15" x14ac:dyDescent="0.3">
      <c r="A90" t="s">
        <v>0</v>
      </c>
      <c r="B90" s="1">
        <v>45578</v>
      </c>
      <c r="C90" t="str">
        <f t="shared" si="27"/>
        <v>24062</v>
      </c>
      <c r="D90" t="s">
        <v>10</v>
      </c>
      <c r="E90" t="str">
        <f t="shared" si="25"/>
        <v>16</v>
      </c>
      <c r="F90">
        <v>385550</v>
      </c>
      <c r="G90">
        <v>254659</v>
      </c>
      <c r="H90">
        <v>9508</v>
      </c>
      <c r="I90" t="str">
        <f>("2")</f>
        <v>2</v>
      </c>
      <c r="J90" t="str">
        <f>("PVDA")</f>
        <v>PVDA</v>
      </c>
      <c r="K90" t="str">
        <f t="shared" si="28"/>
        <v>16</v>
      </c>
      <c r="L90">
        <v>4819</v>
      </c>
      <c r="M90">
        <v>3789</v>
      </c>
      <c r="N90">
        <v>8608</v>
      </c>
      <c r="O90">
        <v>0</v>
      </c>
    </row>
    <row r="91" spans="1:15" x14ac:dyDescent="0.3">
      <c r="A91" t="s">
        <v>0</v>
      </c>
      <c r="B91" s="1">
        <v>45578</v>
      </c>
      <c r="C91" t="str">
        <f t="shared" si="27"/>
        <v>24062</v>
      </c>
      <c r="D91" t="s">
        <v>10</v>
      </c>
      <c r="E91" t="str">
        <f t="shared" si="25"/>
        <v>16</v>
      </c>
      <c r="F91">
        <v>385550</v>
      </c>
      <c r="G91">
        <v>254659</v>
      </c>
      <c r="H91">
        <v>9508</v>
      </c>
      <c r="I91" t="str">
        <f>("3")</f>
        <v>3</v>
      </c>
      <c r="J91" t="str">
        <f>("cd&amp;v")</f>
        <v>cd&amp;v</v>
      </c>
      <c r="K91" t="str">
        <f t="shared" si="28"/>
        <v>16</v>
      </c>
      <c r="L91">
        <v>15245</v>
      </c>
      <c r="M91">
        <v>31882</v>
      </c>
      <c r="N91">
        <v>47127</v>
      </c>
      <c r="O91">
        <v>3</v>
      </c>
    </row>
    <row r="92" spans="1:15" x14ac:dyDescent="0.3">
      <c r="A92" t="s">
        <v>0</v>
      </c>
      <c r="B92" s="1">
        <v>45578</v>
      </c>
      <c r="C92" t="str">
        <f t="shared" si="27"/>
        <v>24062</v>
      </c>
      <c r="D92" t="s">
        <v>10</v>
      </c>
      <c r="E92" t="str">
        <f t="shared" si="25"/>
        <v>16</v>
      </c>
      <c r="F92">
        <v>385550</v>
      </c>
      <c r="G92">
        <v>254659</v>
      </c>
      <c r="H92">
        <v>9508</v>
      </c>
      <c r="I92" t="str">
        <f>("4")</f>
        <v>4</v>
      </c>
      <c r="J92" t="str">
        <f>("VLAAMS BELANG")</f>
        <v>VLAAMS BELANG</v>
      </c>
      <c r="K92" t="str">
        <f t="shared" si="28"/>
        <v>16</v>
      </c>
      <c r="L92">
        <v>19049</v>
      </c>
      <c r="M92">
        <v>12227</v>
      </c>
      <c r="N92">
        <v>31276</v>
      </c>
      <c r="O92">
        <v>2</v>
      </c>
    </row>
    <row r="93" spans="1:15" x14ac:dyDescent="0.3">
      <c r="A93" t="s">
        <v>0</v>
      </c>
      <c r="B93" s="1">
        <v>45578</v>
      </c>
      <c r="C93" t="str">
        <f t="shared" si="27"/>
        <v>24062</v>
      </c>
      <c r="D93" t="s">
        <v>10</v>
      </c>
      <c r="E93" t="str">
        <f t="shared" si="25"/>
        <v>16</v>
      </c>
      <c r="F93">
        <v>385550</v>
      </c>
      <c r="G93">
        <v>254659</v>
      </c>
      <c r="H93">
        <v>9508</v>
      </c>
      <c r="I93" t="str">
        <f>("5")</f>
        <v>5</v>
      </c>
      <c r="J93" t="str">
        <f>("N-VA")</f>
        <v>N-VA</v>
      </c>
      <c r="K93" t="str">
        <f t="shared" si="28"/>
        <v>16</v>
      </c>
      <c r="L93">
        <v>27876</v>
      </c>
      <c r="M93">
        <v>31381</v>
      </c>
      <c r="N93">
        <v>59257</v>
      </c>
      <c r="O93">
        <v>4</v>
      </c>
    </row>
    <row r="94" spans="1:15" x14ac:dyDescent="0.3">
      <c r="A94" t="s">
        <v>0</v>
      </c>
      <c r="B94" s="1">
        <v>45578</v>
      </c>
      <c r="C94" t="str">
        <f t="shared" si="27"/>
        <v>24062</v>
      </c>
      <c r="D94" t="s">
        <v>10</v>
      </c>
      <c r="E94" t="str">
        <f t="shared" si="25"/>
        <v>16</v>
      </c>
      <c r="F94">
        <v>385550</v>
      </c>
      <c r="G94">
        <v>254659</v>
      </c>
      <c r="H94">
        <v>9508</v>
      </c>
      <c r="I94" t="str">
        <f>("6")</f>
        <v>6</v>
      </c>
      <c r="J94" t="str">
        <f>("Open Vld")</f>
        <v>Open Vld</v>
      </c>
      <c r="K94" t="str">
        <f t="shared" si="28"/>
        <v>16</v>
      </c>
      <c r="L94">
        <v>8208</v>
      </c>
      <c r="M94">
        <v>16926</v>
      </c>
      <c r="N94">
        <v>25134</v>
      </c>
      <c r="O94">
        <v>2</v>
      </c>
    </row>
    <row r="95" spans="1:15" x14ac:dyDescent="0.3">
      <c r="A95" t="s">
        <v>0</v>
      </c>
      <c r="B95" s="1">
        <v>45578</v>
      </c>
      <c r="C95" t="str">
        <f t="shared" si="27"/>
        <v>24062</v>
      </c>
      <c r="D95" t="s">
        <v>10</v>
      </c>
      <c r="E95" t="str">
        <f t="shared" si="25"/>
        <v>16</v>
      </c>
      <c r="F95">
        <v>385550</v>
      </c>
      <c r="G95">
        <v>254659</v>
      </c>
      <c r="H95">
        <v>9508</v>
      </c>
      <c r="I95" t="str">
        <f>("7")</f>
        <v>7</v>
      </c>
      <c r="J95" t="str">
        <f>("GROEN")</f>
        <v>GROEN</v>
      </c>
      <c r="K95" t="str">
        <f t="shared" si="28"/>
        <v>16</v>
      </c>
      <c r="L95">
        <v>17773</v>
      </c>
      <c r="M95">
        <v>13296</v>
      </c>
      <c r="N95">
        <v>31069</v>
      </c>
      <c r="O95">
        <v>2</v>
      </c>
    </row>
    <row r="96" spans="1:15" x14ac:dyDescent="0.3">
      <c r="A96" t="s">
        <v>0</v>
      </c>
      <c r="B96" s="1">
        <v>45578</v>
      </c>
      <c r="C96" t="str">
        <f t="shared" si="27"/>
        <v>24062</v>
      </c>
      <c r="D96" t="s">
        <v>10</v>
      </c>
      <c r="E96" t="str">
        <f t="shared" si="25"/>
        <v>16</v>
      </c>
      <c r="F96">
        <v>385550</v>
      </c>
      <c r="G96">
        <v>254659</v>
      </c>
      <c r="H96">
        <v>9508</v>
      </c>
      <c r="I96" t="str">
        <f>("8")</f>
        <v>8</v>
      </c>
      <c r="J96" t="str">
        <f>("UF Union Francophone")</f>
        <v>UF Union Francophone</v>
      </c>
      <c r="K96" t="str">
        <f>("14")</f>
        <v>14</v>
      </c>
      <c r="L96">
        <v>1166</v>
      </c>
      <c r="M96">
        <v>1171</v>
      </c>
      <c r="N96">
        <v>2337</v>
      </c>
      <c r="O96">
        <v>0</v>
      </c>
    </row>
    <row r="97" spans="1:15" x14ac:dyDescent="0.3">
      <c r="A97" t="s">
        <v>0</v>
      </c>
      <c r="B97" s="1">
        <v>45578</v>
      </c>
      <c r="C97" t="str">
        <f t="shared" si="27"/>
        <v>24062</v>
      </c>
      <c r="D97" t="s">
        <v>10</v>
      </c>
      <c r="E97" t="str">
        <f t="shared" si="25"/>
        <v>16</v>
      </c>
      <c r="F97">
        <v>385550</v>
      </c>
      <c r="G97">
        <v>254659</v>
      </c>
      <c r="H97">
        <v>9508</v>
      </c>
      <c r="I97" t="str">
        <f>("9")</f>
        <v>9</v>
      </c>
      <c r="J97" t="str">
        <f>("B.U.B. BRABANT")</f>
        <v>B.U.B. BRABANT</v>
      </c>
      <c r="K97" t="str">
        <f>("1")</f>
        <v>1</v>
      </c>
      <c r="L97">
        <v>255</v>
      </c>
      <c r="M97">
        <v>359</v>
      </c>
      <c r="N97">
        <v>614</v>
      </c>
      <c r="O97">
        <v>0</v>
      </c>
    </row>
    <row r="98" spans="1:15" x14ac:dyDescent="0.3">
      <c r="A98" t="s">
        <v>0</v>
      </c>
      <c r="B98" s="1">
        <v>45578</v>
      </c>
      <c r="C98" t="str">
        <f t="shared" ref="C98:C107" si="29">("72021")</f>
        <v>72021</v>
      </c>
      <c r="D98" t="s">
        <v>11</v>
      </c>
      <c r="E98" t="str">
        <f t="shared" ref="E98:E107" si="30">("9")</f>
        <v>9</v>
      </c>
      <c r="F98">
        <v>178345</v>
      </c>
      <c r="G98">
        <v>109533</v>
      </c>
      <c r="H98">
        <v>4019</v>
      </c>
      <c r="I98" t="str">
        <f>("1")</f>
        <v>1</v>
      </c>
      <c r="J98" t="str">
        <f>("Vooruit")</f>
        <v>Vooruit</v>
      </c>
      <c r="K98" t="str">
        <f t="shared" ref="K98:K105" si="31">("9")</f>
        <v>9</v>
      </c>
      <c r="L98">
        <v>3943</v>
      </c>
      <c r="M98">
        <v>9834</v>
      </c>
      <c r="N98">
        <v>13777</v>
      </c>
      <c r="O98">
        <v>1</v>
      </c>
    </row>
    <row r="99" spans="1:15" x14ac:dyDescent="0.3">
      <c r="A99" t="s">
        <v>0</v>
      </c>
      <c r="B99" s="1">
        <v>45578</v>
      </c>
      <c r="C99" t="str">
        <f t="shared" si="29"/>
        <v>72021</v>
      </c>
      <c r="D99" t="s">
        <v>11</v>
      </c>
      <c r="E99" t="str">
        <f t="shared" si="30"/>
        <v>9</v>
      </c>
      <c r="F99">
        <v>178345</v>
      </c>
      <c r="G99">
        <v>109533</v>
      </c>
      <c r="H99">
        <v>4019</v>
      </c>
      <c r="I99" t="str">
        <f>("2")</f>
        <v>2</v>
      </c>
      <c r="J99" t="str">
        <f>("PVDA")</f>
        <v>PVDA</v>
      </c>
      <c r="K99" t="str">
        <f t="shared" si="31"/>
        <v>9</v>
      </c>
      <c r="L99">
        <v>1427</v>
      </c>
      <c r="M99">
        <v>2230</v>
      </c>
      <c r="N99">
        <v>3657</v>
      </c>
      <c r="O99">
        <v>0</v>
      </c>
    </row>
    <row r="100" spans="1:15" x14ac:dyDescent="0.3">
      <c r="A100" t="s">
        <v>0</v>
      </c>
      <c r="B100" s="1">
        <v>45578</v>
      </c>
      <c r="C100" t="str">
        <f t="shared" si="29"/>
        <v>72021</v>
      </c>
      <c r="D100" t="s">
        <v>11</v>
      </c>
      <c r="E100" t="str">
        <f t="shared" si="30"/>
        <v>9</v>
      </c>
      <c r="F100">
        <v>178345</v>
      </c>
      <c r="G100">
        <v>109533</v>
      </c>
      <c r="H100">
        <v>4019</v>
      </c>
      <c r="I100" t="str">
        <f>("3")</f>
        <v>3</v>
      </c>
      <c r="J100" t="str">
        <f>("cd&amp;v")</f>
        <v>cd&amp;v</v>
      </c>
      <c r="K100" t="str">
        <f t="shared" si="31"/>
        <v>9</v>
      </c>
      <c r="L100">
        <v>6515</v>
      </c>
      <c r="M100">
        <v>27646</v>
      </c>
      <c r="N100">
        <v>34161</v>
      </c>
      <c r="O100">
        <v>4</v>
      </c>
    </row>
    <row r="101" spans="1:15" x14ac:dyDescent="0.3">
      <c r="A101" t="s">
        <v>0</v>
      </c>
      <c r="B101" s="1">
        <v>45578</v>
      </c>
      <c r="C101" t="str">
        <f t="shared" si="29"/>
        <v>72021</v>
      </c>
      <c r="D101" t="s">
        <v>11</v>
      </c>
      <c r="E101" t="str">
        <f t="shared" si="30"/>
        <v>9</v>
      </c>
      <c r="F101">
        <v>178345</v>
      </c>
      <c r="G101">
        <v>109533</v>
      </c>
      <c r="H101">
        <v>4019</v>
      </c>
      <c r="I101" t="str">
        <f>("4")</f>
        <v>4</v>
      </c>
      <c r="J101" t="str">
        <f>("VLAAMS BELANG")</f>
        <v>VLAAMS BELANG</v>
      </c>
      <c r="K101" t="str">
        <f t="shared" si="31"/>
        <v>9</v>
      </c>
      <c r="L101">
        <v>10147</v>
      </c>
      <c r="M101">
        <v>8999</v>
      </c>
      <c r="N101">
        <v>19146</v>
      </c>
      <c r="O101">
        <v>2</v>
      </c>
    </row>
    <row r="102" spans="1:15" x14ac:dyDescent="0.3">
      <c r="A102" t="s">
        <v>0</v>
      </c>
      <c r="B102" s="1">
        <v>45578</v>
      </c>
      <c r="C102" t="str">
        <f t="shared" si="29"/>
        <v>72021</v>
      </c>
      <c r="D102" t="s">
        <v>11</v>
      </c>
      <c r="E102" t="str">
        <f t="shared" si="30"/>
        <v>9</v>
      </c>
      <c r="F102">
        <v>178345</v>
      </c>
      <c r="G102">
        <v>109533</v>
      </c>
      <c r="H102">
        <v>4019</v>
      </c>
      <c r="I102" t="str">
        <f>("5")</f>
        <v>5</v>
      </c>
      <c r="J102" t="str">
        <f>("N-VA")</f>
        <v>N-VA</v>
      </c>
      <c r="K102" t="str">
        <f t="shared" si="31"/>
        <v>9</v>
      </c>
      <c r="L102">
        <v>8593</v>
      </c>
      <c r="M102">
        <v>13563</v>
      </c>
      <c r="N102">
        <v>22156</v>
      </c>
      <c r="O102">
        <v>2</v>
      </c>
    </row>
    <row r="103" spans="1:15" x14ac:dyDescent="0.3">
      <c r="A103" t="s">
        <v>0</v>
      </c>
      <c r="B103" s="1">
        <v>45578</v>
      </c>
      <c r="C103" t="str">
        <f t="shared" si="29"/>
        <v>72021</v>
      </c>
      <c r="D103" t="s">
        <v>11</v>
      </c>
      <c r="E103" t="str">
        <f t="shared" si="30"/>
        <v>9</v>
      </c>
      <c r="F103">
        <v>178345</v>
      </c>
      <c r="G103">
        <v>109533</v>
      </c>
      <c r="H103">
        <v>4019</v>
      </c>
      <c r="I103" t="str">
        <f>("6")</f>
        <v>6</v>
      </c>
      <c r="J103" t="str">
        <f>("Open Vld Limburg")</f>
        <v>Open Vld Limburg</v>
      </c>
      <c r="K103" t="str">
        <f t="shared" si="31"/>
        <v>9</v>
      </c>
      <c r="L103">
        <v>1402</v>
      </c>
      <c r="M103">
        <v>5592</v>
      </c>
      <c r="N103">
        <v>6994</v>
      </c>
      <c r="O103">
        <v>0</v>
      </c>
    </row>
    <row r="104" spans="1:15" x14ac:dyDescent="0.3">
      <c r="A104" t="s">
        <v>0</v>
      </c>
      <c r="B104" s="1">
        <v>45578</v>
      </c>
      <c r="C104" t="str">
        <f t="shared" si="29"/>
        <v>72021</v>
      </c>
      <c r="D104" t="s">
        <v>11</v>
      </c>
      <c r="E104" t="str">
        <f t="shared" si="30"/>
        <v>9</v>
      </c>
      <c r="F104">
        <v>178345</v>
      </c>
      <c r="G104">
        <v>109533</v>
      </c>
      <c r="H104">
        <v>4019</v>
      </c>
      <c r="I104" t="str">
        <f>("7")</f>
        <v>7</v>
      </c>
      <c r="J104" t="str">
        <f>("GROEN")</f>
        <v>GROEN</v>
      </c>
      <c r="K104" t="str">
        <f t="shared" si="31"/>
        <v>9</v>
      </c>
      <c r="L104">
        <v>2009</v>
      </c>
      <c r="M104">
        <v>1779</v>
      </c>
      <c r="N104">
        <v>3788</v>
      </c>
      <c r="O104">
        <v>0</v>
      </c>
    </row>
    <row r="105" spans="1:15" x14ac:dyDescent="0.3">
      <c r="A105" t="s">
        <v>0</v>
      </c>
      <c r="B105" s="1">
        <v>45578</v>
      </c>
      <c r="C105" t="str">
        <f t="shared" si="29"/>
        <v>72021</v>
      </c>
      <c r="D105" t="s">
        <v>11</v>
      </c>
      <c r="E105" t="str">
        <f t="shared" si="30"/>
        <v>9</v>
      </c>
      <c r="F105">
        <v>178345</v>
      </c>
      <c r="G105">
        <v>109533</v>
      </c>
      <c r="H105">
        <v>4019</v>
      </c>
      <c r="I105" t="str">
        <f>("8")</f>
        <v>8</v>
      </c>
      <c r="J105" t="str">
        <f>("BBB")</f>
        <v>BBB</v>
      </c>
      <c r="K105" t="str">
        <f t="shared" si="31"/>
        <v>9</v>
      </c>
      <c r="L105">
        <v>391</v>
      </c>
      <c r="M105">
        <v>1120</v>
      </c>
      <c r="N105">
        <v>1511</v>
      </c>
      <c r="O105">
        <v>0</v>
      </c>
    </row>
    <row r="106" spans="1:15" x14ac:dyDescent="0.3">
      <c r="A106" t="s">
        <v>0</v>
      </c>
      <c r="B106" s="1">
        <v>45578</v>
      </c>
      <c r="C106" t="str">
        <f t="shared" si="29"/>
        <v>72021</v>
      </c>
      <c r="D106" t="s">
        <v>11</v>
      </c>
      <c r="E106" t="str">
        <f t="shared" si="30"/>
        <v>9</v>
      </c>
      <c r="F106">
        <v>178345</v>
      </c>
      <c r="G106">
        <v>109533</v>
      </c>
      <c r="H106">
        <v>4019</v>
      </c>
      <c r="I106" t="str">
        <f>("9")</f>
        <v>9</v>
      </c>
      <c r="J106" t="str">
        <f>("B.U.B. Limburg")</f>
        <v>B.U.B. Limburg</v>
      </c>
      <c r="K106" t="str">
        <f>("1")</f>
        <v>1</v>
      </c>
      <c r="L106">
        <v>75</v>
      </c>
      <c r="M106">
        <v>113</v>
      </c>
      <c r="N106">
        <v>188</v>
      </c>
      <c r="O106">
        <v>0</v>
      </c>
    </row>
    <row r="107" spans="1:15" x14ac:dyDescent="0.3">
      <c r="A107" t="s">
        <v>0</v>
      </c>
      <c r="B107" s="1">
        <v>45578</v>
      </c>
      <c r="C107" t="str">
        <f t="shared" si="29"/>
        <v>72021</v>
      </c>
      <c r="D107" t="s">
        <v>11</v>
      </c>
      <c r="E107" t="str">
        <f t="shared" si="30"/>
        <v>9</v>
      </c>
      <c r="F107">
        <v>178345</v>
      </c>
      <c r="G107">
        <v>109533</v>
      </c>
      <c r="H107">
        <v>4019</v>
      </c>
      <c r="I107" t="str">
        <f>("10")</f>
        <v>10</v>
      </c>
      <c r="J107" t="str">
        <f>("Volt")</f>
        <v>Volt</v>
      </c>
      <c r="K107" t="str">
        <f>("1")</f>
        <v>1</v>
      </c>
      <c r="L107">
        <v>56</v>
      </c>
      <c r="M107">
        <v>80</v>
      </c>
      <c r="N107">
        <v>136</v>
      </c>
      <c r="O107">
        <v>0</v>
      </c>
    </row>
    <row r="108" spans="1:15" x14ac:dyDescent="0.3">
      <c r="A108" t="s">
        <v>0</v>
      </c>
      <c r="B108" s="1">
        <v>45578</v>
      </c>
      <c r="C108" t="str">
        <f t="shared" ref="C108:C116" si="32">("12025")</f>
        <v>12025</v>
      </c>
      <c r="D108" t="s">
        <v>12</v>
      </c>
      <c r="E108" t="str">
        <f t="shared" ref="E108:E124" si="33">("7")</f>
        <v>7</v>
      </c>
      <c r="F108">
        <v>268172</v>
      </c>
      <c r="G108">
        <v>169028</v>
      </c>
      <c r="H108">
        <v>5368</v>
      </c>
      <c r="I108" t="str">
        <f>("1")</f>
        <v>1</v>
      </c>
      <c r="J108" t="str">
        <f>("Vooruit")</f>
        <v>Vooruit</v>
      </c>
      <c r="K108" t="str">
        <f t="shared" ref="K108:K123" si="34">("7")</f>
        <v>7</v>
      </c>
      <c r="L108">
        <v>9633</v>
      </c>
      <c r="M108">
        <v>7830</v>
      </c>
      <c r="N108">
        <v>17463</v>
      </c>
      <c r="O108">
        <v>1</v>
      </c>
    </row>
    <row r="109" spans="1:15" x14ac:dyDescent="0.3">
      <c r="A109" t="s">
        <v>0</v>
      </c>
      <c r="B109" s="1">
        <v>45578</v>
      </c>
      <c r="C109" t="str">
        <f t="shared" si="32"/>
        <v>12025</v>
      </c>
      <c r="D109" t="s">
        <v>12</v>
      </c>
      <c r="E109" t="str">
        <f t="shared" si="33"/>
        <v>7</v>
      </c>
      <c r="F109">
        <v>268172</v>
      </c>
      <c r="G109">
        <v>169028</v>
      </c>
      <c r="H109">
        <v>5368</v>
      </c>
      <c r="I109" t="str">
        <f>("2")</f>
        <v>2</v>
      </c>
      <c r="J109" t="str">
        <f>("PVDA")</f>
        <v>PVDA</v>
      </c>
      <c r="K109" t="str">
        <f t="shared" si="34"/>
        <v>7</v>
      </c>
      <c r="L109">
        <v>4635</v>
      </c>
      <c r="M109">
        <v>3933</v>
      </c>
      <c r="N109">
        <v>8568</v>
      </c>
      <c r="O109">
        <v>0</v>
      </c>
    </row>
    <row r="110" spans="1:15" x14ac:dyDescent="0.3">
      <c r="A110" t="s">
        <v>0</v>
      </c>
      <c r="B110" s="1">
        <v>45578</v>
      </c>
      <c r="C110" t="str">
        <f t="shared" si="32"/>
        <v>12025</v>
      </c>
      <c r="D110" t="s">
        <v>12</v>
      </c>
      <c r="E110" t="str">
        <f t="shared" si="33"/>
        <v>7</v>
      </c>
      <c r="F110">
        <v>268172</v>
      </c>
      <c r="G110">
        <v>169028</v>
      </c>
      <c r="H110">
        <v>5368</v>
      </c>
      <c r="I110" t="str">
        <f>("3")</f>
        <v>3</v>
      </c>
      <c r="J110" t="str">
        <f>("cd&amp;v")</f>
        <v>cd&amp;v</v>
      </c>
      <c r="K110" t="str">
        <f t="shared" si="34"/>
        <v>7</v>
      </c>
      <c r="L110">
        <v>11781</v>
      </c>
      <c r="M110">
        <v>15143</v>
      </c>
      <c r="N110">
        <v>26924</v>
      </c>
      <c r="O110">
        <v>1</v>
      </c>
    </row>
    <row r="111" spans="1:15" x14ac:dyDescent="0.3">
      <c r="A111" t="s">
        <v>0</v>
      </c>
      <c r="B111" s="1">
        <v>45578</v>
      </c>
      <c r="C111" t="str">
        <f t="shared" si="32"/>
        <v>12025</v>
      </c>
      <c r="D111" t="s">
        <v>12</v>
      </c>
      <c r="E111" t="str">
        <f t="shared" si="33"/>
        <v>7</v>
      </c>
      <c r="F111">
        <v>268172</v>
      </c>
      <c r="G111">
        <v>169028</v>
      </c>
      <c r="H111">
        <v>5368</v>
      </c>
      <c r="I111" t="str">
        <f>("4")</f>
        <v>4</v>
      </c>
      <c r="J111" t="str">
        <f>("VLAAMS BELANG")</f>
        <v>VLAAMS BELANG</v>
      </c>
      <c r="K111" t="str">
        <f t="shared" si="34"/>
        <v>7</v>
      </c>
      <c r="L111">
        <v>17278</v>
      </c>
      <c r="M111">
        <v>11948</v>
      </c>
      <c r="N111">
        <v>29226</v>
      </c>
      <c r="O111">
        <v>1</v>
      </c>
    </row>
    <row r="112" spans="1:15" x14ac:dyDescent="0.3">
      <c r="A112" t="s">
        <v>0</v>
      </c>
      <c r="B112" s="1">
        <v>45578</v>
      </c>
      <c r="C112" t="str">
        <f t="shared" si="32"/>
        <v>12025</v>
      </c>
      <c r="D112" t="s">
        <v>12</v>
      </c>
      <c r="E112" t="str">
        <f t="shared" si="33"/>
        <v>7</v>
      </c>
      <c r="F112">
        <v>268172</v>
      </c>
      <c r="G112">
        <v>169028</v>
      </c>
      <c r="H112">
        <v>5368</v>
      </c>
      <c r="I112" t="str">
        <f>("5")</f>
        <v>5</v>
      </c>
      <c r="J112" t="str">
        <f>("N-VA")</f>
        <v>N-VA</v>
      </c>
      <c r="K112" t="str">
        <f t="shared" si="34"/>
        <v>7</v>
      </c>
      <c r="L112">
        <v>20061</v>
      </c>
      <c r="M112">
        <v>31408</v>
      </c>
      <c r="N112">
        <v>51469</v>
      </c>
      <c r="O112">
        <v>3</v>
      </c>
    </row>
    <row r="113" spans="1:15" x14ac:dyDescent="0.3">
      <c r="A113" t="s">
        <v>0</v>
      </c>
      <c r="B113" s="1">
        <v>45578</v>
      </c>
      <c r="C113" t="str">
        <f t="shared" si="32"/>
        <v>12025</v>
      </c>
      <c r="D113" t="s">
        <v>12</v>
      </c>
      <c r="E113" t="str">
        <f t="shared" si="33"/>
        <v>7</v>
      </c>
      <c r="F113">
        <v>268172</v>
      </c>
      <c r="G113">
        <v>169028</v>
      </c>
      <c r="H113">
        <v>5368</v>
      </c>
      <c r="I113" t="str">
        <f>("6")</f>
        <v>6</v>
      </c>
      <c r="J113" t="str">
        <f>("Open Vld")</f>
        <v>Open Vld</v>
      </c>
      <c r="K113" t="str">
        <f t="shared" si="34"/>
        <v>7</v>
      </c>
      <c r="L113">
        <v>4126</v>
      </c>
      <c r="M113">
        <v>6305</v>
      </c>
      <c r="N113">
        <v>10431</v>
      </c>
      <c r="O113">
        <v>0</v>
      </c>
    </row>
    <row r="114" spans="1:15" x14ac:dyDescent="0.3">
      <c r="A114" t="s">
        <v>0</v>
      </c>
      <c r="B114" s="1">
        <v>45578</v>
      </c>
      <c r="C114" t="str">
        <f t="shared" si="32"/>
        <v>12025</v>
      </c>
      <c r="D114" t="s">
        <v>12</v>
      </c>
      <c r="E114" t="str">
        <f t="shared" si="33"/>
        <v>7</v>
      </c>
      <c r="F114">
        <v>268172</v>
      </c>
      <c r="G114">
        <v>169028</v>
      </c>
      <c r="H114">
        <v>5368</v>
      </c>
      <c r="I114" t="str">
        <f>("7")</f>
        <v>7</v>
      </c>
      <c r="J114" t="str">
        <f>("GROEN")</f>
        <v>GROEN</v>
      </c>
      <c r="K114" t="str">
        <f t="shared" si="34"/>
        <v>7</v>
      </c>
      <c r="L114">
        <v>9401</v>
      </c>
      <c r="M114">
        <v>7732</v>
      </c>
      <c r="N114">
        <v>17133</v>
      </c>
      <c r="O114">
        <v>1</v>
      </c>
    </row>
    <row r="115" spans="1:15" x14ac:dyDescent="0.3">
      <c r="A115" t="s">
        <v>0</v>
      </c>
      <c r="B115" s="1">
        <v>45578</v>
      </c>
      <c r="C115" t="str">
        <f t="shared" si="32"/>
        <v>12025</v>
      </c>
      <c r="D115" t="s">
        <v>12</v>
      </c>
      <c r="E115" t="str">
        <f t="shared" si="33"/>
        <v>7</v>
      </c>
      <c r="F115">
        <v>268172</v>
      </c>
      <c r="G115">
        <v>169028</v>
      </c>
      <c r="H115">
        <v>5368</v>
      </c>
      <c r="I115" t="str">
        <f>("8")</f>
        <v>8</v>
      </c>
      <c r="J115" t="str">
        <f>("Volt België")</f>
        <v>Volt België</v>
      </c>
      <c r="K115" t="str">
        <f t="shared" si="34"/>
        <v>7</v>
      </c>
      <c r="L115">
        <v>569</v>
      </c>
      <c r="M115">
        <v>458</v>
      </c>
      <c r="N115">
        <v>1027</v>
      </c>
      <c r="O115">
        <v>0</v>
      </c>
    </row>
    <row r="116" spans="1:15" x14ac:dyDescent="0.3">
      <c r="A116" t="s">
        <v>0</v>
      </c>
      <c r="B116" s="1">
        <v>45578</v>
      </c>
      <c r="C116" t="str">
        <f t="shared" si="32"/>
        <v>12025</v>
      </c>
      <c r="D116" t="s">
        <v>12</v>
      </c>
      <c r="E116" t="str">
        <f t="shared" si="33"/>
        <v>7</v>
      </c>
      <c r="F116">
        <v>268172</v>
      </c>
      <c r="G116">
        <v>169028</v>
      </c>
      <c r="H116">
        <v>5368</v>
      </c>
      <c r="I116" t="str">
        <f>("9")</f>
        <v>9</v>
      </c>
      <c r="J116" t="str">
        <f>("eta+")</f>
        <v>eta+</v>
      </c>
      <c r="K116" t="str">
        <f t="shared" si="34"/>
        <v>7</v>
      </c>
      <c r="L116">
        <v>422</v>
      </c>
      <c r="M116">
        <v>997</v>
      </c>
      <c r="N116">
        <v>1419</v>
      </c>
      <c r="O116">
        <v>0</v>
      </c>
    </row>
    <row r="117" spans="1:15" x14ac:dyDescent="0.3">
      <c r="A117" t="s">
        <v>0</v>
      </c>
      <c r="B117" s="1">
        <v>45578</v>
      </c>
      <c r="C117" t="str">
        <f t="shared" ref="C117:C124" si="35">("73083")</f>
        <v>73083</v>
      </c>
      <c r="D117" t="s">
        <v>13</v>
      </c>
      <c r="E117" t="str">
        <f t="shared" si="33"/>
        <v>7</v>
      </c>
      <c r="F117">
        <v>140772</v>
      </c>
      <c r="G117">
        <v>91118</v>
      </c>
      <c r="H117">
        <v>4498</v>
      </c>
      <c r="I117" t="str">
        <f>("1")</f>
        <v>1</v>
      </c>
      <c r="J117" t="str">
        <f>("Vooruit")</f>
        <v>Vooruit</v>
      </c>
      <c r="K117" t="str">
        <f t="shared" si="34"/>
        <v>7</v>
      </c>
      <c r="L117">
        <v>4046</v>
      </c>
      <c r="M117">
        <v>6361</v>
      </c>
      <c r="N117">
        <v>10407</v>
      </c>
      <c r="O117">
        <v>1</v>
      </c>
    </row>
    <row r="118" spans="1:15" x14ac:dyDescent="0.3">
      <c r="A118" t="s">
        <v>0</v>
      </c>
      <c r="B118" s="1">
        <v>45578</v>
      </c>
      <c r="C118" t="str">
        <f t="shared" si="35"/>
        <v>73083</v>
      </c>
      <c r="D118" t="s">
        <v>13</v>
      </c>
      <c r="E118" t="str">
        <f t="shared" si="33"/>
        <v>7</v>
      </c>
      <c r="F118">
        <v>140772</v>
      </c>
      <c r="G118">
        <v>91118</v>
      </c>
      <c r="H118">
        <v>4498</v>
      </c>
      <c r="I118" t="str">
        <f>("2")</f>
        <v>2</v>
      </c>
      <c r="J118" t="str">
        <f>("PVDA")</f>
        <v>PVDA</v>
      </c>
      <c r="K118" t="str">
        <f t="shared" si="34"/>
        <v>7</v>
      </c>
      <c r="L118">
        <v>1346</v>
      </c>
      <c r="M118">
        <v>1706</v>
      </c>
      <c r="N118">
        <v>3052</v>
      </c>
      <c r="O118">
        <v>0</v>
      </c>
    </row>
    <row r="119" spans="1:15" x14ac:dyDescent="0.3">
      <c r="A119" t="s">
        <v>0</v>
      </c>
      <c r="B119" s="1">
        <v>45578</v>
      </c>
      <c r="C119" t="str">
        <f t="shared" si="35"/>
        <v>73083</v>
      </c>
      <c r="D119" t="s">
        <v>13</v>
      </c>
      <c r="E119" t="str">
        <f t="shared" si="33"/>
        <v>7</v>
      </c>
      <c r="F119">
        <v>140772</v>
      </c>
      <c r="G119">
        <v>91118</v>
      </c>
      <c r="H119">
        <v>4498</v>
      </c>
      <c r="I119" t="str">
        <f>("3")</f>
        <v>3</v>
      </c>
      <c r="J119" t="str">
        <f>("cd&amp;v")</f>
        <v>cd&amp;v</v>
      </c>
      <c r="K119" t="str">
        <f t="shared" si="34"/>
        <v>7</v>
      </c>
      <c r="L119">
        <v>4083</v>
      </c>
      <c r="M119">
        <v>14975</v>
      </c>
      <c r="N119">
        <v>19058</v>
      </c>
      <c r="O119">
        <v>2</v>
      </c>
    </row>
    <row r="120" spans="1:15" x14ac:dyDescent="0.3">
      <c r="A120" t="s">
        <v>0</v>
      </c>
      <c r="B120" s="1">
        <v>45578</v>
      </c>
      <c r="C120" t="str">
        <f t="shared" si="35"/>
        <v>73083</v>
      </c>
      <c r="D120" t="s">
        <v>13</v>
      </c>
      <c r="E120" t="str">
        <f t="shared" si="33"/>
        <v>7</v>
      </c>
      <c r="F120">
        <v>140772</v>
      </c>
      <c r="G120">
        <v>91118</v>
      </c>
      <c r="H120">
        <v>4498</v>
      </c>
      <c r="I120" t="str">
        <f>("4")</f>
        <v>4</v>
      </c>
      <c r="J120" t="str">
        <f>("VLAAMS BELANG")</f>
        <v>VLAAMS BELANG</v>
      </c>
      <c r="K120" t="str">
        <f t="shared" si="34"/>
        <v>7</v>
      </c>
      <c r="L120">
        <v>8847</v>
      </c>
      <c r="M120">
        <v>6997</v>
      </c>
      <c r="N120">
        <v>15844</v>
      </c>
      <c r="O120">
        <v>1</v>
      </c>
    </row>
    <row r="121" spans="1:15" x14ac:dyDescent="0.3">
      <c r="A121" t="s">
        <v>0</v>
      </c>
      <c r="B121" s="1">
        <v>45578</v>
      </c>
      <c r="C121" t="str">
        <f t="shared" si="35"/>
        <v>73083</v>
      </c>
      <c r="D121" t="s">
        <v>13</v>
      </c>
      <c r="E121" t="str">
        <f t="shared" si="33"/>
        <v>7</v>
      </c>
      <c r="F121">
        <v>140772</v>
      </c>
      <c r="G121">
        <v>91118</v>
      </c>
      <c r="H121">
        <v>4498</v>
      </c>
      <c r="I121" t="str">
        <f>("5")</f>
        <v>5</v>
      </c>
      <c r="J121" t="str">
        <f>("N-VA")</f>
        <v>N-VA</v>
      </c>
      <c r="K121" t="str">
        <f t="shared" si="34"/>
        <v>7</v>
      </c>
      <c r="L121">
        <v>5979</v>
      </c>
      <c r="M121">
        <v>9691</v>
      </c>
      <c r="N121">
        <v>15670</v>
      </c>
      <c r="O121">
        <v>1</v>
      </c>
    </row>
    <row r="122" spans="1:15" x14ac:dyDescent="0.3">
      <c r="A122" t="s">
        <v>0</v>
      </c>
      <c r="B122" s="1">
        <v>45578</v>
      </c>
      <c r="C122" t="str">
        <f t="shared" si="35"/>
        <v>73083</v>
      </c>
      <c r="D122" t="s">
        <v>13</v>
      </c>
      <c r="E122" t="str">
        <f t="shared" si="33"/>
        <v>7</v>
      </c>
      <c r="F122">
        <v>140772</v>
      </c>
      <c r="G122">
        <v>91118</v>
      </c>
      <c r="H122">
        <v>4498</v>
      </c>
      <c r="I122" t="str">
        <f>("6")</f>
        <v>6</v>
      </c>
      <c r="J122" t="str">
        <f>("Open Vld Limburg")</f>
        <v>Open Vld Limburg</v>
      </c>
      <c r="K122" t="str">
        <f t="shared" si="34"/>
        <v>7</v>
      </c>
      <c r="L122">
        <v>2455</v>
      </c>
      <c r="M122">
        <v>15643</v>
      </c>
      <c r="N122">
        <v>18098</v>
      </c>
      <c r="O122">
        <v>2</v>
      </c>
    </row>
    <row r="123" spans="1:15" x14ac:dyDescent="0.3">
      <c r="A123" t="s">
        <v>0</v>
      </c>
      <c r="B123" s="1">
        <v>45578</v>
      </c>
      <c r="C123" t="str">
        <f t="shared" si="35"/>
        <v>73083</v>
      </c>
      <c r="D123" t="s">
        <v>13</v>
      </c>
      <c r="E123" t="str">
        <f t="shared" si="33"/>
        <v>7</v>
      </c>
      <c r="F123">
        <v>140772</v>
      </c>
      <c r="G123">
        <v>91118</v>
      </c>
      <c r="H123">
        <v>4498</v>
      </c>
      <c r="I123" t="str">
        <f>("7")</f>
        <v>7</v>
      </c>
      <c r="J123" t="str">
        <f>("GROEN")</f>
        <v>GROEN</v>
      </c>
      <c r="K123" t="str">
        <f t="shared" si="34"/>
        <v>7</v>
      </c>
      <c r="L123">
        <v>2326</v>
      </c>
      <c r="M123">
        <v>1864</v>
      </c>
      <c r="N123">
        <v>4190</v>
      </c>
      <c r="O123">
        <v>0</v>
      </c>
    </row>
    <row r="124" spans="1:15" x14ac:dyDescent="0.3">
      <c r="A124" t="s">
        <v>0</v>
      </c>
      <c r="B124" s="1">
        <v>45578</v>
      </c>
      <c r="C124" t="str">
        <f t="shared" si="35"/>
        <v>73083</v>
      </c>
      <c r="D124" t="s">
        <v>13</v>
      </c>
      <c r="E124" t="str">
        <f t="shared" si="33"/>
        <v>7</v>
      </c>
      <c r="F124">
        <v>140772</v>
      </c>
      <c r="G124">
        <v>91118</v>
      </c>
      <c r="H124">
        <v>4498</v>
      </c>
      <c r="I124" t="str">
        <f>("8")</f>
        <v>8</v>
      </c>
      <c r="J124" t="str">
        <f>("Volt")</f>
        <v>Volt</v>
      </c>
      <c r="K124" t="str">
        <f>("1")</f>
        <v>1</v>
      </c>
      <c r="L124">
        <v>133</v>
      </c>
      <c r="M124">
        <v>168</v>
      </c>
      <c r="N124">
        <v>301</v>
      </c>
      <c r="O124">
        <v>0</v>
      </c>
    </row>
    <row r="125" spans="1:15" x14ac:dyDescent="0.3">
      <c r="A125" t="s">
        <v>0</v>
      </c>
      <c r="B125" s="1">
        <v>45578</v>
      </c>
      <c r="C125" t="str">
        <f t="shared" ref="C125:C131" si="36">("13040")</f>
        <v>13040</v>
      </c>
      <c r="D125" t="s">
        <v>14</v>
      </c>
      <c r="E125" t="str">
        <f t="shared" ref="E125:E131" si="37">("9")</f>
        <v>9</v>
      </c>
      <c r="F125">
        <v>346855</v>
      </c>
      <c r="G125">
        <v>220759</v>
      </c>
      <c r="H125">
        <v>8311</v>
      </c>
      <c r="I125" t="str">
        <f>("1")</f>
        <v>1</v>
      </c>
      <c r="J125" t="str">
        <f>("Vooruit")</f>
        <v>Vooruit</v>
      </c>
      <c r="K125" t="str">
        <f t="shared" ref="K125:K131" si="38">("9")</f>
        <v>9</v>
      </c>
      <c r="L125">
        <v>11627</v>
      </c>
      <c r="M125">
        <v>15115</v>
      </c>
      <c r="N125">
        <v>26742</v>
      </c>
      <c r="O125">
        <v>1</v>
      </c>
    </row>
    <row r="126" spans="1:15" x14ac:dyDescent="0.3">
      <c r="A126" t="s">
        <v>0</v>
      </c>
      <c r="B126" s="1">
        <v>45578</v>
      </c>
      <c r="C126" t="str">
        <f t="shared" si="36"/>
        <v>13040</v>
      </c>
      <c r="D126" t="s">
        <v>14</v>
      </c>
      <c r="E126" t="str">
        <f t="shared" si="37"/>
        <v>9</v>
      </c>
      <c r="F126">
        <v>346855</v>
      </c>
      <c r="G126">
        <v>220759</v>
      </c>
      <c r="H126">
        <v>8311</v>
      </c>
      <c r="I126" t="str">
        <f>("2")</f>
        <v>2</v>
      </c>
      <c r="J126" t="str">
        <f>("PVDA")</f>
        <v>PVDA</v>
      </c>
      <c r="K126" t="str">
        <f t="shared" si="38"/>
        <v>9</v>
      </c>
      <c r="L126">
        <v>3346</v>
      </c>
      <c r="M126">
        <v>3923</v>
      </c>
      <c r="N126">
        <v>7269</v>
      </c>
      <c r="O126">
        <v>0</v>
      </c>
    </row>
    <row r="127" spans="1:15" x14ac:dyDescent="0.3">
      <c r="A127" t="s">
        <v>0</v>
      </c>
      <c r="B127" s="1">
        <v>45578</v>
      </c>
      <c r="C127" t="str">
        <f t="shared" si="36"/>
        <v>13040</v>
      </c>
      <c r="D127" t="s">
        <v>14</v>
      </c>
      <c r="E127" t="str">
        <f t="shared" si="37"/>
        <v>9</v>
      </c>
      <c r="F127">
        <v>346855</v>
      </c>
      <c r="G127">
        <v>220759</v>
      </c>
      <c r="H127">
        <v>8311</v>
      </c>
      <c r="I127" t="str">
        <f>("3")</f>
        <v>3</v>
      </c>
      <c r="J127" t="str">
        <f>("cd&amp;v")</f>
        <v>cd&amp;v</v>
      </c>
      <c r="K127" t="str">
        <f t="shared" si="38"/>
        <v>9</v>
      </c>
      <c r="L127">
        <v>16112</v>
      </c>
      <c r="M127">
        <v>31264</v>
      </c>
      <c r="N127">
        <v>47376</v>
      </c>
      <c r="O127">
        <v>2</v>
      </c>
    </row>
    <row r="128" spans="1:15" x14ac:dyDescent="0.3">
      <c r="A128" t="s">
        <v>0</v>
      </c>
      <c r="B128" s="1">
        <v>45578</v>
      </c>
      <c r="C128" t="str">
        <f t="shared" si="36"/>
        <v>13040</v>
      </c>
      <c r="D128" t="s">
        <v>14</v>
      </c>
      <c r="E128" t="str">
        <f t="shared" si="37"/>
        <v>9</v>
      </c>
      <c r="F128">
        <v>346855</v>
      </c>
      <c r="G128">
        <v>220759</v>
      </c>
      <c r="H128">
        <v>8311</v>
      </c>
      <c r="I128" t="str">
        <f>("4")</f>
        <v>4</v>
      </c>
      <c r="J128" t="str">
        <f>("VLAAMS BELANG")</f>
        <v>VLAAMS BELANG</v>
      </c>
      <c r="K128" t="str">
        <f t="shared" si="38"/>
        <v>9</v>
      </c>
      <c r="L128">
        <v>22997</v>
      </c>
      <c r="M128">
        <v>25095</v>
      </c>
      <c r="N128">
        <v>48092</v>
      </c>
      <c r="O128">
        <v>3</v>
      </c>
    </row>
    <row r="129" spans="1:15" x14ac:dyDescent="0.3">
      <c r="A129" t="s">
        <v>0</v>
      </c>
      <c r="B129" s="1">
        <v>45578</v>
      </c>
      <c r="C129" t="str">
        <f t="shared" si="36"/>
        <v>13040</v>
      </c>
      <c r="D129" t="s">
        <v>14</v>
      </c>
      <c r="E129" t="str">
        <f t="shared" si="37"/>
        <v>9</v>
      </c>
      <c r="F129">
        <v>346855</v>
      </c>
      <c r="G129">
        <v>220759</v>
      </c>
      <c r="H129">
        <v>8311</v>
      </c>
      <c r="I129" t="str">
        <f>("5")</f>
        <v>5</v>
      </c>
      <c r="J129" t="str">
        <f>("N-VA")</f>
        <v>N-VA</v>
      </c>
      <c r="K129" t="str">
        <f t="shared" si="38"/>
        <v>9</v>
      </c>
      <c r="L129">
        <v>27899</v>
      </c>
      <c r="M129">
        <v>31778</v>
      </c>
      <c r="N129">
        <v>59677</v>
      </c>
      <c r="O129">
        <v>3</v>
      </c>
    </row>
    <row r="130" spans="1:15" x14ac:dyDescent="0.3">
      <c r="A130" t="s">
        <v>0</v>
      </c>
      <c r="B130" s="1">
        <v>45578</v>
      </c>
      <c r="C130" t="str">
        <f t="shared" si="36"/>
        <v>13040</v>
      </c>
      <c r="D130" t="s">
        <v>14</v>
      </c>
      <c r="E130" t="str">
        <f t="shared" si="37"/>
        <v>9</v>
      </c>
      <c r="F130">
        <v>346855</v>
      </c>
      <c r="G130">
        <v>220759</v>
      </c>
      <c r="H130">
        <v>8311</v>
      </c>
      <c r="I130" t="str">
        <f>("6")</f>
        <v>6</v>
      </c>
      <c r="J130" t="str">
        <f>("Open Vld")</f>
        <v>Open Vld</v>
      </c>
      <c r="K130" t="str">
        <f t="shared" si="38"/>
        <v>9</v>
      </c>
      <c r="L130">
        <v>2657</v>
      </c>
      <c r="M130">
        <v>5685</v>
      </c>
      <c r="N130">
        <v>8342</v>
      </c>
      <c r="O130">
        <v>0</v>
      </c>
    </row>
    <row r="131" spans="1:15" x14ac:dyDescent="0.3">
      <c r="A131" t="s">
        <v>0</v>
      </c>
      <c r="B131" s="1">
        <v>45578</v>
      </c>
      <c r="C131" t="str">
        <f t="shared" si="36"/>
        <v>13040</v>
      </c>
      <c r="D131" t="s">
        <v>14</v>
      </c>
      <c r="E131" t="str">
        <f t="shared" si="37"/>
        <v>9</v>
      </c>
      <c r="F131">
        <v>346855</v>
      </c>
      <c r="G131">
        <v>220759</v>
      </c>
      <c r="H131">
        <v>8311</v>
      </c>
      <c r="I131" t="str">
        <f>("7")</f>
        <v>7</v>
      </c>
      <c r="J131" t="str">
        <f>("GROEN")</f>
        <v>GROEN</v>
      </c>
      <c r="K131" t="str">
        <f t="shared" si="38"/>
        <v>9</v>
      </c>
      <c r="L131">
        <v>7593</v>
      </c>
      <c r="M131">
        <v>7357</v>
      </c>
      <c r="N131">
        <v>14950</v>
      </c>
      <c r="O131">
        <v>0</v>
      </c>
    </row>
  </sheetData>
  <autoFilter ref="A1:O131" xr:uid="{C4A2AE86-E3ED-49DE-B414-00A2FEF555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D836-4E82-4728-B06C-114081AF1AF6}">
  <dimension ref="A1:S1430"/>
  <sheetViews>
    <sheetView topLeftCell="A25" workbookViewId="0">
      <selection activeCell="D80" sqref="D80"/>
    </sheetView>
  </sheetViews>
  <sheetFormatPr defaultColWidth="11.5546875" defaultRowHeight="14.4" x14ac:dyDescent="0.3"/>
  <cols>
    <col min="4" max="4" width="22.6640625" customWidth="1"/>
    <col min="16" max="16" width="35.21875" bestFit="1" customWidth="1"/>
  </cols>
  <sheetData>
    <row r="1" spans="1:19" ht="28.8" x14ac:dyDescent="0.3">
      <c r="A1" t="s">
        <v>15</v>
      </c>
      <c r="B1" t="s">
        <v>16</v>
      </c>
      <c r="C1" t="s">
        <v>17</v>
      </c>
      <c r="D1" t="s">
        <v>36</v>
      </c>
      <c r="E1" t="s">
        <v>18</v>
      </c>
      <c r="F1" t="s">
        <v>19</v>
      </c>
      <c r="G1" s="3" t="s">
        <v>29</v>
      </c>
      <c r="H1" t="s">
        <v>21</v>
      </c>
      <c r="I1" s="4" t="s">
        <v>28</v>
      </c>
      <c r="J1" t="s">
        <v>27</v>
      </c>
      <c r="K1" s="2" t="s">
        <v>37</v>
      </c>
      <c r="L1" s="2" t="s">
        <v>38</v>
      </c>
      <c r="M1" s="3" t="s">
        <v>23</v>
      </c>
      <c r="N1" s="2" t="s">
        <v>22</v>
      </c>
      <c r="O1" s="6" t="s">
        <v>35</v>
      </c>
      <c r="P1" s="5" t="s">
        <v>34</v>
      </c>
      <c r="Q1" t="s">
        <v>33</v>
      </c>
      <c r="R1" t="s">
        <v>32</v>
      </c>
      <c r="S1" t="s">
        <v>31</v>
      </c>
    </row>
    <row r="2" spans="1:19" x14ac:dyDescent="0.3">
      <c r="A2" t="s">
        <v>0</v>
      </c>
      <c r="B2" s="1">
        <v>45578</v>
      </c>
      <c r="C2" t="str">
        <f t="shared" ref="C2:C33" si="0">("41002")</f>
        <v>41002</v>
      </c>
      <c r="D2" t="s">
        <v>1</v>
      </c>
      <c r="E2" t="str">
        <f t="shared" ref="E2:E33" si="1">("10")</f>
        <v>10</v>
      </c>
      <c r="F2">
        <v>326041</v>
      </c>
      <c r="G2">
        <v>211624</v>
      </c>
      <c r="H2">
        <v>8580</v>
      </c>
      <c r="I2" t="str">
        <f t="shared" ref="I2:I11" si="2">("1")</f>
        <v>1</v>
      </c>
      <c r="J2" t="str">
        <f t="shared" ref="J2:J11" si="3">("Vooruit")</f>
        <v>Vooruit</v>
      </c>
      <c r="K2">
        <v>14185</v>
      </c>
      <c r="L2">
        <v>11632</v>
      </c>
      <c r="M2">
        <v>25817</v>
      </c>
      <c r="N2">
        <v>1</v>
      </c>
      <c r="O2" t="str">
        <f>("1")</f>
        <v>1</v>
      </c>
      <c r="P2" t="str">
        <f>("Beernaert Dagmar")</f>
        <v>Beernaert Dagmar</v>
      </c>
      <c r="Q2">
        <v>6241</v>
      </c>
      <c r="R2">
        <v>1</v>
      </c>
    </row>
    <row r="3" spans="1:19" x14ac:dyDescent="0.3">
      <c r="A3" t="s">
        <v>0</v>
      </c>
      <c r="B3" s="1">
        <v>45578</v>
      </c>
      <c r="C3" t="str">
        <f t="shared" si="0"/>
        <v>41002</v>
      </c>
      <c r="D3" t="s">
        <v>1</v>
      </c>
      <c r="E3" t="str">
        <f t="shared" si="1"/>
        <v>10</v>
      </c>
      <c r="F3">
        <v>326041</v>
      </c>
      <c r="G3">
        <v>211624</v>
      </c>
      <c r="H3">
        <v>8580</v>
      </c>
      <c r="I3" t="str">
        <f t="shared" si="2"/>
        <v>1</v>
      </c>
      <c r="J3" t="str">
        <f t="shared" si="3"/>
        <v>Vooruit</v>
      </c>
      <c r="K3">
        <v>14185</v>
      </c>
      <c r="L3">
        <v>11632</v>
      </c>
      <c r="M3">
        <v>25817</v>
      </c>
      <c r="N3">
        <v>1</v>
      </c>
      <c r="O3" t="str">
        <f>("2")</f>
        <v>2</v>
      </c>
      <c r="P3" t="str">
        <f>("De Clercq Robbie")</f>
        <v>De Clercq Robbie</v>
      </c>
      <c r="Q3">
        <v>2739</v>
      </c>
      <c r="S3">
        <v>3</v>
      </c>
    </row>
    <row r="4" spans="1:19" x14ac:dyDescent="0.3">
      <c r="A4" t="s">
        <v>0</v>
      </c>
      <c r="B4" s="1">
        <v>45578</v>
      </c>
      <c r="C4" t="str">
        <f t="shared" si="0"/>
        <v>41002</v>
      </c>
      <c r="D4" t="s">
        <v>1</v>
      </c>
      <c r="E4" t="str">
        <f t="shared" si="1"/>
        <v>10</v>
      </c>
      <c r="F4">
        <v>326041</v>
      </c>
      <c r="G4">
        <v>211624</v>
      </c>
      <c r="H4">
        <v>8580</v>
      </c>
      <c r="I4" t="str">
        <f t="shared" si="2"/>
        <v>1</v>
      </c>
      <c r="J4" t="str">
        <f t="shared" si="3"/>
        <v>Vooruit</v>
      </c>
      <c r="K4">
        <v>14185</v>
      </c>
      <c r="L4">
        <v>11632</v>
      </c>
      <c r="M4">
        <v>25817</v>
      </c>
      <c r="N4">
        <v>1</v>
      </c>
      <c r="O4" t="str">
        <f>("3")</f>
        <v>3</v>
      </c>
      <c r="P4" t="str">
        <f>("Houtman Lisa")</f>
        <v>Houtman Lisa</v>
      </c>
      <c r="Q4">
        <v>3514</v>
      </c>
      <c r="S4">
        <v>1</v>
      </c>
    </row>
    <row r="5" spans="1:19" x14ac:dyDescent="0.3">
      <c r="A5" t="s">
        <v>0</v>
      </c>
      <c r="B5" s="1">
        <v>45578</v>
      </c>
      <c r="C5" t="str">
        <f t="shared" si="0"/>
        <v>41002</v>
      </c>
      <c r="D5" t="s">
        <v>1</v>
      </c>
      <c r="E5" t="str">
        <f t="shared" si="1"/>
        <v>10</v>
      </c>
      <c r="F5">
        <v>326041</v>
      </c>
      <c r="G5">
        <v>211624</v>
      </c>
      <c r="H5">
        <v>8580</v>
      </c>
      <c r="I5" t="str">
        <f t="shared" si="2"/>
        <v>1</v>
      </c>
      <c r="J5" t="str">
        <f t="shared" si="3"/>
        <v>Vooruit</v>
      </c>
      <c r="K5">
        <v>14185</v>
      </c>
      <c r="L5">
        <v>11632</v>
      </c>
      <c r="M5">
        <v>25817</v>
      </c>
      <c r="N5">
        <v>1</v>
      </c>
      <c r="O5" t="str">
        <f>("4")</f>
        <v>4</v>
      </c>
      <c r="P5" t="str">
        <f>("Verbeurgt Siel")</f>
        <v>Verbeurgt Siel</v>
      </c>
      <c r="Q5">
        <v>1855</v>
      </c>
      <c r="S5">
        <v>5</v>
      </c>
    </row>
    <row r="6" spans="1:19" x14ac:dyDescent="0.3">
      <c r="A6" t="s">
        <v>0</v>
      </c>
      <c r="B6" s="1">
        <v>45578</v>
      </c>
      <c r="C6" t="str">
        <f t="shared" si="0"/>
        <v>41002</v>
      </c>
      <c r="D6" t="s">
        <v>1</v>
      </c>
      <c r="E6" t="str">
        <f t="shared" si="1"/>
        <v>10</v>
      </c>
      <c r="F6">
        <v>326041</v>
      </c>
      <c r="G6">
        <v>211624</v>
      </c>
      <c r="H6">
        <v>8580</v>
      </c>
      <c r="I6" t="str">
        <f t="shared" si="2"/>
        <v>1</v>
      </c>
      <c r="J6" t="str">
        <f t="shared" si="3"/>
        <v>Vooruit</v>
      </c>
      <c r="K6">
        <v>14185</v>
      </c>
      <c r="L6">
        <v>11632</v>
      </c>
      <c r="M6">
        <v>25817</v>
      </c>
      <c r="N6">
        <v>1</v>
      </c>
      <c r="O6" t="str">
        <f>("5")</f>
        <v>5</v>
      </c>
      <c r="P6" t="str">
        <f>("Cloet Lowie")</f>
        <v>Cloet Lowie</v>
      </c>
      <c r="Q6">
        <v>1557</v>
      </c>
      <c r="S6">
        <v>8</v>
      </c>
    </row>
    <row r="7" spans="1:19" x14ac:dyDescent="0.3">
      <c r="A7" t="s">
        <v>0</v>
      </c>
      <c r="B7" s="1">
        <v>45578</v>
      </c>
      <c r="C7" t="str">
        <f t="shared" si="0"/>
        <v>41002</v>
      </c>
      <c r="D7" t="s">
        <v>1</v>
      </c>
      <c r="E7" t="str">
        <f t="shared" si="1"/>
        <v>10</v>
      </c>
      <c r="F7">
        <v>326041</v>
      </c>
      <c r="G7">
        <v>211624</v>
      </c>
      <c r="H7">
        <v>8580</v>
      </c>
      <c r="I7" t="str">
        <f t="shared" si="2"/>
        <v>1</v>
      </c>
      <c r="J7" t="str">
        <f t="shared" si="3"/>
        <v>Vooruit</v>
      </c>
      <c r="K7">
        <v>14185</v>
      </c>
      <c r="L7">
        <v>11632</v>
      </c>
      <c r="M7">
        <v>25817</v>
      </c>
      <c r="N7">
        <v>1</v>
      </c>
      <c r="O7" t="str">
        <f>("6")</f>
        <v>6</v>
      </c>
      <c r="P7" t="str">
        <f>("De Clercq Myriam")</f>
        <v>De Clercq Myriam</v>
      </c>
      <c r="Q7">
        <v>2565</v>
      </c>
      <c r="S7">
        <v>4</v>
      </c>
    </row>
    <row r="8" spans="1:19" x14ac:dyDescent="0.3">
      <c r="A8" t="s">
        <v>0</v>
      </c>
      <c r="B8" s="1">
        <v>45578</v>
      </c>
      <c r="C8" t="str">
        <f t="shared" si="0"/>
        <v>41002</v>
      </c>
      <c r="D8" t="s">
        <v>1</v>
      </c>
      <c r="E8" t="str">
        <f t="shared" si="1"/>
        <v>10</v>
      </c>
      <c r="F8">
        <v>326041</v>
      </c>
      <c r="G8">
        <v>211624</v>
      </c>
      <c r="H8">
        <v>8580</v>
      </c>
      <c r="I8" t="str">
        <f t="shared" si="2"/>
        <v>1</v>
      </c>
      <c r="J8" t="str">
        <f t="shared" si="3"/>
        <v>Vooruit</v>
      </c>
      <c r="K8">
        <v>14185</v>
      </c>
      <c r="L8">
        <v>11632</v>
      </c>
      <c r="M8">
        <v>25817</v>
      </c>
      <c r="N8">
        <v>1</v>
      </c>
      <c r="O8" t="str">
        <f>("7")</f>
        <v>7</v>
      </c>
      <c r="P8" t="str">
        <f>("Scheerlinck Michiel")</f>
        <v>Scheerlinck Michiel</v>
      </c>
      <c r="Q8">
        <v>1557</v>
      </c>
      <c r="S8">
        <v>9</v>
      </c>
    </row>
    <row r="9" spans="1:19" x14ac:dyDescent="0.3">
      <c r="A9" t="s">
        <v>0</v>
      </c>
      <c r="B9" s="1">
        <v>45578</v>
      </c>
      <c r="C9" t="str">
        <f t="shared" si="0"/>
        <v>41002</v>
      </c>
      <c r="D9" t="s">
        <v>1</v>
      </c>
      <c r="E9" t="str">
        <f t="shared" si="1"/>
        <v>10</v>
      </c>
      <c r="F9">
        <v>326041</v>
      </c>
      <c r="G9">
        <v>211624</v>
      </c>
      <c r="H9">
        <v>8580</v>
      </c>
      <c r="I9" t="str">
        <f t="shared" si="2"/>
        <v>1</v>
      </c>
      <c r="J9" t="str">
        <f t="shared" si="3"/>
        <v>Vooruit</v>
      </c>
      <c r="K9">
        <v>14185</v>
      </c>
      <c r="L9">
        <v>11632</v>
      </c>
      <c r="M9">
        <v>25817</v>
      </c>
      <c r="N9">
        <v>1</v>
      </c>
      <c r="O9" t="str">
        <f>("8")</f>
        <v>8</v>
      </c>
      <c r="P9" t="str">
        <f>("Knockaert Kevin")</f>
        <v>Knockaert Kevin</v>
      </c>
      <c r="Q9">
        <v>1619</v>
      </c>
      <c r="S9">
        <v>6</v>
      </c>
    </row>
    <row r="10" spans="1:19" x14ac:dyDescent="0.3">
      <c r="A10" t="s">
        <v>0</v>
      </c>
      <c r="B10" s="1">
        <v>45578</v>
      </c>
      <c r="C10" t="str">
        <f t="shared" si="0"/>
        <v>41002</v>
      </c>
      <c r="D10" t="s">
        <v>1</v>
      </c>
      <c r="E10" t="str">
        <f t="shared" si="1"/>
        <v>10</v>
      </c>
      <c r="F10">
        <v>326041</v>
      </c>
      <c r="G10">
        <v>211624</v>
      </c>
      <c r="H10">
        <v>8580</v>
      </c>
      <c r="I10" t="str">
        <f t="shared" si="2"/>
        <v>1</v>
      </c>
      <c r="J10" t="str">
        <f t="shared" si="3"/>
        <v>Vooruit</v>
      </c>
      <c r="K10">
        <v>14185</v>
      </c>
      <c r="L10">
        <v>11632</v>
      </c>
      <c r="M10">
        <v>25817</v>
      </c>
      <c r="N10">
        <v>1</v>
      </c>
      <c r="O10" t="str">
        <f>("9")</f>
        <v>9</v>
      </c>
      <c r="P10" t="str">
        <f>("Cabus Jelle")</f>
        <v>Cabus Jelle</v>
      </c>
      <c r="Q10">
        <v>1596</v>
      </c>
      <c r="S10">
        <v>7</v>
      </c>
    </row>
    <row r="11" spans="1:19" x14ac:dyDescent="0.3">
      <c r="A11" t="s">
        <v>0</v>
      </c>
      <c r="B11" s="1">
        <v>45578</v>
      </c>
      <c r="C11" t="str">
        <f t="shared" si="0"/>
        <v>41002</v>
      </c>
      <c r="D11" t="s">
        <v>1</v>
      </c>
      <c r="E11" t="str">
        <f t="shared" si="1"/>
        <v>10</v>
      </c>
      <c r="F11">
        <v>326041</v>
      </c>
      <c r="G11">
        <v>211624</v>
      </c>
      <c r="H11">
        <v>8580</v>
      </c>
      <c r="I11" t="str">
        <f t="shared" si="2"/>
        <v>1</v>
      </c>
      <c r="J11" t="str">
        <f t="shared" si="3"/>
        <v>Vooruit</v>
      </c>
      <c r="K11">
        <v>14185</v>
      </c>
      <c r="L11">
        <v>11632</v>
      </c>
      <c r="M11">
        <v>25817</v>
      </c>
      <c r="N11">
        <v>1</v>
      </c>
      <c r="O11" t="str">
        <f>("10")</f>
        <v>10</v>
      </c>
      <c r="P11" t="str">
        <f>("Vanrobaeys Anja")</f>
        <v>Vanrobaeys Anja</v>
      </c>
      <c r="Q11">
        <v>3388</v>
      </c>
      <c r="S11">
        <v>2</v>
      </c>
    </row>
    <row r="12" spans="1:19" x14ac:dyDescent="0.3">
      <c r="A12" t="s">
        <v>0</v>
      </c>
      <c r="B12" s="1">
        <v>45578</v>
      </c>
      <c r="C12" t="str">
        <f t="shared" si="0"/>
        <v>41002</v>
      </c>
      <c r="D12" t="s">
        <v>1</v>
      </c>
      <c r="E12" t="str">
        <f t="shared" si="1"/>
        <v>10</v>
      </c>
      <c r="F12">
        <v>326041</v>
      </c>
      <c r="G12">
        <v>211624</v>
      </c>
      <c r="H12">
        <v>8580</v>
      </c>
      <c r="I12" t="str">
        <f t="shared" ref="I12:I21" si="4">("2")</f>
        <v>2</v>
      </c>
      <c r="J12" t="str">
        <f t="shared" ref="J12:J21" si="5">("PVDA")</f>
        <v>PVDA</v>
      </c>
      <c r="K12">
        <v>3623</v>
      </c>
      <c r="L12">
        <v>3128</v>
      </c>
      <c r="M12">
        <v>6751</v>
      </c>
      <c r="N12">
        <v>0</v>
      </c>
      <c r="O12" t="str">
        <f>("1")</f>
        <v>1</v>
      </c>
      <c r="P12" t="str">
        <f>("De Maeseneer Joachim")</f>
        <v>De Maeseneer Joachim</v>
      </c>
      <c r="Q12">
        <v>1467</v>
      </c>
    </row>
    <row r="13" spans="1:19" x14ac:dyDescent="0.3">
      <c r="A13" t="s">
        <v>0</v>
      </c>
      <c r="B13" s="1">
        <v>45578</v>
      </c>
      <c r="C13" t="str">
        <f t="shared" si="0"/>
        <v>41002</v>
      </c>
      <c r="D13" t="s">
        <v>1</v>
      </c>
      <c r="E13" t="str">
        <f t="shared" si="1"/>
        <v>10</v>
      </c>
      <c r="F13">
        <v>326041</v>
      </c>
      <c r="G13">
        <v>211624</v>
      </c>
      <c r="H13">
        <v>8580</v>
      </c>
      <c r="I13" t="str">
        <f t="shared" si="4"/>
        <v>2</v>
      </c>
      <c r="J13" t="str">
        <f t="shared" si="5"/>
        <v>PVDA</v>
      </c>
      <c r="K13">
        <v>3623</v>
      </c>
      <c r="L13">
        <v>3128</v>
      </c>
      <c r="M13">
        <v>6751</v>
      </c>
      <c r="N13">
        <v>0</v>
      </c>
      <c r="O13" t="str">
        <f>("2")</f>
        <v>2</v>
      </c>
      <c r="P13" t="str">
        <f>("Van der Speeten Yannick")</f>
        <v>Van der Speeten Yannick</v>
      </c>
      <c r="Q13">
        <v>719</v>
      </c>
    </row>
    <row r="14" spans="1:19" x14ac:dyDescent="0.3">
      <c r="A14" t="s">
        <v>0</v>
      </c>
      <c r="B14" s="1">
        <v>45578</v>
      </c>
      <c r="C14" t="str">
        <f t="shared" si="0"/>
        <v>41002</v>
      </c>
      <c r="D14" t="s">
        <v>1</v>
      </c>
      <c r="E14" t="str">
        <f t="shared" si="1"/>
        <v>10</v>
      </c>
      <c r="F14">
        <v>326041</v>
      </c>
      <c r="G14">
        <v>211624</v>
      </c>
      <c r="H14">
        <v>8580</v>
      </c>
      <c r="I14" t="str">
        <f t="shared" si="4"/>
        <v>2</v>
      </c>
      <c r="J14" t="str">
        <f t="shared" si="5"/>
        <v>PVDA</v>
      </c>
      <c r="K14">
        <v>3623</v>
      </c>
      <c r="L14">
        <v>3128</v>
      </c>
      <c r="M14">
        <v>6751</v>
      </c>
      <c r="N14">
        <v>0</v>
      </c>
      <c r="O14" t="str">
        <f>("3")</f>
        <v>3</v>
      </c>
      <c r="P14" t="str">
        <f>("Libeert Kasper")</f>
        <v>Libeert Kasper</v>
      </c>
      <c r="Q14">
        <v>546</v>
      </c>
    </row>
    <row r="15" spans="1:19" x14ac:dyDescent="0.3">
      <c r="A15" t="s">
        <v>0</v>
      </c>
      <c r="B15" s="1">
        <v>45578</v>
      </c>
      <c r="C15" t="str">
        <f t="shared" si="0"/>
        <v>41002</v>
      </c>
      <c r="D15" t="s">
        <v>1</v>
      </c>
      <c r="E15" t="str">
        <f t="shared" si="1"/>
        <v>10</v>
      </c>
      <c r="F15">
        <v>326041</v>
      </c>
      <c r="G15">
        <v>211624</v>
      </c>
      <c r="H15">
        <v>8580</v>
      </c>
      <c r="I15" t="str">
        <f t="shared" si="4"/>
        <v>2</v>
      </c>
      <c r="J15" t="str">
        <f t="shared" si="5"/>
        <v>PVDA</v>
      </c>
      <c r="K15">
        <v>3623</v>
      </c>
      <c r="L15">
        <v>3128</v>
      </c>
      <c r="M15">
        <v>6751</v>
      </c>
      <c r="N15">
        <v>0</v>
      </c>
      <c r="O15" t="str">
        <f>("4")</f>
        <v>4</v>
      </c>
      <c r="P15" t="str">
        <f>("Delangre Kimberly")</f>
        <v>Delangre Kimberly</v>
      </c>
      <c r="Q15">
        <v>644</v>
      </c>
    </row>
    <row r="16" spans="1:19" x14ac:dyDescent="0.3">
      <c r="A16" t="s">
        <v>0</v>
      </c>
      <c r="B16" s="1">
        <v>45578</v>
      </c>
      <c r="C16" t="str">
        <f t="shared" si="0"/>
        <v>41002</v>
      </c>
      <c r="D16" t="s">
        <v>1</v>
      </c>
      <c r="E16" t="str">
        <f t="shared" si="1"/>
        <v>10</v>
      </c>
      <c r="F16">
        <v>326041</v>
      </c>
      <c r="G16">
        <v>211624</v>
      </c>
      <c r="H16">
        <v>8580</v>
      </c>
      <c r="I16" t="str">
        <f t="shared" si="4"/>
        <v>2</v>
      </c>
      <c r="J16" t="str">
        <f t="shared" si="5"/>
        <v>PVDA</v>
      </c>
      <c r="K16">
        <v>3623</v>
      </c>
      <c r="L16">
        <v>3128</v>
      </c>
      <c r="M16">
        <v>6751</v>
      </c>
      <c r="N16">
        <v>0</v>
      </c>
      <c r="O16" t="str">
        <f>("5")</f>
        <v>5</v>
      </c>
      <c r="P16" t="str">
        <f>("Sylla Malick")</f>
        <v>Sylla Malick</v>
      </c>
      <c r="Q16">
        <v>630</v>
      </c>
    </row>
    <row r="17" spans="1:19" x14ac:dyDescent="0.3">
      <c r="A17" t="s">
        <v>0</v>
      </c>
      <c r="B17" s="1">
        <v>45578</v>
      </c>
      <c r="C17" t="str">
        <f t="shared" si="0"/>
        <v>41002</v>
      </c>
      <c r="D17" t="s">
        <v>1</v>
      </c>
      <c r="E17" t="str">
        <f t="shared" si="1"/>
        <v>10</v>
      </c>
      <c r="F17">
        <v>326041</v>
      </c>
      <c r="G17">
        <v>211624</v>
      </c>
      <c r="H17">
        <v>8580</v>
      </c>
      <c r="I17" t="str">
        <f t="shared" si="4"/>
        <v>2</v>
      </c>
      <c r="J17" t="str">
        <f t="shared" si="5"/>
        <v>PVDA</v>
      </c>
      <c r="K17">
        <v>3623</v>
      </c>
      <c r="L17">
        <v>3128</v>
      </c>
      <c r="M17">
        <v>6751</v>
      </c>
      <c r="N17">
        <v>0</v>
      </c>
      <c r="O17" t="str">
        <f>("6")</f>
        <v>6</v>
      </c>
      <c r="P17" t="str">
        <f>("Tomasevic Isa")</f>
        <v>Tomasevic Isa</v>
      </c>
      <c r="Q17">
        <v>561</v>
      </c>
    </row>
    <row r="18" spans="1:19" x14ac:dyDescent="0.3">
      <c r="A18" t="s">
        <v>0</v>
      </c>
      <c r="B18" s="1">
        <v>45578</v>
      </c>
      <c r="C18" t="str">
        <f t="shared" si="0"/>
        <v>41002</v>
      </c>
      <c r="D18" t="s">
        <v>1</v>
      </c>
      <c r="E18" t="str">
        <f t="shared" si="1"/>
        <v>10</v>
      </c>
      <c r="F18">
        <v>326041</v>
      </c>
      <c r="G18">
        <v>211624</v>
      </c>
      <c r="H18">
        <v>8580</v>
      </c>
      <c r="I18" t="str">
        <f t="shared" si="4"/>
        <v>2</v>
      </c>
      <c r="J18" t="str">
        <f t="shared" si="5"/>
        <v>PVDA</v>
      </c>
      <c r="K18">
        <v>3623</v>
      </c>
      <c r="L18">
        <v>3128</v>
      </c>
      <c r="M18">
        <v>6751</v>
      </c>
      <c r="N18">
        <v>0</v>
      </c>
      <c r="O18" t="str">
        <f>("7")</f>
        <v>7</v>
      </c>
      <c r="P18" t="str">
        <f>("Ndagijimana Philippe")</f>
        <v>Ndagijimana Philippe</v>
      </c>
      <c r="Q18">
        <v>572</v>
      </c>
    </row>
    <row r="19" spans="1:19" x14ac:dyDescent="0.3">
      <c r="A19" t="s">
        <v>0</v>
      </c>
      <c r="B19" s="1">
        <v>45578</v>
      </c>
      <c r="C19" t="str">
        <f t="shared" si="0"/>
        <v>41002</v>
      </c>
      <c r="D19" t="s">
        <v>1</v>
      </c>
      <c r="E19" t="str">
        <f t="shared" si="1"/>
        <v>10</v>
      </c>
      <c r="F19">
        <v>326041</v>
      </c>
      <c r="G19">
        <v>211624</v>
      </c>
      <c r="H19">
        <v>8580</v>
      </c>
      <c r="I19" t="str">
        <f t="shared" si="4"/>
        <v>2</v>
      </c>
      <c r="J19" t="str">
        <f t="shared" si="5"/>
        <v>PVDA</v>
      </c>
      <c r="K19">
        <v>3623</v>
      </c>
      <c r="L19">
        <v>3128</v>
      </c>
      <c r="M19">
        <v>6751</v>
      </c>
      <c r="N19">
        <v>0</v>
      </c>
      <c r="O19" t="str">
        <f>("8")</f>
        <v>8</v>
      </c>
      <c r="P19" t="str">
        <f>("Imbo Lydia")</f>
        <v>Imbo Lydia</v>
      </c>
      <c r="Q19">
        <v>671</v>
      </c>
    </row>
    <row r="20" spans="1:19" x14ac:dyDescent="0.3">
      <c r="A20" t="s">
        <v>0</v>
      </c>
      <c r="B20" s="1">
        <v>45578</v>
      </c>
      <c r="C20" t="str">
        <f t="shared" si="0"/>
        <v>41002</v>
      </c>
      <c r="D20" t="s">
        <v>1</v>
      </c>
      <c r="E20" t="str">
        <f t="shared" si="1"/>
        <v>10</v>
      </c>
      <c r="F20">
        <v>326041</v>
      </c>
      <c r="G20">
        <v>211624</v>
      </c>
      <c r="H20">
        <v>8580</v>
      </c>
      <c r="I20" t="str">
        <f t="shared" si="4"/>
        <v>2</v>
      </c>
      <c r="J20" t="str">
        <f t="shared" si="5"/>
        <v>PVDA</v>
      </c>
      <c r="K20">
        <v>3623</v>
      </c>
      <c r="L20">
        <v>3128</v>
      </c>
      <c r="M20">
        <v>6751</v>
      </c>
      <c r="N20">
        <v>0</v>
      </c>
      <c r="O20" t="str">
        <f>("9")</f>
        <v>9</v>
      </c>
      <c r="P20" t="str">
        <f>("Jebara Nawras")</f>
        <v>Jebara Nawras</v>
      </c>
      <c r="Q20">
        <v>770</v>
      </c>
    </row>
    <row r="21" spans="1:19" x14ac:dyDescent="0.3">
      <c r="A21" t="s">
        <v>0</v>
      </c>
      <c r="B21" s="1">
        <v>45578</v>
      </c>
      <c r="C21" t="str">
        <f t="shared" si="0"/>
        <v>41002</v>
      </c>
      <c r="D21" t="s">
        <v>1</v>
      </c>
      <c r="E21" t="str">
        <f t="shared" si="1"/>
        <v>10</v>
      </c>
      <c r="F21">
        <v>326041</v>
      </c>
      <c r="G21">
        <v>211624</v>
      </c>
      <c r="H21">
        <v>8580</v>
      </c>
      <c r="I21" t="str">
        <f t="shared" si="4"/>
        <v>2</v>
      </c>
      <c r="J21" t="str">
        <f t="shared" si="5"/>
        <v>PVDA</v>
      </c>
      <c r="K21">
        <v>3623</v>
      </c>
      <c r="L21">
        <v>3128</v>
      </c>
      <c r="M21">
        <v>6751</v>
      </c>
      <c r="N21">
        <v>0</v>
      </c>
      <c r="O21" t="str">
        <f>("10")</f>
        <v>10</v>
      </c>
      <c r="P21" t="str">
        <f>("Tonniau Robin")</f>
        <v>Tonniau Robin</v>
      </c>
      <c r="Q21">
        <v>798</v>
      </c>
    </row>
    <row r="22" spans="1:19" x14ac:dyDescent="0.3">
      <c r="A22" t="s">
        <v>0</v>
      </c>
      <c r="B22" s="1">
        <v>45578</v>
      </c>
      <c r="C22" t="str">
        <f t="shared" si="0"/>
        <v>41002</v>
      </c>
      <c r="D22" t="s">
        <v>1</v>
      </c>
      <c r="E22" t="str">
        <f t="shared" si="1"/>
        <v>10</v>
      </c>
      <c r="F22">
        <v>326041</v>
      </c>
      <c r="G22">
        <v>211624</v>
      </c>
      <c r="H22">
        <v>8580</v>
      </c>
      <c r="I22" t="str">
        <f t="shared" ref="I22:I31" si="6">("3")</f>
        <v>3</v>
      </c>
      <c r="J22" t="str">
        <f t="shared" ref="J22:J31" si="7">("cd&amp;v")</f>
        <v>cd&amp;v</v>
      </c>
      <c r="K22">
        <v>12931</v>
      </c>
      <c r="L22">
        <v>20762</v>
      </c>
      <c r="M22">
        <v>33693</v>
      </c>
      <c r="N22">
        <v>2</v>
      </c>
      <c r="O22" t="str">
        <f>("1")</f>
        <v>1</v>
      </c>
      <c r="P22" t="str">
        <f>("Verzele Joop")</f>
        <v>Verzele Joop</v>
      </c>
      <c r="Q22">
        <v>8058</v>
      </c>
      <c r="R22">
        <v>1</v>
      </c>
    </row>
    <row r="23" spans="1:19" x14ac:dyDescent="0.3">
      <c r="A23" t="s">
        <v>0</v>
      </c>
      <c r="B23" s="1">
        <v>45578</v>
      </c>
      <c r="C23" t="str">
        <f t="shared" si="0"/>
        <v>41002</v>
      </c>
      <c r="D23" t="s">
        <v>1</v>
      </c>
      <c r="E23" t="str">
        <f t="shared" si="1"/>
        <v>10</v>
      </c>
      <c r="F23">
        <v>326041</v>
      </c>
      <c r="G23">
        <v>211624</v>
      </c>
      <c r="H23">
        <v>8580</v>
      </c>
      <c r="I23" t="str">
        <f t="shared" si="6"/>
        <v>3</v>
      </c>
      <c r="J23" t="str">
        <f t="shared" si="7"/>
        <v>cd&amp;v</v>
      </c>
      <c r="K23">
        <v>12931</v>
      </c>
      <c r="L23">
        <v>20762</v>
      </c>
      <c r="M23">
        <v>33693</v>
      </c>
      <c r="N23">
        <v>2</v>
      </c>
      <c r="O23" t="str">
        <f>("2")</f>
        <v>2</v>
      </c>
      <c r="P23" t="str">
        <f>("Mertens Veerle")</f>
        <v>Mertens Veerle</v>
      </c>
      <c r="Q23">
        <v>4362</v>
      </c>
      <c r="S23">
        <v>1</v>
      </c>
    </row>
    <row r="24" spans="1:19" x14ac:dyDescent="0.3">
      <c r="A24" t="s">
        <v>0</v>
      </c>
      <c r="B24" s="1">
        <v>45578</v>
      </c>
      <c r="C24" t="str">
        <f t="shared" si="0"/>
        <v>41002</v>
      </c>
      <c r="D24" t="s">
        <v>1</v>
      </c>
      <c r="E24" t="str">
        <f t="shared" si="1"/>
        <v>10</v>
      </c>
      <c r="F24">
        <v>326041</v>
      </c>
      <c r="G24">
        <v>211624</v>
      </c>
      <c r="H24">
        <v>8580</v>
      </c>
      <c r="I24" t="str">
        <f t="shared" si="6"/>
        <v>3</v>
      </c>
      <c r="J24" t="str">
        <f t="shared" si="7"/>
        <v>cd&amp;v</v>
      </c>
      <c r="K24">
        <v>12931</v>
      </c>
      <c r="L24">
        <v>20762</v>
      </c>
      <c r="M24">
        <v>33693</v>
      </c>
      <c r="N24">
        <v>2</v>
      </c>
      <c r="O24" t="str">
        <f>("3")</f>
        <v>3</v>
      </c>
      <c r="P24" t="str">
        <f>("Couckuyt Eva")</f>
        <v>Couckuyt Eva</v>
      </c>
      <c r="Q24">
        <v>3810</v>
      </c>
      <c r="S24">
        <v>2</v>
      </c>
    </row>
    <row r="25" spans="1:19" x14ac:dyDescent="0.3">
      <c r="A25" t="s">
        <v>0</v>
      </c>
      <c r="B25" s="1">
        <v>45578</v>
      </c>
      <c r="C25" t="str">
        <f t="shared" si="0"/>
        <v>41002</v>
      </c>
      <c r="D25" t="s">
        <v>1</v>
      </c>
      <c r="E25" t="str">
        <f t="shared" si="1"/>
        <v>10</v>
      </c>
      <c r="F25">
        <v>326041</v>
      </c>
      <c r="G25">
        <v>211624</v>
      </c>
      <c r="H25">
        <v>8580</v>
      </c>
      <c r="I25" t="str">
        <f t="shared" si="6"/>
        <v>3</v>
      </c>
      <c r="J25" t="str">
        <f t="shared" si="7"/>
        <v>cd&amp;v</v>
      </c>
      <c r="K25">
        <v>12931</v>
      </c>
      <c r="L25">
        <v>20762</v>
      </c>
      <c r="M25">
        <v>33693</v>
      </c>
      <c r="N25">
        <v>2</v>
      </c>
      <c r="O25" t="str">
        <f>("4")</f>
        <v>4</v>
      </c>
      <c r="P25" t="str">
        <f>("Vandriessche Christine")</f>
        <v>Vandriessche Christine</v>
      </c>
      <c r="Q25">
        <v>2672</v>
      </c>
      <c r="S25">
        <v>4</v>
      </c>
    </row>
    <row r="26" spans="1:19" x14ac:dyDescent="0.3">
      <c r="A26" t="s">
        <v>0</v>
      </c>
      <c r="B26" s="1">
        <v>45578</v>
      </c>
      <c r="C26" t="str">
        <f t="shared" si="0"/>
        <v>41002</v>
      </c>
      <c r="D26" t="s">
        <v>1</v>
      </c>
      <c r="E26" t="str">
        <f t="shared" si="1"/>
        <v>10</v>
      </c>
      <c r="F26">
        <v>326041</v>
      </c>
      <c r="G26">
        <v>211624</v>
      </c>
      <c r="H26">
        <v>8580</v>
      </c>
      <c r="I26" t="str">
        <f t="shared" si="6"/>
        <v>3</v>
      </c>
      <c r="J26" t="str">
        <f t="shared" si="7"/>
        <v>cd&amp;v</v>
      </c>
      <c r="K26">
        <v>12931</v>
      </c>
      <c r="L26">
        <v>20762</v>
      </c>
      <c r="M26">
        <v>33693</v>
      </c>
      <c r="N26">
        <v>2</v>
      </c>
      <c r="O26" t="str">
        <f>("5")</f>
        <v>5</v>
      </c>
      <c r="P26" t="str">
        <f>("Penninck Jonah")</f>
        <v>Penninck Jonah</v>
      </c>
      <c r="Q26">
        <v>2024</v>
      </c>
      <c r="S26">
        <v>7</v>
      </c>
    </row>
    <row r="27" spans="1:19" x14ac:dyDescent="0.3">
      <c r="A27" t="s">
        <v>0</v>
      </c>
      <c r="B27" s="1">
        <v>45578</v>
      </c>
      <c r="C27" t="str">
        <f t="shared" si="0"/>
        <v>41002</v>
      </c>
      <c r="D27" t="s">
        <v>1</v>
      </c>
      <c r="E27" t="str">
        <f t="shared" si="1"/>
        <v>10</v>
      </c>
      <c r="F27">
        <v>326041</v>
      </c>
      <c r="G27">
        <v>211624</v>
      </c>
      <c r="H27">
        <v>8580</v>
      </c>
      <c r="I27" t="str">
        <f t="shared" si="6"/>
        <v>3</v>
      </c>
      <c r="J27" t="str">
        <f t="shared" si="7"/>
        <v>cd&amp;v</v>
      </c>
      <c r="K27">
        <v>12931</v>
      </c>
      <c r="L27">
        <v>20762</v>
      </c>
      <c r="M27">
        <v>33693</v>
      </c>
      <c r="N27">
        <v>2</v>
      </c>
      <c r="O27" t="str">
        <f>("6")</f>
        <v>6</v>
      </c>
      <c r="P27" t="str">
        <f>("Okitokandjo Chancelvie")</f>
        <v>Okitokandjo Chancelvie</v>
      </c>
      <c r="Q27">
        <v>2201</v>
      </c>
      <c r="S27">
        <v>5</v>
      </c>
    </row>
    <row r="28" spans="1:19" x14ac:dyDescent="0.3">
      <c r="A28" t="s">
        <v>0</v>
      </c>
      <c r="B28" s="1">
        <v>45578</v>
      </c>
      <c r="C28" t="str">
        <f t="shared" si="0"/>
        <v>41002</v>
      </c>
      <c r="D28" t="s">
        <v>1</v>
      </c>
      <c r="E28" t="str">
        <f t="shared" si="1"/>
        <v>10</v>
      </c>
      <c r="F28">
        <v>326041</v>
      </c>
      <c r="G28">
        <v>211624</v>
      </c>
      <c r="H28">
        <v>8580</v>
      </c>
      <c r="I28" t="str">
        <f t="shared" si="6"/>
        <v>3</v>
      </c>
      <c r="J28" t="str">
        <f t="shared" si="7"/>
        <v>cd&amp;v</v>
      </c>
      <c r="K28">
        <v>12931</v>
      </c>
      <c r="L28">
        <v>20762</v>
      </c>
      <c r="M28">
        <v>33693</v>
      </c>
      <c r="N28">
        <v>2</v>
      </c>
      <c r="O28" t="str">
        <f>("7")</f>
        <v>7</v>
      </c>
      <c r="P28" t="str">
        <f>("Bernagie Joris")</f>
        <v>Bernagie Joris</v>
      </c>
      <c r="Q28">
        <v>2083</v>
      </c>
      <c r="S28">
        <v>6</v>
      </c>
    </row>
    <row r="29" spans="1:19" x14ac:dyDescent="0.3">
      <c r="A29" t="s">
        <v>0</v>
      </c>
      <c r="B29" s="1">
        <v>45578</v>
      </c>
      <c r="C29" t="str">
        <f t="shared" si="0"/>
        <v>41002</v>
      </c>
      <c r="D29" t="s">
        <v>1</v>
      </c>
      <c r="E29" t="str">
        <f t="shared" si="1"/>
        <v>10</v>
      </c>
      <c r="F29">
        <v>326041</v>
      </c>
      <c r="G29">
        <v>211624</v>
      </c>
      <c r="H29">
        <v>8580</v>
      </c>
      <c r="I29" t="str">
        <f t="shared" si="6"/>
        <v>3</v>
      </c>
      <c r="J29" t="str">
        <f t="shared" si="7"/>
        <v>cd&amp;v</v>
      </c>
      <c r="K29">
        <v>12931</v>
      </c>
      <c r="L29">
        <v>20762</v>
      </c>
      <c r="M29">
        <v>33693</v>
      </c>
      <c r="N29">
        <v>2</v>
      </c>
      <c r="O29" t="str">
        <f>("8")</f>
        <v>8</v>
      </c>
      <c r="P29" t="str">
        <f>("Moens Danny")</f>
        <v>Moens Danny</v>
      </c>
      <c r="Q29">
        <v>1963</v>
      </c>
      <c r="S29">
        <v>8</v>
      </c>
    </row>
    <row r="30" spans="1:19" x14ac:dyDescent="0.3">
      <c r="A30" t="s">
        <v>0</v>
      </c>
      <c r="B30" s="1">
        <v>45578</v>
      </c>
      <c r="C30" t="str">
        <f t="shared" si="0"/>
        <v>41002</v>
      </c>
      <c r="D30" t="s">
        <v>1</v>
      </c>
      <c r="E30" t="str">
        <f t="shared" si="1"/>
        <v>10</v>
      </c>
      <c r="F30">
        <v>326041</v>
      </c>
      <c r="G30">
        <v>211624</v>
      </c>
      <c r="H30">
        <v>8580</v>
      </c>
      <c r="I30" t="str">
        <f t="shared" si="6"/>
        <v>3</v>
      </c>
      <c r="J30" t="str">
        <f t="shared" si="7"/>
        <v>cd&amp;v</v>
      </c>
      <c r="K30">
        <v>12931</v>
      </c>
      <c r="L30">
        <v>20762</v>
      </c>
      <c r="M30">
        <v>33693</v>
      </c>
      <c r="N30">
        <v>2</v>
      </c>
      <c r="O30" t="str">
        <f>("9")</f>
        <v>9</v>
      </c>
      <c r="P30" t="str">
        <f>("Van Keymolen Phaedra")</f>
        <v>Van Keymolen Phaedra</v>
      </c>
      <c r="Q30">
        <v>4493</v>
      </c>
      <c r="R30">
        <v>2</v>
      </c>
    </row>
    <row r="31" spans="1:19" x14ac:dyDescent="0.3">
      <c r="A31" t="s">
        <v>0</v>
      </c>
      <c r="B31" s="1">
        <v>45578</v>
      </c>
      <c r="C31" t="str">
        <f t="shared" si="0"/>
        <v>41002</v>
      </c>
      <c r="D31" t="s">
        <v>1</v>
      </c>
      <c r="E31" t="str">
        <f t="shared" si="1"/>
        <v>10</v>
      </c>
      <c r="F31">
        <v>326041</v>
      </c>
      <c r="G31">
        <v>211624</v>
      </c>
      <c r="H31">
        <v>8580</v>
      </c>
      <c r="I31" t="str">
        <f t="shared" si="6"/>
        <v>3</v>
      </c>
      <c r="J31" t="str">
        <f t="shared" si="7"/>
        <v>cd&amp;v</v>
      </c>
      <c r="K31">
        <v>12931</v>
      </c>
      <c r="L31">
        <v>20762</v>
      </c>
      <c r="M31">
        <v>33693</v>
      </c>
      <c r="N31">
        <v>2</v>
      </c>
      <c r="O31" t="str">
        <f>("10")</f>
        <v>10</v>
      </c>
      <c r="P31" t="str">
        <f>("Michaux Ignace")</f>
        <v>Michaux Ignace</v>
      </c>
      <c r="Q31">
        <v>3425</v>
      </c>
      <c r="S31">
        <v>3</v>
      </c>
    </row>
    <row r="32" spans="1:19" x14ac:dyDescent="0.3">
      <c r="A32" t="s">
        <v>0</v>
      </c>
      <c r="B32" s="1">
        <v>45578</v>
      </c>
      <c r="C32" t="str">
        <f t="shared" si="0"/>
        <v>41002</v>
      </c>
      <c r="D32" t="s">
        <v>1</v>
      </c>
      <c r="E32" t="str">
        <f t="shared" si="1"/>
        <v>10</v>
      </c>
      <c r="F32">
        <v>326041</v>
      </c>
      <c r="G32">
        <v>211624</v>
      </c>
      <c r="H32">
        <v>8580</v>
      </c>
      <c r="I32" t="str">
        <f t="shared" ref="I32:I41" si="8">("4")</f>
        <v>4</v>
      </c>
      <c r="J32" t="str">
        <f t="shared" ref="J32:J41" si="9">("VLAAMS BELANG")</f>
        <v>VLAAMS BELANG</v>
      </c>
      <c r="K32">
        <v>31090</v>
      </c>
      <c r="L32">
        <v>17913</v>
      </c>
      <c r="M32">
        <v>49003</v>
      </c>
      <c r="N32">
        <v>3</v>
      </c>
      <c r="O32" t="str">
        <f>("1")</f>
        <v>1</v>
      </c>
      <c r="P32" t="str">
        <f>("Lenvain Veronique")</f>
        <v>Lenvain Veronique</v>
      </c>
      <c r="Q32">
        <v>11728</v>
      </c>
      <c r="R32">
        <v>1</v>
      </c>
    </row>
    <row r="33" spans="1:19" x14ac:dyDescent="0.3">
      <c r="A33" t="s">
        <v>0</v>
      </c>
      <c r="B33" s="1">
        <v>45578</v>
      </c>
      <c r="C33" t="str">
        <f t="shared" si="0"/>
        <v>41002</v>
      </c>
      <c r="D33" t="s">
        <v>1</v>
      </c>
      <c r="E33" t="str">
        <f t="shared" si="1"/>
        <v>10</v>
      </c>
      <c r="F33">
        <v>326041</v>
      </c>
      <c r="G33">
        <v>211624</v>
      </c>
      <c r="H33">
        <v>8580</v>
      </c>
      <c r="I33" t="str">
        <f t="shared" si="8"/>
        <v>4</v>
      </c>
      <c r="J33" t="str">
        <f t="shared" si="9"/>
        <v>VLAAMS BELANG</v>
      </c>
      <c r="K33">
        <v>31090</v>
      </c>
      <c r="L33">
        <v>17913</v>
      </c>
      <c r="M33">
        <v>49003</v>
      </c>
      <c r="N33">
        <v>3</v>
      </c>
      <c r="O33" t="str">
        <f>("2")</f>
        <v>2</v>
      </c>
      <c r="P33" t="str">
        <f>("Van Liedekerke Steven")</f>
        <v>Van Liedekerke Steven</v>
      </c>
      <c r="Q33">
        <v>7377</v>
      </c>
      <c r="R33">
        <v>2</v>
      </c>
    </row>
    <row r="34" spans="1:19" x14ac:dyDescent="0.3">
      <c r="A34" t="s">
        <v>0</v>
      </c>
      <c r="B34" s="1">
        <v>45578</v>
      </c>
      <c r="C34" t="str">
        <f t="shared" ref="C34:C65" si="10">("41002")</f>
        <v>41002</v>
      </c>
      <c r="D34" t="s">
        <v>1</v>
      </c>
      <c r="E34" t="str">
        <f t="shared" ref="E34:E65" si="11">("10")</f>
        <v>10</v>
      </c>
      <c r="F34">
        <v>326041</v>
      </c>
      <c r="G34">
        <v>211624</v>
      </c>
      <c r="H34">
        <v>8580</v>
      </c>
      <c r="I34" t="str">
        <f t="shared" si="8"/>
        <v>4</v>
      </c>
      <c r="J34" t="str">
        <f t="shared" si="9"/>
        <v>VLAAMS BELANG</v>
      </c>
      <c r="K34">
        <v>31090</v>
      </c>
      <c r="L34">
        <v>17913</v>
      </c>
      <c r="M34">
        <v>49003</v>
      </c>
      <c r="N34">
        <v>3</v>
      </c>
      <c r="O34" t="str">
        <f>("3")</f>
        <v>3</v>
      </c>
      <c r="P34" t="str">
        <f>("Diaz Griet")</f>
        <v>Diaz Griet</v>
      </c>
      <c r="Q34">
        <v>6152</v>
      </c>
      <c r="R34">
        <v>3</v>
      </c>
    </row>
    <row r="35" spans="1:19" x14ac:dyDescent="0.3">
      <c r="A35" t="s">
        <v>0</v>
      </c>
      <c r="B35" s="1">
        <v>45578</v>
      </c>
      <c r="C35" t="str">
        <f t="shared" si="10"/>
        <v>41002</v>
      </c>
      <c r="D35" t="s">
        <v>1</v>
      </c>
      <c r="E35" t="str">
        <f t="shared" si="11"/>
        <v>10</v>
      </c>
      <c r="F35">
        <v>326041</v>
      </c>
      <c r="G35">
        <v>211624</v>
      </c>
      <c r="H35">
        <v>8580</v>
      </c>
      <c r="I35" t="str">
        <f t="shared" si="8"/>
        <v>4</v>
      </c>
      <c r="J35" t="str">
        <f t="shared" si="9"/>
        <v>VLAAMS BELANG</v>
      </c>
      <c r="K35">
        <v>31090</v>
      </c>
      <c r="L35">
        <v>17913</v>
      </c>
      <c r="M35">
        <v>49003</v>
      </c>
      <c r="N35">
        <v>3</v>
      </c>
      <c r="O35" t="str">
        <f>("4")</f>
        <v>4</v>
      </c>
      <c r="P35" t="str">
        <f>("Sirjacobs Johan")</f>
        <v>Sirjacobs Johan</v>
      </c>
      <c r="Q35">
        <v>5539</v>
      </c>
      <c r="S35">
        <v>2</v>
      </c>
    </row>
    <row r="36" spans="1:19" x14ac:dyDescent="0.3">
      <c r="A36" t="s">
        <v>0</v>
      </c>
      <c r="B36" s="1">
        <v>45578</v>
      </c>
      <c r="C36" t="str">
        <f t="shared" si="10"/>
        <v>41002</v>
      </c>
      <c r="D36" t="s">
        <v>1</v>
      </c>
      <c r="E36" t="str">
        <f t="shared" si="11"/>
        <v>10</v>
      </c>
      <c r="F36">
        <v>326041</v>
      </c>
      <c r="G36">
        <v>211624</v>
      </c>
      <c r="H36">
        <v>8580</v>
      </c>
      <c r="I36" t="str">
        <f t="shared" si="8"/>
        <v>4</v>
      </c>
      <c r="J36" t="str">
        <f t="shared" si="9"/>
        <v>VLAAMS BELANG</v>
      </c>
      <c r="K36">
        <v>31090</v>
      </c>
      <c r="L36">
        <v>17913</v>
      </c>
      <c r="M36">
        <v>49003</v>
      </c>
      <c r="N36">
        <v>3</v>
      </c>
      <c r="O36" t="str">
        <f>("5")</f>
        <v>5</v>
      </c>
      <c r="P36" t="str">
        <f>("Janssens Natalia")</f>
        <v>Janssens Natalia</v>
      </c>
      <c r="Q36">
        <v>5396</v>
      </c>
      <c r="S36">
        <v>3</v>
      </c>
    </row>
    <row r="37" spans="1:19" x14ac:dyDescent="0.3">
      <c r="A37" t="s">
        <v>0</v>
      </c>
      <c r="B37" s="1">
        <v>45578</v>
      </c>
      <c r="C37" t="str">
        <f t="shared" si="10"/>
        <v>41002</v>
      </c>
      <c r="D37" t="s">
        <v>1</v>
      </c>
      <c r="E37" t="str">
        <f t="shared" si="11"/>
        <v>10</v>
      </c>
      <c r="F37">
        <v>326041</v>
      </c>
      <c r="G37">
        <v>211624</v>
      </c>
      <c r="H37">
        <v>8580</v>
      </c>
      <c r="I37" t="str">
        <f t="shared" si="8"/>
        <v>4</v>
      </c>
      <c r="J37" t="str">
        <f t="shared" si="9"/>
        <v>VLAAMS BELANG</v>
      </c>
      <c r="K37">
        <v>31090</v>
      </c>
      <c r="L37">
        <v>17913</v>
      </c>
      <c r="M37">
        <v>49003</v>
      </c>
      <c r="N37">
        <v>3</v>
      </c>
      <c r="O37" t="str">
        <f>("6")</f>
        <v>6</v>
      </c>
      <c r="P37" t="str">
        <f>("Vanderspeeten Silvio")</f>
        <v>Vanderspeeten Silvio</v>
      </c>
      <c r="Q37">
        <v>4710</v>
      </c>
      <c r="S37">
        <v>7</v>
      </c>
    </row>
    <row r="38" spans="1:19" x14ac:dyDescent="0.3">
      <c r="A38" t="s">
        <v>0</v>
      </c>
      <c r="B38" s="1">
        <v>45578</v>
      </c>
      <c r="C38" t="str">
        <f t="shared" si="10"/>
        <v>41002</v>
      </c>
      <c r="D38" t="s">
        <v>1</v>
      </c>
      <c r="E38" t="str">
        <f t="shared" si="11"/>
        <v>10</v>
      </c>
      <c r="F38">
        <v>326041</v>
      </c>
      <c r="G38">
        <v>211624</v>
      </c>
      <c r="H38">
        <v>8580</v>
      </c>
      <c r="I38" t="str">
        <f t="shared" si="8"/>
        <v>4</v>
      </c>
      <c r="J38" t="str">
        <f t="shared" si="9"/>
        <v>VLAAMS BELANG</v>
      </c>
      <c r="K38">
        <v>31090</v>
      </c>
      <c r="L38">
        <v>17913</v>
      </c>
      <c r="M38">
        <v>49003</v>
      </c>
      <c r="N38">
        <v>3</v>
      </c>
      <c r="O38" t="str">
        <f>("7")</f>
        <v>7</v>
      </c>
      <c r="P38" t="str">
        <f>("Colpaert Eefje")</f>
        <v>Colpaert Eefje</v>
      </c>
      <c r="Q38">
        <v>5103</v>
      </c>
      <c r="S38">
        <v>4</v>
      </c>
    </row>
    <row r="39" spans="1:19" x14ac:dyDescent="0.3">
      <c r="A39" t="s">
        <v>0</v>
      </c>
      <c r="B39" s="1">
        <v>45578</v>
      </c>
      <c r="C39" t="str">
        <f t="shared" si="10"/>
        <v>41002</v>
      </c>
      <c r="D39" t="s">
        <v>1</v>
      </c>
      <c r="E39" t="str">
        <f t="shared" si="11"/>
        <v>10</v>
      </c>
      <c r="F39">
        <v>326041</v>
      </c>
      <c r="G39">
        <v>211624</v>
      </c>
      <c r="H39">
        <v>8580</v>
      </c>
      <c r="I39" t="str">
        <f t="shared" si="8"/>
        <v>4</v>
      </c>
      <c r="J39" t="str">
        <f t="shared" si="9"/>
        <v>VLAAMS BELANG</v>
      </c>
      <c r="K39">
        <v>31090</v>
      </c>
      <c r="L39">
        <v>17913</v>
      </c>
      <c r="M39">
        <v>49003</v>
      </c>
      <c r="N39">
        <v>3</v>
      </c>
      <c r="O39" t="str">
        <f>("8")</f>
        <v>8</v>
      </c>
      <c r="P39" t="str">
        <f>("Van der Kelen Jens")</f>
        <v>Van der Kelen Jens</v>
      </c>
      <c r="Q39">
        <v>5100</v>
      </c>
      <c r="S39">
        <v>5</v>
      </c>
    </row>
    <row r="40" spans="1:19" x14ac:dyDescent="0.3">
      <c r="A40" t="s">
        <v>0</v>
      </c>
      <c r="B40" s="1">
        <v>45578</v>
      </c>
      <c r="C40" t="str">
        <f t="shared" si="10"/>
        <v>41002</v>
      </c>
      <c r="D40" t="s">
        <v>1</v>
      </c>
      <c r="E40" t="str">
        <f t="shared" si="11"/>
        <v>10</v>
      </c>
      <c r="F40">
        <v>326041</v>
      </c>
      <c r="G40">
        <v>211624</v>
      </c>
      <c r="H40">
        <v>8580</v>
      </c>
      <c r="I40" t="str">
        <f t="shared" si="8"/>
        <v>4</v>
      </c>
      <c r="J40" t="str">
        <f t="shared" si="9"/>
        <v>VLAAMS BELANG</v>
      </c>
      <c r="K40">
        <v>31090</v>
      </c>
      <c r="L40">
        <v>17913</v>
      </c>
      <c r="M40">
        <v>49003</v>
      </c>
      <c r="N40">
        <v>3</v>
      </c>
      <c r="O40" t="str">
        <f>("9")</f>
        <v>9</v>
      </c>
      <c r="P40" t="str">
        <f>("De Smeytere Steven")</f>
        <v>De Smeytere Steven</v>
      </c>
      <c r="Q40">
        <v>4745</v>
      </c>
      <c r="S40">
        <v>6</v>
      </c>
    </row>
    <row r="41" spans="1:19" x14ac:dyDescent="0.3">
      <c r="A41" t="s">
        <v>0</v>
      </c>
      <c r="B41" s="1">
        <v>45578</v>
      </c>
      <c r="C41" t="str">
        <f t="shared" si="10"/>
        <v>41002</v>
      </c>
      <c r="D41" t="s">
        <v>1</v>
      </c>
      <c r="E41" t="str">
        <f t="shared" si="11"/>
        <v>10</v>
      </c>
      <c r="F41">
        <v>326041</v>
      </c>
      <c r="G41">
        <v>211624</v>
      </c>
      <c r="H41">
        <v>8580</v>
      </c>
      <c r="I41" t="str">
        <f t="shared" si="8"/>
        <v>4</v>
      </c>
      <c r="J41" t="str">
        <f t="shared" si="9"/>
        <v>VLAAMS BELANG</v>
      </c>
      <c r="K41">
        <v>31090</v>
      </c>
      <c r="L41">
        <v>17913</v>
      </c>
      <c r="M41">
        <v>49003</v>
      </c>
      <c r="N41">
        <v>3</v>
      </c>
      <c r="O41" t="str">
        <f>("10")</f>
        <v>10</v>
      </c>
      <c r="P41" t="str">
        <f>("Van den Driessche Freija")</f>
        <v>Van den Driessche Freija</v>
      </c>
      <c r="Q41">
        <v>5733</v>
      </c>
      <c r="S41">
        <v>1</v>
      </c>
    </row>
    <row r="42" spans="1:19" x14ac:dyDescent="0.3">
      <c r="A42" t="s">
        <v>0</v>
      </c>
      <c r="B42" s="1">
        <v>45578</v>
      </c>
      <c r="C42" t="str">
        <f t="shared" si="10"/>
        <v>41002</v>
      </c>
      <c r="D42" t="s">
        <v>1</v>
      </c>
      <c r="E42" t="str">
        <f t="shared" si="11"/>
        <v>10</v>
      </c>
      <c r="F42">
        <v>326041</v>
      </c>
      <c r="G42">
        <v>211624</v>
      </c>
      <c r="H42">
        <v>8580</v>
      </c>
      <c r="I42" t="str">
        <f t="shared" ref="I42:I51" si="12">("5")</f>
        <v>5</v>
      </c>
      <c r="J42" t="str">
        <f t="shared" ref="J42:J51" si="13">("N-VA")</f>
        <v>N-VA</v>
      </c>
      <c r="K42">
        <v>28425</v>
      </c>
      <c r="L42">
        <v>14420</v>
      </c>
      <c r="M42">
        <v>42845</v>
      </c>
      <c r="N42">
        <v>2</v>
      </c>
      <c r="O42" t="str">
        <f>("1")</f>
        <v>1</v>
      </c>
      <c r="P42" t="str">
        <f>("Coppens David")</f>
        <v>Coppens David</v>
      </c>
      <c r="Q42">
        <v>6281</v>
      </c>
      <c r="R42">
        <v>1</v>
      </c>
    </row>
    <row r="43" spans="1:19" x14ac:dyDescent="0.3">
      <c r="A43" t="s">
        <v>0</v>
      </c>
      <c r="B43" s="1">
        <v>45578</v>
      </c>
      <c r="C43" t="str">
        <f t="shared" si="10"/>
        <v>41002</v>
      </c>
      <c r="D43" t="s">
        <v>1</v>
      </c>
      <c r="E43" t="str">
        <f t="shared" si="11"/>
        <v>10</v>
      </c>
      <c r="F43">
        <v>326041</v>
      </c>
      <c r="G43">
        <v>211624</v>
      </c>
      <c r="H43">
        <v>8580</v>
      </c>
      <c r="I43" t="str">
        <f t="shared" si="12"/>
        <v>5</v>
      </c>
      <c r="J43" t="str">
        <f t="shared" si="13"/>
        <v>N-VA</v>
      </c>
      <c r="K43">
        <v>28425</v>
      </c>
      <c r="L43">
        <v>14420</v>
      </c>
      <c r="M43">
        <v>42845</v>
      </c>
      <c r="N43">
        <v>2</v>
      </c>
      <c r="O43" t="str">
        <f>("2")</f>
        <v>2</v>
      </c>
      <c r="P43" t="str">
        <f>("Heymans Saartje")</f>
        <v>Heymans Saartje</v>
      </c>
      <c r="Q43">
        <v>5332</v>
      </c>
      <c r="R43">
        <v>2</v>
      </c>
    </row>
    <row r="44" spans="1:19" x14ac:dyDescent="0.3">
      <c r="A44" t="s">
        <v>0</v>
      </c>
      <c r="B44" s="1">
        <v>45578</v>
      </c>
      <c r="C44" t="str">
        <f t="shared" si="10"/>
        <v>41002</v>
      </c>
      <c r="D44" t="s">
        <v>1</v>
      </c>
      <c r="E44" t="str">
        <f t="shared" si="11"/>
        <v>10</v>
      </c>
      <c r="F44">
        <v>326041</v>
      </c>
      <c r="G44">
        <v>211624</v>
      </c>
      <c r="H44">
        <v>8580</v>
      </c>
      <c r="I44" t="str">
        <f t="shared" si="12"/>
        <v>5</v>
      </c>
      <c r="J44" t="str">
        <f t="shared" si="13"/>
        <v>N-VA</v>
      </c>
      <c r="K44">
        <v>28425</v>
      </c>
      <c r="L44">
        <v>14420</v>
      </c>
      <c r="M44">
        <v>42845</v>
      </c>
      <c r="N44">
        <v>2</v>
      </c>
      <c r="O44" t="str">
        <f>("3")</f>
        <v>3</v>
      </c>
      <c r="P44" t="str">
        <f>("Parmentier Maikel")</f>
        <v>Parmentier Maikel</v>
      </c>
      <c r="Q44">
        <v>2663</v>
      </c>
      <c r="S44">
        <v>6</v>
      </c>
    </row>
    <row r="45" spans="1:19" x14ac:dyDescent="0.3">
      <c r="A45" t="s">
        <v>0</v>
      </c>
      <c r="B45" s="1">
        <v>45578</v>
      </c>
      <c r="C45" t="str">
        <f t="shared" si="10"/>
        <v>41002</v>
      </c>
      <c r="D45" t="s">
        <v>1</v>
      </c>
      <c r="E45" t="str">
        <f t="shared" si="11"/>
        <v>10</v>
      </c>
      <c r="F45">
        <v>326041</v>
      </c>
      <c r="G45">
        <v>211624</v>
      </c>
      <c r="H45">
        <v>8580</v>
      </c>
      <c r="I45" t="str">
        <f t="shared" si="12"/>
        <v>5</v>
      </c>
      <c r="J45" t="str">
        <f t="shared" si="13"/>
        <v>N-VA</v>
      </c>
      <c r="K45">
        <v>28425</v>
      </c>
      <c r="L45">
        <v>14420</v>
      </c>
      <c r="M45">
        <v>42845</v>
      </c>
      <c r="N45">
        <v>2</v>
      </c>
      <c r="O45" t="str">
        <f>("4")</f>
        <v>4</v>
      </c>
      <c r="P45" t="str">
        <f>("Rommelaere Tijl")</f>
        <v>Rommelaere Tijl</v>
      </c>
      <c r="Q45">
        <v>2535</v>
      </c>
      <c r="S45">
        <v>7</v>
      </c>
    </row>
    <row r="46" spans="1:19" x14ac:dyDescent="0.3">
      <c r="A46" t="s">
        <v>0</v>
      </c>
      <c r="B46" s="1">
        <v>45578</v>
      </c>
      <c r="C46" t="str">
        <f t="shared" si="10"/>
        <v>41002</v>
      </c>
      <c r="D46" t="s">
        <v>1</v>
      </c>
      <c r="E46" t="str">
        <f t="shared" si="11"/>
        <v>10</v>
      </c>
      <c r="F46">
        <v>326041</v>
      </c>
      <c r="G46">
        <v>211624</v>
      </c>
      <c r="H46">
        <v>8580</v>
      </c>
      <c r="I46" t="str">
        <f t="shared" si="12"/>
        <v>5</v>
      </c>
      <c r="J46" t="str">
        <f t="shared" si="13"/>
        <v>N-VA</v>
      </c>
      <c r="K46">
        <v>28425</v>
      </c>
      <c r="L46">
        <v>14420</v>
      </c>
      <c r="M46">
        <v>42845</v>
      </c>
      <c r="N46">
        <v>2</v>
      </c>
      <c r="O46" t="str">
        <f>("5")</f>
        <v>5</v>
      </c>
      <c r="P46" t="str">
        <f>("De Roose Karolien")</f>
        <v>De Roose Karolien</v>
      </c>
      <c r="Q46">
        <v>3357</v>
      </c>
      <c r="S46">
        <v>2</v>
      </c>
    </row>
    <row r="47" spans="1:19" x14ac:dyDescent="0.3">
      <c r="A47" t="s">
        <v>0</v>
      </c>
      <c r="B47" s="1">
        <v>45578</v>
      </c>
      <c r="C47" t="str">
        <f t="shared" si="10"/>
        <v>41002</v>
      </c>
      <c r="D47" t="s">
        <v>1</v>
      </c>
      <c r="E47" t="str">
        <f t="shared" si="11"/>
        <v>10</v>
      </c>
      <c r="F47">
        <v>326041</v>
      </c>
      <c r="G47">
        <v>211624</v>
      </c>
      <c r="H47">
        <v>8580</v>
      </c>
      <c r="I47" t="str">
        <f t="shared" si="12"/>
        <v>5</v>
      </c>
      <c r="J47" t="str">
        <f t="shared" si="13"/>
        <v>N-VA</v>
      </c>
      <c r="K47">
        <v>28425</v>
      </c>
      <c r="L47">
        <v>14420</v>
      </c>
      <c r="M47">
        <v>42845</v>
      </c>
      <c r="N47">
        <v>2</v>
      </c>
      <c r="O47" t="str">
        <f>("6")</f>
        <v>6</v>
      </c>
      <c r="P47" t="str">
        <f>("Van de Walle Marc")</f>
        <v>Van de Walle Marc</v>
      </c>
      <c r="Q47">
        <v>2908</v>
      </c>
      <c r="S47">
        <v>5</v>
      </c>
    </row>
    <row r="48" spans="1:19" x14ac:dyDescent="0.3">
      <c r="A48" t="s">
        <v>0</v>
      </c>
      <c r="B48" s="1">
        <v>45578</v>
      </c>
      <c r="C48" t="str">
        <f t="shared" si="10"/>
        <v>41002</v>
      </c>
      <c r="D48" t="s">
        <v>1</v>
      </c>
      <c r="E48" t="str">
        <f t="shared" si="11"/>
        <v>10</v>
      </c>
      <c r="F48">
        <v>326041</v>
      </c>
      <c r="G48">
        <v>211624</v>
      </c>
      <c r="H48">
        <v>8580</v>
      </c>
      <c r="I48" t="str">
        <f t="shared" si="12"/>
        <v>5</v>
      </c>
      <c r="J48" t="str">
        <f t="shared" si="13"/>
        <v>N-VA</v>
      </c>
      <c r="K48">
        <v>28425</v>
      </c>
      <c r="L48">
        <v>14420</v>
      </c>
      <c r="M48">
        <v>42845</v>
      </c>
      <c r="N48">
        <v>2</v>
      </c>
      <c r="O48" t="str">
        <f>("7")</f>
        <v>7</v>
      </c>
      <c r="P48" t="str">
        <f>("De Backer Silke")</f>
        <v>De Backer Silke</v>
      </c>
      <c r="Q48">
        <v>2954</v>
      </c>
      <c r="S48">
        <v>4</v>
      </c>
    </row>
    <row r="49" spans="1:19" x14ac:dyDescent="0.3">
      <c r="A49" t="s">
        <v>0</v>
      </c>
      <c r="B49" s="1">
        <v>45578</v>
      </c>
      <c r="C49" t="str">
        <f t="shared" si="10"/>
        <v>41002</v>
      </c>
      <c r="D49" t="s">
        <v>1</v>
      </c>
      <c r="E49" t="str">
        <f t="shared" si="11"/>
        <v>10</v>
      </c>
      <c r="F49">
        <v>326041</v>
      </c>
      <c r="G49">
        <v>211624</v>
      </c>
      <c r="H49">
        <v>8580</v>
      </c>
      <c r="I49" t="str">
        <f t="shared" si="12"/>
        <v>5</v>
      </c>
      <c r="J49" t="str">
        <f t="shared" si="13"/>
        <v>N-VA</v>
      </c>
      <c r="K49">
        <v>28425</v>
      </c>
      <c r="L49">
        <v>14420</v>
      </c>
      <c r="M49">
        <v>42845</v>
      </c>
      <c r="N49">
        <v>2</v>
      </c>
      <c r="O49" t="str">
        <f>("8")</f>
        <v>8</v>
      </c>
      <c r="P49" t="str">
        <f>("Carion Inès")</f>
        <v>Carion Inès</v>
      </c>
      <c r="Q49">
        <v>2465</v>
      </c>
      <c r="S49">
        <v>8</v>
      </c>
    </row>
    <row r="50" spans="1:19" x14ac:dyDescent="0.3">
      <c r="A50" t="s">
        <v>0</v>
      </c>
      <c r="B50" s="1">
        <v>45578</v>
      </c>
      <c r="C50" t="str">
        <f t="shared" si="10"/>
        <v>41002</v>
      </c>
      <c r="D50" t="s">
        <v>1</v>
      </c>
      <c r="E50" t="str">
        <f t="shared" si="11"/>
        <v>10</v>
      </c>
      <c r="F50">
        <v>326041</v>
      </c>
      <c r="G50">
        <v>211624</v>
      </c>
      <c r="H50">
        <v>8580</v>
      </c>
      <c r="I50" t="str">
        <f t="shared" si="12"/>
        <v>5</v>
      </c>
      <c r="J50" t="str">
        <f t="shared" si="13"/>
        <v>N-VA</v>
      </c>
      <c r="K50">
        <v>28425</v>
      </c>
      <c r="L50">
        <v>14420</v>
      </c>
      <c r="M50">
        <v>42845</v>
      </c>
      <c r="N50">
        <v>2</v>
      </c>
      <c r="O50" t="str">
        <f>("9")</f>
        <v>9</v>
      </c>
      <c r="P50" t="str">
        <f>("Diependaele Baudewijn")</f>
        <v>Diependaele Baudewijn</v>
      </c>
      <c r="Q50">
        <v>3163</v>
      </c>
      <c r="S50">
        <v>3</v>
      </c>
    </row>
    <row r="51" spans="1:19" x14ac:dyDescent="0.3">
      <c r="A51" t="s">
        <v>0</v>
      </c>
      <c r="B51" s="1">
        <v>45578</v>
      </c>
      <c r="C51" t="str">
        <f t="shared" si="10"/>
        <v>41002</v>
      </c>
      <c r="D51" t="s">
        <v>1</v>
      </c>
      <c r="E51" t="str">
        <f t="shared" si="11"/>
        <v>10</v>
      </c>
      <c r="F51">
        <v>326041</v>
      </c>
      <c r="G51">
        <v>211624</v>
      </c>
      <c r="H51">
        <v>8580</v>
      </c>
      <c r="I51" t="str">
        <f t="shared" si="12"/>
        <v>5</v>
      </c>
      <c r="J51" t="str">
        <f t="shared" si="13"/>
        <v>N-VA</v>
      </c>
      <c r="K51">
        <v>28425</v>
      </c>
      <c r="L51">
        <v>14420</v>
      </c>
      <c r="M51">
        <v>42845</v>
      </c>
      <c r="N51">
        <v>2</v>
      </c>
      <c r="O51" t="str">
        <f>("10")</f>
        <v>10</v>
      </c>
      <c r="P51" t="str">
        <f>("Van Bossuyt Anneleen")</f>
        <v>Van Bossuyt Anneleen</v>
      </c>
      <c r="Q51">
        <v>4573</v>
      </c>
      <c r="S51">
        <v>1</v>
      </c>
    </row>
    <row r="52" spans="1:19" x14ac:dyDescent="0.3">
      <c r="A52" t="s">
        <v>0</v>
      </c>
      <c r="B52" s="1">
        <v>45578</v>
      </c>
      <c r="C52" t="str">
        <f t="shared" si="10"/>
        <v>41002</v>
      </c>
      <c r="D52" t="s">
        <v>1</v>
      </c>
      <c r="E52" t="str">
        <f t="shared" si="11"/>
        <v>10</v>
      </c>
      <c r="F52">
        <v>326041</v>
      </c>
      <c r="G52">
        <v>211624</v>
      </c>
      <c r="H52">
        <v>8580</v>
      </c>
      <c r="I52" t="str">
        <f t="shared" ref="I52:I61" si="14">("6")</f>
        <v>6</v>
      </c>
      <c r="J52" t="str">
        <f t="shared" ref="J52:J61" si="15">("Open Vld")</f>
        <v>Open Vld</v>
      </c>
      <c r="K52">
        <v>10022</v>
      </c>
      <c r="L52">
        <v>18986</v>
      </c>
      <c r="M52">
        <v>29008</v>
      </c>
      <c r="N52">
        <v>1</v>
      </c>
      <c r="O52" t="str">
        <f>("1")</f>
        <v>1</v>
      </c>
      <c r="P52" t="str">
        <f>("De Jonge Tania")</f>
        <v>De Jonge Tania</v>
      </c>
      <c r="Q52">
        <v>10056</v>
      </c>
      <c r="R52">
        <v>1</v>
      </c>
    </row>
    <row r="53" spans="1:19" x14ac:dyDescent="0.3">
      <c r="A53" t="s">
        <v>0</v>
      </c>
      <c r="B53" s="1">
        <v>45578</v>
      </c>
      <c r="C53" t="str">
        <f t="shared" si="10"/>
        <v>41002</v>
      </c>
      <c r="D53" t="s">
        <v>1</v>
      </c>
      <c r="E53" t="str">
        <f t="shared" si="11"/>
        <v>10</v>
      </c>
      <c r="F53">
        <v>326041</v>
      </c>
      <c r="G53">
        <v>211624</v>
      </c>
      <c r="H53">
        <v>8580</v>
      </c>
      <c r="I53" t="str">
        <f t="shared" si="14"/>
        <v>6</v>
      </c>
      <c r="J53" t="str">
        <f t="shared" si="15"/>
        <v>Open Vld</v>
      </c>
      <c r="K53">
        <v>10022</v>
      </c>
      <c r="L53">
        <v>18986</v>
      </c>
      <c r="M53">
        <v>29008</v>
      </c>
      <c r="N53">
        <v>1</v>
      </c>
      <c r="O53" t="str">
        <f>("2")</f>
        <v>2</v>
      </c>
      <c r="P53" t="str">
        <f>("Vanderstuyf Peter")</f>
        <v>Vanderstuyf Peter</v>
      </c>
      <c r="Q53">
        <v>3177</v>
      </c>
      <c r="S53">
        <v>3</v>
      </c>
    </row>
    <row r="54" spans="1:19" x14ac:dyDescent="0.3">
      <c r="A54" t="s">
        <v>0</v>
      </c>
      <c r="B54" s="1">
        <v>45578</v>
      </c>
      <c r="C54" t="str">
        <f t="shared" si="10"/>
        <v>41002</v>
      </c>
      <c r="D54" t="s">
        <v>1</v>
      </c>
      <c r="E54" t="str">
        <f t="shared" si="11"/>
        <v>10</v>
      </c>
      <c r="F54">
        <v>326041</v>
      </c>
      <c r="G54">
        <v>211624</v>
      </c>
      <c r="H54">
        <v>8580</v>
      </c>
      <c r="I54" t="str">
        <f t="shared" si="14"/>
        <v>6</v>
      </c>
      <c r="J54" t="str">
        <f t="shared" si="15"/>
        <v>Open Vld</v>
      </c>
      <c r="K54">
        <v>10022</v>
      </c>
      <c r="L54">
        <v>18986</v>
      </c>
      <c r="M54">
        <v>29008</v>
      </c>
      <c r="N54">
        <v>1</v>
      </c>
      <c r="O54" t="str">
        <f>("3")</f>
        <v>3</v>
      </c>
      <c r="P54" t="str">
        <f>("Knop Heidi")</f>
        <v>Knop Heidi</v>
      </c>
      <c r="Q54">
        <v>4248</v>
      </c>
      <c r="S54">
        <v>2</v>
      </c>
    </row>
    <row r="55" spans="1:19" x14ac:dyDescent="0.3">
      <c r="A55" t="s">
        <v>0</v>
      </c>
      <c r="B55" s="1">
        <v>45578</v>
      </c>
      <c r="C55" t="str">
        <f t="shared" si="10"/>
        <v>41002</v>
      </c>
      <c r="D55" t="s">
        <v>1</v>
      </c>
      <c r="E55" t="str">
        <f t="shared" si="11"/>
        <v>10</v>
      </c>
      <c r="F55">
        <v>326041</v>
      </c>
      <c r="G55">
        <v>211624</v>
      </c>
      <c r="H55">
        <v>8580</v>
      </c>
      <c r="I55" t="str">
        <f t="shared" si="14"/>
        <v>6</v>
      </c>
      <c r="J55" t="str">
        <f t="shared" si="15"/>
        <v>Open Vld</v>
      </c>
      <c r="K55">
        <v>10022</v>
      </c>
      <c r="L55">
        <v>18986</v>
      </c>
      <c r="M55">
        <v>29008</v>
      </c>
      <c r="N55">
        <v>1</v>
      </c>
      <c r="O55" t="str">
        <f>("4")</f>
        <v>4</v>
      </c>
      <c r="P55" t="str">
        <f>("Martens Caroline")</f>
        <v>Martens Caroline</v>
      </c>
      <c r="Q55">
        <v>2245</v>
      </c>
      <c r="S55">
        <v>4</v>
      </c>
    </row>
    <row r="56" spans="1:19" x14ac:dyDescent="0.3">
      <c r="A56" t="s">
        <v>0</v>
      </c>
      <c r="B56" s="1">
        <v>45578</v>
      </c>
      <c r="C56" t="str">
        <f t="shared" si="10"/>
        <v>41002</v>
      </c>
      <c r="D56" t="s">
        <v>1</v>
      </c>
      <c r="E56" t="str">
        <f t="shared" si="11"/>
        <v>10</v>
      </c>
      <c r="F56">
        <v>326041</v>
      </c>
      <c r="G56">
        <v>211624</v>
      </c>
      <c r="H56">
        <v>8580</v>
      </c>
      <c r="I56" t="str">
        <f t="shared" si="14"/>
        <v>6</v>
      </c>
      <c r="J56" t="str">
        <f t="shared" si="15"/>
        <v>Open Vld</v>
      </c>
      <c r="K56">
        <v>10022</v>
      </c>
      <c r="L56">
        <v>18986</v>
      </c>
      <c r="M56">
        <v>29008</v>
      </c>
      <c r="N56">
        <v>1</v>
      </c>
      <c r="O56" t="str">
        <f>("5")</f>
        <v>5</v>
      </c>
      <c r="P56" t="str">
        <f>("Temmerman Lindsay")</f>
        <v>Temmerman Lindsay</v>
      </c>
      <c r="Q56">
        <v>1824</v>
      </c>
      <c r="S56">
        <v>6</v>
      </c>
    </row>
    <row r="57" spans="1:19" x14ac:dyDescent="0.3">
      <c r="A57" t="s">
        <v>0</v>
      </c>
      <c r="B57" s="1">
        <v>45578</v>
      </c>
      <c r="C57" t="str">
        <f t="shared" si="10"/>
        <v>41002</v>
      </c>
      <c r="D57" t="s">
        <v>1</v>
      </c>
      <c r="E57" t="str">
        <f t="shared" si="11"/>
        <v>10</v>
      </c>
      <c r="F57">
        <v>326041</v>
      </c>
      <c r="G57">
        <v>211624</v>
      </c>
      <c r="H57">
        <v>8580</v>
      </c>
      <c r="I57" t="str">
        <f t="shared" si="14"/>
        <v>6</v>
      </c>
      <c r="J57" t="str">
        <f t="shared" si="15"/>
        <v>Open Vld</v>
      </c>
      <c r="K57">
        <v>10022</v>
      </c>
      <c r="L57">
        <v>18986</v>
      </c>
      <c r="M57">
        <v>29008</v>
      </c>
      <c r="N57">
        <v>1</v>
      </c>
      <c r="O57" t="str">
        <f>("6")</f>
        <v>6</v>
      </c>
      <c r="P57" t="str">
        <f>("Boonaert Aaron")</f>
        <v>Boonaert Aaron</v>
      </c>
      <c r="Q57">
        <v>1726</v>
      </c>
      <c r="S57">
        <v>7</v>
      </c>
    </row>
    <row r="58" spans="1:19" x14ac:dyDescent="0.3">
      <c r="A58" t="s">
        <v>0</v>
      </c>
      <c r="B58" s="1">
        <v>45578</v>
      </c>
      <c r="C58" t="str">
        <f t="shared" si="10"/>
        <v>41002</v>
      </c>
      <c r="D58" t="s">
        <v>1</v>
      </c>
      <c r="E58" t="str">
        <f t="shared" si="11"/>
        <v>10</v>
      </c>
      <c r="F58">
        <v>326041</v>
      </c>
      <c r="G58">
        <v>211624</v>
      </c>
      <c r="H58">
        <v>8580</v>
      </c>
      <c r="I58" t="str">
        <f t="shared" si="14"/>
        <v>6</v>
      </c>
      <c r="J58" t="str">
        <f t="shared" si="15"/>
        <v>Open Vld</v>
      </c>
      <c r="K58">
        <v>10022</v>
      </c>
      <c r="L58">
        <v>18986</v>
      </c>
      <c r="M58">
        <v>29008</v>
      </c>
      <c r="N58">
        <v>1</v>
      </c>
      <c r="O58" t="str">
        <f>("7")</f>
        <v>7</v>
      </c>
      <c r="P58" t="str">
        <f>("Taslidere Cennet")</f>
        <v>Taslidere Cennet</v>
      </c>
      <c r="Q58">
        <v>1262</v>
      </c>
      <c r="S58">
        <v>9</v>
      </c>
    </row>
    <row r="59" spans="1:19" x14ac:dyDescent="0.3">
      <c r="A59" t="s">
        <v>0</v>
      </c>
      <c r="B59" s="1">
        <v>45578</v>
      </c>
      <c r="C59" t="str">
        <f t="shared" si="10"/>
        <v>41002</v>
      </c>
      <c r="D59" t="s">
        <v>1</v>
      </c>
      <c r="E59" t="str">
        <f t="shared" si="11"/>
        <v>10</v>
      </c>
      <c r="F59">
        <v>326041</v>
      </c>
      <c r="G59">
        <v>211624</v>
      </c>
      <c r="H59">
        <v>8580</v>
      </c>
      <c r="I59" t="str">
        <f t="shared" si="14"/>
        <v>6</v>
      </c>
      <c r="J59" t="str">
        <f t="shared" si="15"/>
        <v>Open Vld</v>
      </c>
      <c r="K59">
        <v>10022</v>
      </c>
      <c r="L59">
        <v>18986</v>
      </c>
      <c r="M59">
        <v>29008</v>
      </c>
      <c r="N59">
        <v>1</v>
      </c>
      <c r="O59" t="str">
        <f>("8")</f>
        <v>8</v>
      </c>
      <c r="P59" t="str">
        <f>("Van Acker Alfred")</f>
        <v>Van Acker Alfred</v>
      </c>
      <c r="Q59">
        <v>1416</v>
      </c>
      <c r="S59">
        <v>8</v>
      </c>
    </row>
    <row r="60" spans="1:19" x14ac:dyDescent="0.3">
      <c r="A60" t="s">
        <v>0</v>
      </c>
      <c r="B60" s="1">
        <v>45578</v>
      </c>
      <c r="C60" t="str">
        <f t="shared" si="10"/>
        <v>41002</v>
      </c>
      <c r="D60" t="s">
        <v>1</v>
      </c>
      <c r="E60" t="str">
        <f t="shared" si="11"/>
        <v>10</v>
      </c>
      <c r="F60">
        <v>326041</v>
      </c>
      <c r="G60">
        <v>211624</v>
      </c>
      <c r="H60">
        <v>8580</v>
      </c>
      <c r="I60" t="str">
        <f t="shared" si="14"/>
        <v>6</v>
      </c>
      <c r="J60" t="str">
        <f t="shared" si="15"/>
        <v>Open Vld</v>
      </c>
      <c r="K60">
        <v>10022</v>
      </c>
      <c r="L60">
        <v>18986</v>
      </c>
      <c r="M60">
        <v>29008</v>
      </c>
      <c r="N60">
        <v>1</v>
      </c>
      <c r="O60" t="str">
        <f>("9")</f>
        <v>9</v>
      </c>
      <c r="P60" t="str">
        <f>("Dhondt Teun")</f>
        <v>Dhondt Teun</v>
      </c>
      <c r="Q60">
        <v>2209</v>
      </c>
      <c r="S60">
        <v>5</v>
      </c>
    </row>
    <row r="61" spans="1:19" x14ac:dyDescent="0.3">
      <c r="A61" t="s">
        <v>0</v>
      </c>
      <c r="B61" s="1">
        <v>45578</v>
      </c>
      <c r="C61" t="str">
        <f t="shared" si="10"/>
        <v>41002</v>
      </c>
      <c r="D61" t="s">
        <v>1</v>
      </c>
      <c r="E61" t="str">
        <f t="shared" si="11"/>
        <v>10</v>
      </c>
      <c r="F61">
        <v>326041</v>
      </c>
      <c r="G61">
        <v>211624</v>
      </c>
      <c r="H61">
        <v>8580</v>
      </c>
      <c r="I61" t="str">
        <f t="shared" si="14"/>
        <v>6</v>
      </c>
      <c r="J61" t="str">
        <f t="shared" si="15"/>
        <v>Open Vld</v>
      </c>
      <c r="K61">
        <v>10022</v>
      </c>
      <c r="L61">
        <v>18986</v>
      </c>
      <c r="M61">
        <v>29008</v>
      </c>
      <c r="N61">
        <v>1</v>
      </c>
      <c r="O61" t="str">
        <f>("10")</f>
        <v>10</v>
      </c>
      <c r="P61" t="str">
        <f>("De Croo Herman")</f>
        <v>De Croo Herman</v>
      </c>
      <c r="Q61">
        <v>7534</v>
      </c>
      <c r="S61">
        <v>1</v>
      </c>
    </row>
    <row r="62" spans="1:19" x14ac:dyDescent="0.3">
      <c r="A62" t="s">
        <v>0</v>
      </c>
      <c r="B62" s="1">
        <v>45578</v>
      </c>
      <c r="C62" t="str">
        <f t="shared" si="10"/>
        <v>41002</v>
      </c>
      <c r="D62" t="s">
        <v>1</v>
      </c>
      <c r="E62" t="str">
        <f t="shared" si="11"/>
        <v>10</v>
      </c>
      <c r="F62">
        <v>326041</v>
      </c>
      <c r="G62">
        <v>211624</v>
      </c>
      <c r="H62">
        <v>8580</v>
      </c>
      <c r="I62" t="str">
        <f t="shared" ref="I62:I71" si="16">("7")</f>
        <v>7</v>
      </c>
      <c r="J62" t="str">
        <f t="shared" ref="J62:J71" si="17">("GROEN")</f>
        <v>GROEN</v>
      </c>
      <c r="K62">
        <v>9055</v>
      </c>
      <c r="L62">
        <v>6872</v>
      </c>
      <c r="M62">
        <v>15927</v>
      </c>
      <c r="N62">
        <v>1</v>
      </c>
      <c r="O62" t="str">
        <f>("1")</f>
        <v>1</v>
      </c>
      <c r="P62" t="str">
        <f>("Verstraeten Ruben")</f>
        <v>Verstraeten Ruben</v>
      </c>
      <c r="Q62">
        <v>2618</v>
      </c>
      <c r="S62">
        <v>2</v>
      </c>
    </row>
    <row r="63" spans="1:19" x14ac:dyDescent="0.3">
      <c r="A63" t="s">
        <v>0</v>
      </c>
      <c r="B63" s="1">
        <v>45578</v>
      </c>
      <c r="C63" t="str">
        <f t="shared" si="10"/>
        <v>41002</v>
      </c>
      <c r="D63" t="s">
        <v>1</v>
      </c>
      <c r="E63" t="str">
        <f t="shared" si="11"/>
        <v>10</v>
      </c>
      <c r="F63">
        <v>326041</v>
      </c>
      <c r="G63">
        <v>211624</v>
      </c>
      <c r="H63">
        <v>8580</v>
      </c>
      <c r="I63" t="str">
        <f t="shared" si="16"/>
        <v>7</v>
      </c>
      <c r="J63" t="str">
        <f t="shared" si="17"/>
        <v>GROEN</v>
      </c>
      <c r="K63">
        <v>9055</v>
      </c>
      <c r="L63">
        <v>6872</v>
      </c>
      <c r="M63">
        <v>15927</v>
      </c>
      <c r="N63">
        <v>1</v>
      </c>
      <c r="O63" t="str">
        <f>("2")</f>
        <v>2</v>
      </c>
      <c r="P63" t="str">
        <f>("De Bruecker Sarah")</f>
        <v>De Bruecker Sarah</v>
      </c>
      <c r="Q63">
        <v>2789</v>
      </c>
      <c r="S63">
        <v>1</v>
      </c>
    </row>
    <row r="64" spans="1:19" x14ac:dyDescent="0.3">
      <c r="A64" t="s">
        <v>0</v>
      </c>
      <c r="B64" s="1">
        <v>45578</v>
      </c>
      <c r="C64" t="str">
        <f t="shared" si="10"/>
        <v>41002</v>
      </c>
      <c r="D64" t="s">
        <v>1</v>
      </c>
      <c r="E64" t="str">
        <f t="shared" si="11"/>
        <v>10</v>
      </c>
      <c r="F64">
        <v>326041</v>
      </c>
      <c r="G64">
        <v>211624</v>
      </c>
      <c r="H64">
        <v>8580</v>
      </c>
      <c r="I64" t="str">
        <f t="shared" si="16"/>
        <v>7</v>
      </c>
      <c r="J64" t="str">
        <f t="shared" si="17"/>
        <v>GROEN</v>
      </c>
      <c r="K64">
        <v>9055</v>
      </c>
      <c r="L64">
        <v>6872</v>
      </c>
      <c r="M64">
        <v>15927</v>
      </c>
      <c r="N64">
        <v>1</v>
      </c>
      <c r="O64" t="str">
        <f>("3")</f>
        <v>3</v>
      </c>
      <c r="P64" t="str">
        <f>("Maebe Jo")</f>
        <v>Maebe Jo</v>
      </c>
      <c r="Q64">
        <v>1523</v>
      </c>
      <c r="S64">
        <v>7</v>
      </c>
    </row>
    <row r="65" spans="1:19" x14ac:dyDescent="0.3">
      <c r="A65" t="s">
        <v>0</v>
      </c>
      <c r="B65" s="1">
        <v>45578</v>
      </c>
      <c r="C65" t="str">
        <f t="shared" si="10"/>
        <v>41002</v>
      </c>
      <c r="D65" t="s">
        <v>1</v>
      </c>
      <c r="E65" t="str">
        <f t="shared" si="11"/>
        <v>10</v>
      </c>
      <c r="F65">
        <v>326041</v>
      </c>
      <c r="G65">
        <v>211624</v>
      </c>
      <c r="H65">
        <v>8580</v>
      </c>
      <c r="I65" t="str">
        <f t="shared" si="16"/>
        <v>7</v>
      </c>
      <c r="J65" t="str">
        <f t="shared" si="17"/>
        <v>GROEN</v>
      </c>
      <c r="K65">
        <v>9055</v>
      </c>
      <c r="L65">
        <v>6872</v>
      </c>
      <c r="M65">
        <v>15927</v>
      </c>
      <c r="N65">
        <v>1</v>
      </c>
      <c r="O65" t="str">
        <f>("4")</f>
        <v>4</v>
      </c>
      <c r="P65" t="str">
        <f>("Van Herreweghe Jessyca")</f>
        <v>Van Herreweghe Jessyca</v>
      </c>
      <c r="Q65">
        <v>1700</v>
      </c>
      <c r="S65">
        <v>3</v>
      </c>
    </row>
    <row r="66" spans="1:19" x14ac:dyDescent="0.3">
      <c r="A66" t="s">
        <v>0</v>
      </c>
      <c r="B66" s="1">
        <v>45578</v>
      </c>
      <c r="C66" t="str">
        <f t="shared" ref="C66:C71" si="18">("41002")</f>
        <v>41002</v>
      </c>
      <c r="D66" t="s">
        <v>1</v>
      </c>
      <c r="E66" t="str">
        <f t="shared" ref="E66:E71" si="19">("10")</f>
        <v>10</v>
      </c>
      <c r="F66">
        <v>326041</v>
      </c>
      <c r="G66">
        <v>211624</v>
      </c>
      <c r="H66">
        <v>8580</v>
      </c>
      <c r="I66" t="str">
        <f t="shared" si="16"/>
        <v>7</v>
      </c>
      <c r="J66" t="str">
        <f t="shared" si="17"/>
        <v>GROEN</v>
      </c>
      <c r="K66">
        <v>9055</v>
      </c>
      <c r="L66">
        <v>6872</v>
      </c>
      <c r="M66">
        <v>15927</v>
      </c>
      <c r="N66">
        <v>1</v>
      </c>
      <c r="O66" t="str">
        <f>("5")</f>
        <v>5</v>
      </c>
      <c r="P66" t="str">
        <f>("Ghys Nathan")</f>
        <v>Ghys Nathan</v>
      </c>
      <c r="Q66">
        <v>1133</v>
      </c>
      <c r="S66">
        <v>9</v>
      </c>
    </row>
    <row r="67" spans="1:19" x14ac:dyDescent="0.3">
      <c r="A67" t="s">
        <v>0</v>
      </c>
      <c r="B67" s="1">
        <v>45578</v>
      </c>
      <c r="C67" t="str">
        <f t="shared" si="18"/>
        <v>41002</v>
      </c>
      <c r="D67" t="s">
        <v>1</v>
      </c>
      <c r="E67" t="str">
        <f t="shared" si="19"/>
        <v>10</v>
      </c>
      <c r="F67">
        <v>326041</v>
      </c>
      <c r="G67">
        <v>211624</v>
      </c>
      <c r="H67">
        <v>8580</v>
      </c>
      <c r="I67" t="str">
        <f t="shared" si="16"/>
        <v>7</v>
      </c>
      <c r="J67" t="str">
        <f t="shared" si="17"/>
        <v>GROEN</v>
      </c>
      <c r="K67">
        <v>9055</v>
      </c>
      <c r="L67">
        <v>6872</v>
      </c>
      <c r="M67">
        <v>15927</v>
      </c>
      <c r="N67">
        <v>1</v>
      </c>
      <c r="O67" t="str">
        <f>("6")</f>
        <v>6</v>
      </c>
      <c r="P67" t="str">
        <f>("Ternest Tine")</f>
        <v>Ternest Tine</v>
      </c>
      <c r="Q67">
        <v>1645</v>
      </c>
      <c r="S67">
        <v>4</v>
      </c>
    </row>
    <row r="68" spans="1:19" x14ac:dyDescent="0.3">
      <c r="A68" t="s">
        <v>0</v>
      </c>
      <c r="B68" s="1">
        <v>45578</v>
      </c>
      <c r="C68" t="str">
        <f t="shared" si="18"/>
        <v>41002</v>
      </c>
      <c r="D68" t="s">
        <v>1</v>
      </c>
      <c r="E68" t="str">
        <f t="shared" si="19"/>
        <v>10</v>
      </c>
      <c r="F68">
        <v>326041</v>
      </c>
      <c r="G68">
        <v>211624</v>
      </c>
      <c r="H68">
        <v>8580</v>
      </c>
      <c r="I68" t="str">
        <f t="shared" si="16"/>
        <v>7</v>
      </c>
      <c r="J68" t="str">
        <f t="shared" si="17"/>
        <v>GROEN</v>
      </c>
      <c r="K68">
        <v>9055</v>
      </c>
      <c r="L68">
        <v>6872</v>
      </c>
      <c r="M68">
        <v>15927</v>
      </c>
      <c r="N68">
        <v>1</v>
      </c>
      <c r="O68" t="str">
        <f>("7")</f>
        <v>7</v>
      </c>
      <c r="P68" t="str">
        <f>("Baeyens Ingmar")</f>
        <v>Baeyens Ingmar</v>
      </c>
      <c r="Q68">
        <v>1525</v>
      </c>
      <c r="S68">
        <v>6</v>
      </c>
    </row>
    <row r="69" spans="1:19" x14ac:dyDescent="0.3">
      <c r="A69" t="s">
        <v>0</v>
      </c>
      <c r="B69" s="1">
        <v>45578</v>
      </c>
      <c r="C69" t="str">
        <f t="shared" si="18"/>
        <v>41002</v>
      </c>
      <c r="D69" t="s">
        <v>1</v>
      </c>
      <c r="E69" t="str">
        <f t="shared" si="19"/>
        <v>10</v>
      </c>
      <c r="F69">
        <v>326041</v>
      </c>
      <c r="G69">
        <v>211624</v>
      </c>
      <c r="H69">
        <v>8580</v>
      </c>
      <c r="I69" t="str">
        <f t="shared" si="16"/>
        <v>7</v>
      </c>
      <c r="J69" t="str">
        <f t="shared" si="17"/>
        <v>GROEN</v>
      </c>
      <c r="K69">
        <v>9055</v>
      </c>
      <c r="L69">
        <v>6872</v>
      </c>
      <c r="M69">
        <v>15927</v>
      </c>
      <c r="N69">
        <v>1</v>
      </c>
      <c r="O69" t="str">
        <f>("8")</f>
        <v>8</v>
      </c>
      <c r="P69" t="str">
        <f>("Ranschaert Inge")</f>
        <v>Ranschaert Inge</v>
      </c>
      <c r="Q69">
        <v>1530</v>
      </c>
      <c r="S69">
        <v>5</v>
      </c>
    </row>
    <row r="70" spans="1:19" x14ac:dyDescent="0.3">
      <c r="A70" t="s">
        <v>0</v>
      </c>
      <c r="B70" s="1">
        <v>45578</v>
      </c>
      <c r="C70" t="str">
        <f t="shared" si="18"/>
        <v>41002</v>
      </c>
      <c r="D70" t="s">
        <v>1</v>
      </c>
      <c r="E70" t="str">
        <f t="shared" si="19"/>
        <v>10</v>
      </c>
      <c r="F70">
        <v>326041</v>
      </c>
      <c r="G70">
        <v>211624</v>
      </c>
      <c r="H70">
        <v>8580</v>
      </c>
      <c r="I70" t="str">
        <f t="shared" si="16"/>
        <v>7</v>
      </c>
      <c r="J70" t="str">
        <f t="shared" si="17"/>
        <v>GROEN</v>
      </c>
      <c r="K70">
        <v>9055</v>
      </c>
      <c r="L70">
        <v>6872</v>
      </c>
      <c r="M70">
        <v>15927</v>
      </c>
      <c r="N70">
        <v>1</v>
      </c>
      <c r="O70" t="str">
        <f>("9")</f>
        <v>9</v>
      </c>
      <c r="P70" t="str">
        <f>("Van den Abbeele Stefaan")</f>
        <v>Van den Abbeele Stefaan</v>
      </c>
      <c r="Q70">
        <v>1199</v>
      </c>
      <c r="S70">
        <v>8</v>
      </c>
    </row>
    <row r="71" spans="1:19" x14ac:dyDescent="0.3">
      <c r="A71" t="s">
        <v>0</v>
      </c>
      <c r="B71" s="1">
        <v>45578</v>
      </c>
      <c r="C71" t="str">
        <f t="shared" si="18"/>
        <v>41002</v>
      </c>
      <c r="D71" t="s">
        <v>1</v>
      </c>
      <c r="E71" t="str">
        <f t="shared" si="19"/>
        <v>10</v>
      </c>
      <c r="F71">
        <v>326041</v>
      </c>
      <c r="G71">
        <v>211624</v>
      </c>
      <c r="H71">
        <v>8580</v>
      </c>
      <c r="I71" t="str">
        <f t="shared" si="16"/>
        <v>7</v>
      </c>
      <c r="J71" t="str">
        <f t="shared" si="17"/>
        <v>GROEN</v>
      </c>
      <c r="K71">
        <v>9055</v>
      </c>
      <c r="L71">
        <v>6872</v>
      </c>
      <c r="M71">
        <v>15927</v>
      </c>
      <c r="N71">
        <v>1</v>
      </c>
      <c r="O71" t="str">
        <f>("10")</f>
        <v>10</v>
      </c>
      <c r="P71" t="str">
        <f>("Meuleman Elisabeth")</f>
        <v>Meuleman Elisabeth</v>
      </c>
      <c r="Q71">
        <v>3542</v>
      </c>
      <c r="R71">
        <v>1</v>
      </c>
    </row>
    <row r="72" spans="1:19" x14ac:dyDescent="0.3">
      <c r="A72" t="s">
        <v>0</v>
      </c>
      <c r="B72" s="1">
        <v>45578</v>
      </c>
      <c r="C72" t="str">
        <f t="shared" ref="C72:C103" si="20">("11002")</f>
        <v>11002</v>
      </c>
      <c r="D72" t="s">
        <v>2</v>
      </c>
      <c r="E72" t="str">
        <f t="shared" ref="E72:E103" si="21">("20")</f>
        <v>20</v>
      </c>
      <c r="F72">
        <v>710734</v>
      </c>
      <c r="G72">
        <v>437819</v>
      </c>
      <c r="H72">
        <v>9219</v>
      </c>
      <c r="I72" t="str">
        <f t="shared" ref="I72:I91" si="22">("1")</f>
        <v>1</v>
      </c>
      <c r="J72" t="str">
        <f t="shared" ref="J72:J91" si="23">("Vooruit")</f>
        <v>Vooruit</v>
      </c>
      <c r="K72">
        <v>19911</v>
      </c>
      <c r="L72">
        <v>24011</v>
      </c>
      <c r="M72">
        <v>43922</v>
      </c>
      <c r="N72">
        <v>2</v>
      </c>
      <c r="O72" t="str">
        <f>("1")</f>
        <v>1</v>
      </c>
      <c r="P72" t="str">
        <f>("Talhaoui Fauzaya")</f>
        <v>Talhaoui Fauzaya</v>
      </c>
      <c r="Q72">
        <v>7954</v>
      </c>
      <c r="R72">
        <v>2</v>
      </c>
    </row>
    <row r="73" spans="1:19" x14ac:dyDescent="0.3">
      <c r="A73" t="s">
        <v>0</v>
      </c>
      <c r="B73" s="1">
        <v>45578</v>
      </c>
      <c r="C73" t="str">
        <f t="shared" si="20"/>
        <v>11002</v>
      </c>
      <c r="D73" t="s">
        <v>2</v>
      </c>
      <c r="E73" t="str">
        <f t="shared" si="21"/>
        <v>20</v>
      </c>
      <c r="F73">
        <v>710734</v>
      </c>
      <c r="G73">
        <v>437819</v>
      </c>
      <c r="H73">
        <v>9219</v>
      </c>
      <c r="I73" t="str">
        <f t="shared" si="22"/>
        <v>1</v>
      </c>
      <c r="J73" t="str">
        <f t="shared" si="23"/>
        <v>Vooruit</v>
      </c>
      <c r="K73">
        <v>19911</v>
      </c>
      <c r="L73">
        <v>24011</v>
      </c>
      <c r="M73">
        <v>43922</v>
      </c>
      <c r="N73">
        <v>2</v>
      </c>
      <c r="O73" t="str">
        <f>("2")</f>
        <v>2</v>
      </c>
      <c r="P73" t="str">
        <f>("Röttger Rik")</f>
        <v>Röttger Rik</v>
      </c>
      <c r="Q73">
        <v>3141</v>
      </c>
      <c r="S73">
        <v>2</v>
      </c>
    </row>
    <row r="74" spans="1:19" x14ac:dyDescent="0.3">
      <c r="A74" t="s">
        <v>0</v>
      </c>
      <c r="B74" s="1">
        <v>45578</v>
      </c>
      <c r="C74" t="str">
        <f t="shared" si="20"/>
        <v>11002</v>
      </c>
      <c r="D74" t="s">
        <v>2</v>
      </c>
      <c r="E74" t="str">
        <f t="shared" si="21"/>
        <v>20</v>
      </c>
      <c r="F74">
        <v>710734</v>
      </c>
      <c r="G74">
        <v>437819</v>
      </c>
      <c r="H74">
        <v>9219</v>
      </c>
      <c r="I74" t="str">
        <f t="shared" si="22"/>
        <v>1</v>
      </c>
      <c r="J74" t="str">
        <f t="shared" si="23"/>
        <v>Vooruit</v>
      </c>
      <c r="K74">
        <v>19911</v>
      </c>
      <c r="L74">
        <v>24011</v>
      </c>
      <c r="M74">
        <v>43922</v>
      </c>
      <c r="N74">
        <v>2</v>
      </c>
      <c r="O74" t="str">
        <f>("3")</f>
        <v>3</v>
      </c>
      <c r="P74" t="str">
        <f>("Opdenbergh Els")</f>
        <v>Opdenbergh Els</v>
      </c>
      <c r="Q74">
        <v>3898</v>
      </c>
      <c r="S74">
        <v>1</v>
      </c>
    </row>
    <row r="75" spans="1:19" x14ac:dyDescent="0.3">
      <c r="A75" t="s">
        <v>0</v>
      </c>
      <c r="B75" s="1">
        <v>45578</v>
      </c>
      <c r="C75" t="str">
        <f t="shared" si="20"/>
        <v>11002</v>
      </c>
      <c r="D75" t="s">
        <v>2</v>
      </c>
      <c r="E75" t="str">
        <f t="shared" si="21"/>
        <v>20</v>
      </c>
      <c r="F75">
        <v>710734</v>
      </c>
      <c r="G75">
        <v>437819</v>
      </c>
      <c r="H75">
        <v>9219</v>
      </c>
      <c r="I75" t="str">
        <f t="shared" si="22"/>
        <v>1</v>
      </c>
      <c r="J75" t="str">
        <f t="shared" si="23"/>
        <v>Vooruit</v>
      </c>
      <c r="K75">
        <v>19911</v>
      </c>
      <c r="L75">
        <v>24011</v>
      </c>
      <c r="M75">
        <v>43922</v>
      </c>
      <c r="N75">
        <v>2</v>
      </c>
      <c r="O75" t="str">
        <f>("4")</f>
        <v>4</v>
      </c>
      <c r="P75" t="str">
        <f>("Jaspers Helmut")</f>
        <v>Jaspers Helmut</v>
      </c>
      <c r="Q75">
        <v>2627</v>
      </c>
      <c r="S75">
        <v>4</v>
      </c>
    </row>
    <row r="76" spans="1:19" x14ac:dyDescent="0.3">
      <c r="A76" t="s">
        <v>0</v>
      </c>
      <c r="B76" s="1">
        <v>45578</v>
      </c>
      <c r="C76" t="str">
        <f t="shared" si="20"/>
        <v>11002</v>
      </c>
      <c r="D76" t="s">
        <v>2</v>
      </c>
      <c r="E76" t="str">
        <f t="shared" si="21"/>
        <v>20</v>
      </c>
      <c r="F76">
        <v>710734</v>
      </c>
      <c r="G76">
        <v>437819</v>
      </c>
      <c r="H76">
        <v>9219</v>
      </c>
      <c r="I76" t="str">
        <f t="shared" si="22"/>
        <v>1</v>
      </c>
      <c r="J76" t="str">
        <f t="shared" si="23"/>
        <v>Vooruit</v>
      </c>
      <c r="K76">
        <v>19911</v>
      </c>
      <c r="L76">
        <v>24011</v>
      </c>
      <c r="M76">
        <v>43922</v>
      </c>
      <c r="N76">
        <v>2</v>
      </c>
      <c r="O76" t="str">
        <f>("5")</f>
        <v>5</v>
      </c>
      <c r="P76" t="str">
        <f>("Akbas Fatma")</f>
        <v>Akbas Fatma</v>
      </c>
      <c r="Q76">
        <v>2711</v>
      </c>
      <c r="S76">
        <v>3</v>
      </c>
    </row>
    <row r="77" spans="1:19" x14ac:dyDescent="0.3">
      <c r="A77" t="s">
        <v>0</v>
      </c>
      <c r="B77" s="1">
        <v>45578</v>
      </c>
      <c r="C77" t="str">
        <f t="shared" si="20"/>
        <v>11002</v>
      </c>
      <c r="D77" t="s">
        <v>2</v>
      </c>
      <c r="E77" t="str">
        <f t="shared" si="21"/>
        <v>20</v>
      </c>
      <c r="F77">
        <v>710734</v>
      </c>
      <c r="G77">
        <v>437819</v>
      </c>
      <c r="H77">
        <v>9219</v>
      </c>
      <c r="I77" t="str">
        <f t="shared" si="22"/>
        <v>1</v>
      </c>
      <c r="J77" t="str">
        <f t="shared" si="23"/>
        <v>Vooruit</v>
      </c>
      <c r="K77">
        <v>19911</v>
      </c>
      <c r="L77">
        <v>24011</v>
      </c>
      <c r="M77">
        <v>43922</v>
      </c>
      <c r="N77">
        <v>2</v>
      </c>
      <c r="O77" t="str">
        <f>("6")</f>
        <v>6</v>
      </c>
      <c r="P77" t="str">
        <f>("Van den Bulck Kim")</f>
        <v>Van den Bulck Kim</v>
      </c>
      <c r="Q77">
        <v>2027</v>
      </c>
      <c r="S77">
        <v>5</v>
      </c>
    </row>
    <row r="78" spans="1:19" x14ac:dyDescent="0.3">
      <c r="A78" t="s">
        <v>0</v>
      </c>
      <c r="B78" s="1">
        <v>45578</v>
      </c>
      <c r="C78" t="str">
        <f t="shared" si="20"/>
        <v>11002</v>
      </c>
      <c r="D78" t="s">
        <v>2</v>
      </c>
      <c r="E78" t="str">
        <f t="shared" si="21"/>
        <v>20</v>
      </c>
      <c r="F78">
        <v>710734</v>
      </c>
      <c r="G78">
        <v>437819</v>
      </c>
      <c r="H78">
        <v>9219</v>
      </c>
      <c r="I78" t="str">
        <f t="shared" si="22"/>
        <v>1</v>
      </c>
      <c r="J78" t="str">
        <f t="shared" si="23"/>
        <v>Vooruit</v>
      </c>
      <c r="K78">
        <v>19911</v>
      </c>
      <c r="L78">
        <v>24011</v>
      </c>
      <c r="M78">
        <v>43922</v>
      </c>
      <c r="N78">
        <v>2</v>
      </c>
      <c r="O78" t="str">
        <f>("7")</f>
        <v>7</v>
      </c>
      <c r="P78" t="str">
        <f>("Van Havere Wannes")</f>
        <v>Van Havere Wannes</v>
      </c>
      <c r="Q78">
        <v>1439</v>
      </c>
      <c r="S78">
        <v>12</v>
      </c>
    </row>
    <row r="79" spans="1:19" x14ac:dyDescent="0.3">
      <c r="A79" t="s">
        <v>0</v>
      </c>
      <c r="B79" s="1">
        <v>45578</v>
      </c>
      <c r="C79" t="str">
        <f t="shared" si="20"/>
        <v>11002</v>
      </c>
      <c r="D79" t="s">
        <v>2</v>
      </c>
      <c r="E79" t="str">
        <f t="shared" si="21"/>
        <v>20</v>
      </c>
      <c r="F79">
        <v>710734</v>
      </c>
      <c r="G79">
        <v>437819</v>
      </c>
      <c r="H79">
        <v>9219</v>
      </c>
      <c r="I79" t="str">
        <f t="shared" si="22"/>
        <v>1</v>
      </c>
      <c r="J79" t="str">
        <f t="shared" si="23"/>
        <v>Vooruit</v>
      </c>
      <c r="K79">
        <v>19911</v>
      </c>
      <c r="L79">
        <v>24011</v>
      </c>
      <c r="M79">
        <v>43922</v>
      </c>
      <c r="N79">
        <v>2</v>
      </c>
      <c r="O79" t="str">
        <f>("8")</f>
        <v>8</v>
      </c>
      <c r="P79" t="str">
        <f>("Amoako Richard")</f>
        <v>Amoako Richard</v>
      </c>
      <c r="Q79">
        <v>1252</v>
      </c>
      <c r="S79">
        <v>14</v>
      </c>
    </row>
    <row r="80" spans="1:19" x14ac:dyDescent="0.3">
      <c r="A80" t="s">
        <v>0</v>
      </c>
      <c r="B80" s="1">
        <v>45578</v>
      </c>
      <c r="C80" t="str">
        <f t="shared" si="20"/>
        <v>11002</v>
      </c>
      <c r="D80" t="s">
        <v>2</v>
      </c>
      <c r="E80" t="str">
        <f t="shared" si="21"/>
        <v>20</v>
      </c>
      <c r="F80">
        <v>710734</v>
      </c>
      <c r="G80">
        <v>437819</v>
      </c>
      <c r="H80">
        <v>9219</v>
      </c>
      <c r="I80" t="str">
        <f t="shared" si="22"/>
        <v>1</v>
      </c>
      <c r="J80" t="str">
        <f t="shared" si="23"/>
        <v>Vooruit</v>
      </c>
      <c r="K80">
        <v>19911</v>
      </c>
      <c r="L80">
        <v>24011</v>
      </c>
      <c r="M80">
        <v>43922</v>
      </c>
      <c r="N80">
        <v>2</v>
      </c>
      <c r="O80" t="str">
        <f>("9")</f>
        <v>9</v>
      </c>
      <c r="P80" t="str">
        <f>("Haudenhuyse Anouk")</f>
        <v>Haudenhuyse Anouk</v>
      </c>
      <c r="Q80">
        <v>1744</v>
      </c>
      <c r="S80">
        <v>7</v>
      </c>
    </row>
    <row r="81" spans="1:19" x14ac:dyDescent="0.3">
      <c r="A81" t="s">
        <v>0</v>
      </c>
      <c r="B81" s="1">
        <v>45578</v>
      </c>
      <c r="C81" t="str">
        <f t="shared" si="20"/>
        <v>11002</v>
      </c>
      <c r="D81" t="s">
        <v>2</v>
      </c>
      <c r="E81" t="str">
        <f t="shared" si="21"/>
        <v>20</v>
      </c>
      <c r="F81">
        <v>710734</v>
      </c>
      <c r="G81">
        <v>437819</v>
      </c>
      <c r="H81">
        <v>9219</v>
      </c>
      <c r="I81" t="str">
        <f t="shared" si="22"/>
        <v>1</v>
      </c>
      <c r="J81" t="str">
        <f t="shared" si="23"/>
        <v>Vooruit</v>
      </c>
      <c r="K81">
        <v>19911</v>
      </c>
      <c r="L81">
        <v>24011</v>
      </c>
      <c r="M81">
        <v>43922</v>
      </c>
      <c r="N81">
        <v>2</v>
      </c>
      <c r="O81" t="str">
        <f>("10")</f>
        <v>10</v>
      </c>
      <c r="P81" t="str">
        <f>("Covens Wouter")</f>
        <v>Covens Wouter</v>
      </c>
      <c r="Q81">
        <v>1164</v>
      </c>
      <c r="S81">
        <v>15</v>
      </c>
    </row>
    <row r="82" spans="1:19" x14ac:dyDescent="0.3">
      <c r="A82" t="s">
        <v>0</v>
      </c>
      <c r="B82" s="1">
        <v>45578</v>
      </c>
      <c r="C82" t="str">
        <f t="shared" si="20"/>
        <v>11002</v>
      </c>
      <c r="D82" t="s">
        <v>2</v>
      </c>
      <c r="E82" t="str">
        <f t="shared" si="21"/>
        <v>20</v>
      </c>
      <c r="F82">
        <v>710734</v>
      </c>
      <c r="G82">
        <v>437819</v>
      </c>
      <c r="H82">
        <v>9219</v>
      </c>
      <c r="I82" t="str">
        <f t="shared" si="22"/>
        <v>1</v>
      </c>
      <c r="J82" t="str">
        <f t="shared" si="23"/>
        <v>Vooruit</v>
      </c>
      <c r="K82">
        <v>19911</v>
      </c>
      <c r="L82">
        <v>24011</v>
      </c>
      <c r="M82">
        <v>43922</v>
      </c>
      <c r="N82">
        <v>2</v>
      </c>
      <c r="O82" t="str">
        <f>("11")</f>
        <v>11</v>
      </c>
      <c r="P82" t="str">
        <f>("Hellebaut Diana")</f>
        <v>Hellebaut Diana</v>
      </c>
      <c r="Q82">
        <v>1813</v>
      </c>
      <c r="S82">
        <v>6</v>
      </c>
    </row>
    <row r="83" spans="1:19" x14ac:dyDescent="0.3">
      <c r="A83" t="s">
        <v>0</v>
      </c>
      <c r="B83" s="1">
        <v>45578</v>
      </c>
      <c r="C83" t="str">
        <f t="shared" si="20"/>
        <v>11002</v>
      </c>
      <c r="D83" t="s">
        <v>2</v>
      </c>
      <c r="E83" t="str">
        <f t="shared" si="21"/>
        <v>20</v>
      </c>
      <c r="F83">
        <v>710734</v>
      </c>
      <c r="G83">
        <v>437819</v>
      </c>
      <c r="H83">
        <v>9219</v>
      </c>
      <c r="I83" t="str">
        <f t="shared" si="22"/>
        <v>1</v>
      </c>
      <c r="J83" t="str">
        <f t="shared" si="23"/>
        <v>Vooruit</v>
      </c>
      <c r="K83">
        <v>19911</v>
      </c>
      <c r="L83">
        <v>24011</v>
      </c>
      <c r="M83">
        <v>43922</v>
      </c>
      <c r="N83">
        <v>2</v>
      </c>
      <c r="O83" t="str">
        <f>("12")</f>
        <v>12</v>
      </c>
      <c r="P83" t="str">
        <f>("Muraille Jelle")</f>
        <v>Muraille Jelle</v>
      </c>
      <c r="Q83">
        <v>939</v>
      </c>
      <c r="S83">
        <v>17</v>
      </c>
    </row>
    <row r="84" spans="1:19" x14ac:dyDescent="0.3">
      <c r="A84" t="s">
        <v>0</v>
      </c>
      <c r="B84" s="1">
        <v>45578</v>
      </c>
      <c r="C84" t="str">
        <f t="shared" si="20"/>
        <v>11002</v>
      </c>
      <c r="D84" t="s">
        <v>2</v>
      </c>
      <c r="E84" t="str">
        <f t="shared" si="21"/>
        <v>20</v>
      </c>
      <c r="F84">
        <v>710734</v>
      </c>
      <c r="G84">
        <v>437819</v>
      </c>
      <c r="H84">
        <v>9219</v>
      </c>
      <c r="I84" t="str">
        <f t="shared" si="22"/>
        <v>1</v>
      </c>
      <c r="J84" t="str">
        <f t="shared" si="23"/>
        <v>Vooruit</v>
      </c>
      <c r="K84">
        <v>19911</v>
      </c>
      <c r="L84">
        <v>24011</v>
      </c>
      <c r="M84">
        <v>43922</v>
      </c>
      <c r="N84">
        <v>2</v>
      </c>
      <c r="O84" t="str">
        <f>("13")</f>
        <v>13</v>
      </c>
      <c r="P84" t="str">
        <f>("Taeymans Peggy")</f>
        <v>Taeymans Peggy</v>
      </c>
      <c r="Q84">
        <v>1595</v>
      </c>
      <c r="S84">
        <v>9</v>
      </c>
    </row>
    <row r="85" spans="1:19" x14ac:dyDescent="0.3">
      <c r="A85" t="s">
        <v>0</v>
      </c>
      <c r="B85" s="1">
        <v>45578</v>
      </c>
      <c r="C85" t="str">
        <f t="shared" si="20"/>
        <v>11002</v>
      </c>
      <c r="D85" t="s">
        <v>2</v>
      </c>
      <c r="E85" t="str">
        <f t="shared" si="21"/>
        <v>20</v>
      </c>
      <c r="F85">
        <v>710734</v>
      </c>
      <c r="G85">
        <v>437819</v>
      </c>
      <c r="H85">
        <v>9219</v>
      </c>
      <c r="I85" t="str">
        <f t="shared" si="22"/>
        <v>1</v>
      </c>
      <c r="J85" t="str">
        <f t="shared" si="23"/>
        <v>Vooruit</v>
      </c>
      <c r="K85">
        <v>19911</v>
      </c>
      <c r="L85">
        <v>24011</v>
      </c>
      <c r="M85">
        <v>43922</v>
      </c>
      <c r="N85">
        <v>2</v>
      </c>
      <c r="O85" t="str">
        <f>("14")</f>
        <v>14</v>
      </c>
      <c r="P85" t="str">
        <f>("Birchen Christel")</f>
        <v>Birchen Christel</v>
      </c>
      <c r="Q85">
        <v>1445</v>
      </c>
      <c r="S85">
        <v>11</v>
      </c>
    </row>
    <row r="86" spans="1:19" x14ac:dyDescent="0.3">
      <c r="A86" t="s">
        <v>0</v>
      </c>
      <c r="B86" s="1">
        <v>45578</v>
      </c>
      <c r="C86" t="str">
        <f t="shared" si="20"/>
        <v>11002</v>
      </c>
      <c r="D86" t="s">
        <v>2</v>
      </c>
      <c r="E86" t="str">
        <f t="shared" si="21"/>
        <v>20</v>
      </c>
      <c r="F86">
        <v>710734</v>
      </c>
      <c r="G86">
        <v>437819</v>
      </c>
      <c r="H86">
        <v>9219</v>
      </c>
      <c r="I86" t="str">
        <f t="shared" si="22"/>
        <v>1</v>
      </c>
      <c r="J86" t="str">
        <f t="shared" si="23"/>
        <v>Vooruit</v>
      </c>
      <c r="K86">
        <v>19911</v>
      </c>
      <c r="L86">
        <v>24011</v>
      </c>
      <c r="M86">
        <v>43922</v>
      </c>
      <c r="N86">
        <v>2</v>
      </c>
      <c r="O86" t="str">
        <f>("15")</f>
        <v>15</v>
      </c>
      <c r="P86" t="str">
        <f>("Bekkers Hans")</f>
        <v>Bekkers Hans</v>
      </c>
      <c r="Q86">
        <v>915</v>
      </c>
      <c r="S86">
        <v>18</v>
      </c>
    </row>
    <row r="87" spans="1:19" x14ac:dyDescent="0.3">
      <c r="A87" t="s">
        <v>0</v>
      </c>
      <c r="B87" s="1">
        <v>45578</v>
      </c>
      <c r="C87" t="str">
        <f t="shared" si="20"/>
        <v>11002</v>
      </c>
      <c r="D87" t="s">
        <v>2</v>
      </c>
      <c r="E87" t="str">
        <f t="shared" si="21"/>
        <v>20</v>
      </c>
      <c r="F87">
        <v>710734</v>
      </c>
      <c r="G87">
        <v>437819</v>
      </c>
      <c r="H87">
        <v>9219</v>
      </c>
      <c r="I87" t="str">
        <f t="shared" si="22"/>
        <v>1</v>
      </c>
      <c r="J87" t="str">
        <f t="shared" si="23"/>
        <v>Vooruit</v>
      </c>
      <c r="K87">
        <v>19911</v>
      </c>
      <c r="L87">
        <v>24011</v>
      </c>
      <c r="M87">
        <v>43922</v>
      </c>
      <c r="N87">
        <v>2</v>
      </c>
      <c r="O87" t="str">
        <f>("16")</f>
        <v>16</v>
      </c>
      <c r="P87" t="str">
        <f>("Talboom Rodney")</f>
        <v>Talboom Rodney</v>
      </c>
      <c r="Q87">
        <v>1489</v>
      </c>
      <c r="S87">
        <v>10</v>
      </c>
    </row>
    <row r="88" spans="1:19" x14ac:dyDescent="0.3">
      <c r="A88" t="s">
        <v>0</v>
      </c>
      <c r="B88" s="1">
        <v>45578</v>
      </c>
      <c r="C88" t="str">
        <f t="shared" si="20"/>
        <v>11002</v>
      </c>
      <c r="D88" t="s">
        <v>2</v>
      </c>
      <c r="E88" t="str">
        <f t="shared" si="21"/>
        <v>20</v>
      </c>
      <c r="F88">
        <v>710734</v>
      </c>
      <c r="G88">
        <v>437819</v>
      </c>
      <c r="H88">
        <v>9219</v>
      </c>
      <c r="I88" t="str">
        <f t="shared" si="22"/>
        <v>1</v>
      </c>
      <c r="J88" t="str">
        <f t="shared" si="23"/>
        <v>Vooruit</v>
      </c>
      <c r="K88">
        <v>19911</v>
      </c>
      <c r="L88">
        <v>24011</v>
      </c>
      <c r="M88">
        <v>43922</v>
      </c>
      <c r="N88">
        <v>2</v>
      </c>
      <c r="O88" t="str">
        <f>("17")</f>
        <v>17</v>
      </c>
      <c r="P88" t="str">
        <f>("Verheyen Frank")</f>
        <v>Verheyen Frank</v>
      </c>
      <c r="Q88">
        <v>1014</v>
      </c>
      <c r="S88">
        <v>16</v>
      </c>
    </row>
    <row r="89" spans="1:19" x14ac:dyDescent="0.3">
      <c r="A89" t="s">
        <v>0</v>
      </c>
      <c r="B89" s="1">
        <v>45578</v>
      </c>
      <c r="C89" t="str">
        <f t="shared" si="20"/>
        <v>11002</v>
      </c>
      <c r="D89" t="s">
        <v>2</v>
      </c>
      <c r="E89" t="str">
        <f t="shared" si="21"/>
        <v>20</v>
      </c>
      <c r="F89">
        <v>710734</v>
      </c>
      <c r="G89">
        <v>437819</v>
      </c>
      <c r="H89">
        <v>9219</v>
      </c>
      <c r="I89" t="str">
        <f t="shared" si="22"/>
        <v>1</v>
      </c>
      <c r="J89" t="str">
        <f t="shared" si="23"/>
        <v>Vooruit</v>
      </c>
      <c r="K89">
        <v>19911</v>
      </c>
      <c r="L89">
        <v>24011</v>
      </c>
      <c r="M89">
        <v>43922</v>
      </c>
      <c r="N89">
        <v>2</v>
      </c>
      <c r="O89" t="str">
        <f>("18")</f>
        <v>18</v>
      </c>
      <c r="P89" t="str">
        <f>("Carron Jeanne")</f>
        <v>Carron Jeanne</v>
      </c>
      <c r="Q89">
        <v>1326</v>
      </c>
      <c r="S89">
        <v>13</v>
      </c>
    </row>
    <row r="90" spans="1:19" x14ac:dyDescent="0.3">
      <c r="A90" t="s">
        <v>0</v>
      </c>
      <c r="B90" s="1">
        <v>45578</v>
      </c>
      <c r="C90" t="str">
        <f t="shared" si="20"/>
        <v>11002</v>
      </c>
      <c r="D90" t="s">
        <v>2</v>
      </c>
      <c r="E90" t="str">
        <f t="shared" si="21"/>
        <v>20</v>
      </c>
      <c r="F90">
        <v>710734</v>
      </c>
      <c r="G90">
        <v>437819</v>
      </c>
      <c r="H90">
        <v>9219</v>
      </c>
      <c r="I90" t="str">
        <f t="shared" si="22"/>
        <v>1</v>
      </c>
      <c r="J90" t="str">
        <f t="shared" si="23"/>
        <v>Vooruit</v>
      </c>
      <c r="K90">
        <v>19911</v>
      </c>
      <c r="L90">
        <v>24011</v>
      </c>
      <c r="M90">
        <v>43922</v>
      </c>
      <c r="N90">
        <v>2</v>
      </c>
      <c r="O90" t="str">
        <f>("19")</f>
        <v>19</v>
      </c>
      <c r="P90" t="str">
        <f>("Geudens Frank")</f>
        <v>Geudens Frank</v>
      </c>
      <c r="Q90">
        <v>1603</v>
      </c>
      <c r="S90">
        <v>8</v>
      </c>
    </row>
    <row r="91" spans="1:19" x14ac:dyDescent="0.3">
      <c r="A91" t="s">
        <v>0</v>
      </c>
      <c r="B91" s="1">
        <v>45578</v>
      </c>
      <c r="C91" t="str">
        <f t="shared" si="20"/>
        <v>11002</v>
      </c>
      <c r="D91" t="s">
        <v>2</v>
      </c>
      <c r="E91" t="str">
        <f t="shared" si="21"/>
        <v>20</v>
      </c>
      <c r="F91">
        <v>710734</v>
      </c>
      <c r="G91">
        <v>437819</v>
      </c>
      <c r="H91">
        <v>9219</v>
      </c>
      <c r="I91" t="str">
        <f t="shared" si="22"/>
        <v>1</v>
      </c>
      <c r="J91" t="str">
        <f t="shared" si="23"/>
        <v>Vooruit</v>
      </c>
      <c r="K91">
        <v>19911</v>
      </c>
      <c r="L91">
        <v>24011</v>
      </c>
      <c r="M91">
        <v>43922</v>
      </c>
      <c r="N91">
        <v>2</v>
      </c>
      <c r="O91" t="str">
        <f>("20")</f>
        <v>20</v>
      </c>
      <c r="P91" t="str">
        <f>("Gennez Caroline")</f>
        <v>Gennez Caroline</v>
      </c>
      <c r="Q91">
        <v>9022</v>
      </c>
      <c r="R91">
        <v>1</v>
      </c>
    </row>
    <row r="92" spans="1:19" x14ac:dyDescent="0.3">
      <c r="A92" t="s">
        <v>0</v>
      </c>
      <c r="B92" s="1">
        <v>45578</v>
      </c>
      <c r="C92" t="str">
        <f t="shared" si="20"/>
        <v>11002</v>
      </c>
      <c r="D92" t="s">
        <v>2</v>
      </c>
      <c r="E92" t="str">
        <f t="shared" si="21"/>
        <v>20</v>
      </c>
      <c r="F92">
        <v>710734</v>
      </c>
      <c r="G92">
        <v>437819</v>
      </c>
      <c r="H92">
        <v>9219</v>
      </c>
      <c r="I92" t="str">
        <f t="shared" ref="I92:I111" si="24">("2")</f>
        <v>2</v>
      </c>
      <c r="J92" t="str">
        <f t="shared" ref="J92:J111" si="25">("PVDA")</f>
        <v>PVDA</v>
      </c>
      <c r="K92">
        <v>15302</v>
      </c>
      <c r="L92">
        <v>27864</v>
      </c>
      <c r="M92">
        <v>43166</v>
      </c>
      <c r="N92">
        <v>2</v>
      </c>
      <c r="O92" t="str">
        <f>("1")</f>
        <v>1</v>
      </c>
      <c r="P92" t="str">
        <f>("Swinnen Leen")</f>
        <v>Swinnen Leen</v>
      </c>
      <c r="Q92">
        <v>16534</v>
      </c>
      <c r="R92">
        <v>1</v>
      </c>
    </row>
    <row r="93" spans="1:19" x14ac:dyDescent="0.3">
      <c r="A93" t="s">
        <v>0</v>
      </c>
      <c r="B93" s="1">
        <v>45578</v>
      </c>
      <c r="C93" t="str">
        <f t="shared" si="20"/>
        <v>11002</v>
      </c>
      <c r="D93" t="s">
        <v>2</v>
      </c>
      <c r="E93" t="str">
        <f t="shared" si="21"/>
        <v>20</v>
      </c>
      <c r="F93">
        <v>710734</v>
      </c>
      <c r="G93">
        <v>437819</v>
      </c>
      <c r="H93">
        <v>9219</v>
      </c>
      <c r="I93" t="str">
        <f t="shared" si="24"/>
        <v>2</v>
      </c>
      <c r="J93" t="str">
        <f t="shared" si="25"/>
        <v>PVDA</v>
      </c>
      <c r="K93">
        <v>15302</v>
      </c>
      <c r="L93">
        <v>27864</v>
      </c>
      <c r="M93">
        <v>43166</v>
      </c>
      <c r="N93">
        <v>2</v>
      </c>
      <c r="O93" t="str">
        <f>("2")</f>
        <v>2</v>
      </c>
      <c r="P93" t="str">
        <f>("Sohier Rudy")</f>
        <v>Sohier Rudy</v>
      </c>
      <c r="Q93">
        <v>4721</v>
      </c>
      <c r="R93">
        <v>2</v>
      </c>
    </row>
    <row r="94" spans="1:19" x14ac:dyDescent="0.3">
      <c r="A94" t="s">
        <v>0</v>
      </c>
      <c r="B94" s="1">
        <v>45578</v>
      </c>
      <c r="C94" t="str">
        <f t="shared" si="20"/>
        <v>11002</v>
      </c>
      <c r="D94" t="s">
        <v>2</v>
      </c>
      <c r="E94" t="str">
        <f t="shared" si="21"/>
        <v>20</v>
      </c>
      <c r="F94">
        <v>710734</v>
      </c>
      <c r="G94">
        <v>437819</v>
      </c>
      <c r="H94">
        <v>9219</v>
      </c>
      <c r="I94" t="str">
        <f t="shared" si="24"/>
        <v>2</v>
      </c>
      <c r="J94" t="str">
        <f t="shared" si="25"/>
        <v>PVDA</v>
      </c>
      <c r="K94">
        <v>15302</v>
      </c>
      <c r="L94">
        <v>27864</v>
      </c>
      <c r="M94">
        <v>43166</v>
      </c>
      <c r="N94">
        <v>2</v>
      </c>
      <c r="O94" t="str">
        <f>("3")</f>
        <v>3</v>
      </c>
      <c r="P94" t="str">
        <f>("Bogaerts Rik")</f>
        <v>Bogaerts Rik</v>
      </c>
      <c r="Q94">
        <v>3604</v>
      </c>
      <c r="S94">
        <v>3</v>
      </c>
    </row>
    <row r="95" spans="1:19" x14ac:dyDescent="0.3">
      <c r="A95" t="s">
        <v>0</v>
      </c>
      <c r="B95" s="1">
        <v>45578</v>
      </c>
      <c r="C95" t="str">
        <f t="shared" si="20"/>
        <v>11002</v>
      </c>
      <c r="D95" t="s">
        <v>2</v>
      </c>
      <c r="E95" t="str">
        <f t="shared" si="21"/>
        <v>20</v>
      </c>
      <c r="F95">
        <v>710734</v>
      </c>
      <c r="G95">
        <v>437819</v>
      </c>
      <c r="H95">
        <v>9219</v>
      </c>
      <c r="I95" t="str">
        <f t="shared" si="24"/>
        <v>2</v>
      </c>
      <c r="J95" t="str">
        <f t="shared" si="25"/>
        <v>PVDA</v>
      </c>
      <c r="K95">
        <v>15302</v>
      </c>
      <c r="L95">
        <v>27864</v>
      </c>
      <c r="M95">
        <v>43166</v>
      </c>
      <c r="N95">
        <v>2</v>
      </c>
      <c r="O95" t="str">
        <f>("4")</f>
        <v>4</v>
      </c>
      <c r="P95" t="str">
        <f>("Descamps Sabine")</f>
        <v>Descamps Sabine</v>
      </c>
      <c r="Q95">
        <v>3900</v>
      </c>
      <c r="S95">
        <v>2</v>
      </c>
    </row>
    <row r="96" spans="1:19" x14ac:dyDescent="0.3">
      <c r="A96" t="s">
        <v>0</v>
      </c>
      <c r="B96" s="1">
        <v>45578</v>
      </c>
      <c r="C96" t="str">
        <f t="shared" si="20"/>
        <v>11002</v>
      </c>
      <c r="D96" t="s">
        <v>2</v>
      </c>
      <c r="E96" t="str">
        <f t="shared" si="21"/>
        <v>20</v>
      </c>
      <c r="F96">
        <v>710734</v>
      </c>
      <c r="G96">
        <v>437819</v>
      </c>
      <c r="H96">
        <v>9219</v>
      </c>
      <c r="I96" t="str">
        <f t="shared" si="24"/>
        <v>2</v>
      </c>
      <c r="J96" t="str">
        <f t="shared" si="25"/>
        <v>PVDA</v>
      </c>
      <c r="K96">
        <v>15302</v>
      </c>
      <c r="L96">
        <v>27864</v>
      </c>
      <c r="M96">
        <v>43166</v>
      </c>
      <c r="N96">
        <v>2</v>
      </c>
      <c r="O96" t="str">
        <f>("5")</f>
        <v>5</v>
      </c>
      <c r="P96" t="str">
        <f>("Janssen Diane")</f>
        <v>Janssen Diane</v>
      </c>
      <c r="Q96">
        <v>3550</v>
      </c>
      <c r="S96">
        <v>4</v>
      </c>
    </row>
    <row r="97" spans="1:19" x14ac:dyDescent="0.3">
      <c r="A97" t="s">
        <v>0</v>
      </c>
      <c r="B97" s="1">
        <v>45578</v>
      </c>
      <c r="C97" t="str">
        <f t="shared" si="20"/>
        <v>11002</v>
      </c>
      <c r="D97" t="s">
        <v>2</v>
      </c>
      <c r="E97" t="str">
        <f t="shared" si="21"/>
        <v>20</v>
      </c>
      <c r="F97">
        <v>710734</v>
      </c>
      <c r="G97">
        <v>437819</v>
      </c>
      <c r="H97">
        <v>9219</v>
      </c>
      <c r="I97" t="str">
        <f t="shared" si="24"/>
        <v>2</v>
      </c>
      <c r="J97" t="str">
        <f t="shared" si="25"/>
        <v>PVDA</v>
      </c>
      <c r="K97">
        <v>15302</v>
      </c>
      <c r="L97">
        <v>27864</v>
      </c>
      <c r="M97">
        <v>43166</v>
      </c>
      <c r="N97">
        <v>2</v>
      </c>
      <c r="O97" t="str">
        <f>("6")</f>
        <v>6</v>
      </c>
      <c r="P97" t="str">
        <f>("Schellens Anouk")</f>
        <v>Schellens Anouk</v>
      </c>
      <c r="Q97">
        <v>2908</v>
      </c>
      <c r="S97">
        <v>6</v>
      </c>
    </row>
    <row r="98" spans="1:19" x14ac:dyDescent="0.3">
      <c r="A98" t="s">
        <v>0</v>
      </c>
      <c r="B98" s="1">
        <v>45578</v>
      </c>
      <c r="C98" t="str">
        <f t="shared" si="20"/>
        <v>11002</v>
      </c>
      <c r="D98" t="s">
        <v>2</v>
      </c>
      <c r="E98" t="str">
        <f t="shared" si="21"/>
        <v>20</v>
      </c>
      <c r="F98">
        <v>710734</v>
      </c>
      <c r="G98">
        <v>437819</v>
      </c>
      <c r="H98">
        <v>9219</v>
      </c>
      <c r="I98" t="str">
        <f t="shared" si="24"/>
        <v>2</v>
      </c>
      <c r="J98" t="str">
        <f t="shared" si="25"/>
        <v>PVDA</v>
      </c>
      <c r="K98">
        <v>15302</v>
      </c>
      <c r="L98">
        <v>27864</v>
      </c>
      <c r="M98">
        <v>43166</v>
      </c>
      <c r="N98">
        <v>2</v>
      </c>
      <c r="O98" t="str">
        <f>("7")</f>
        <v>7</v>
      </c>
      <c r="P98" t="str">
        <f>("Le Paige Charlie")</f>
        <v>Le Paige Charlie</v>
      </c>
      <c r="Q98">
        <v>2223</v>
      </c>
      <c r="S98">
        <v>10</v>
      </c>
    </row>
    <row r="99" spans="1:19" x14ac:dyDescent="0.3">
      <c r="A99" t="s">
        <v>0</v>
      </c>
      <c r="B99" s="1">
        <v>45578</v>
      </c>
      <c r="C99" t="str">
        <f t="shared" si="20"/>
        <v>11002</v>
      </c>
      <c r="D99" t="s">
        <v>2</v>
      </c>
      <c r="E99" t="str">
        <f t="shared" si="21"/>
        <v>20</v>
      </c>
      <c r="F99">
        <v>710734</v>
      </c>
      <c r="G99">
        <v>437819</v>
      </c>
      <c r="H99">
        <v>9219</v>
      </c>
      <c r="I99" t="str">
        <f t="shared" si="24"/>
        <v>2</v>
      </c>
      <c r="J99" t="str">
        <f t="shared" si="25"/>
        <v>PVDA</v>
      </c>
      <c r="K99">
        <v>15302</v>
      </c>
      <c r="L99">
        <v>27864</v>
      </c>
      <c r="M99">
        <v>43166</v>
      </c>
      <c r="N99">
        <v>2</v>
      </c>
      <c r="O99" t="str">
        <f>("8")</f>
        <v>8</v>
      </c>
      <c r="P99" t="str">
        <f>("Joos Walter")</f>
        <v>Joos Walter</v>
      </c>
      <c r="Q99">
        <v>4122</v>
      </c>
      <c r="S99">
        <v>1</v>
      </c>
    </row>
    <row r="100" spans="1:19" x14ac:dyDescent="0.3">
      <c r="A100" t="s">
        <v>0</v>
      </c>
      <c r="B100" s="1">
        <v>45578</v>
      </c>
      <c r="C100" t="str">
        <f t="shared" si="20"/>
        <v>11002</v>
      </c>
      <c r="D100" t="s">
        <v>2</v>
      </c>
      <c r="E100" t="str">
        <f t="shared" si="21"/>
        <v>20</v>
      </c>
      <c r="F100">
        <v>710734</v>
      </c>
      <c r="G100">
        <v>437819</v>
      </c>
      <c r="H100">
        <v>9219</v>
      </c>
      <c r="I100" t="str">
        <f t="shared" si="24"/>
        <v>2</v>
      </c>
      <c r="J100" t="str">
        <f t="shared" si="25"/>
        <v>PVDA</v>
      </c>
      <c r="K100">
        <v>15302</v>
      </c>
      <c r="L100">
        <v>27864</v>
      </c>
      <c r="M100">
        <v>43166</v>
      </c>
      <c r="N100">
        <v>2</v>
      </c>
      <c r="O100" t="str">
        <f>("9")</f>
        <v>9</v>
      </c>
      <c r="P100" t="str">
        <f>("Bestevaar Sander")</f>
        <v>Bestevaar Sander</v>
      </c>
      <c r="Q100">
        <v>1905</v>
      </c>
      <c r="S100">
        <v>13</v>
      </c>
    </row>
    <row r="101" spans="1:19" x14ac:dyDescent="0.3">
      <c r="A101" t="s">
        <v>0</v>
      </c>
      <c r="B101" s="1">
        <v>45578</v>
      </c>
      <c r="C101" t="str">
        <f t="shared" si="20"/>
        <v>11002</v>
      </c>
      <c r="D101" t="s">
        <v>2</v>
      </c>
      <c r="E101" t="str">
        <f t="shared" si="21"/>
        <v>20</v>
      </c>
      <c r="F101">
        <v>710734</v>
      </c>
      <c r="G101">
        <v>437819</v>
      </c>
      <c r="H101">
        <v>9219</v>
      </c>
      <c r="I101" t="str">
        <f t="shared" si="24"/>
        <v>2</v>
      </c>
      <c r="J101" t="str">
        <f t="shared" si="25"/>
        <v>PVDA</v>
      </c>
      <c r="K101">
        <v>15302</v>
      </c>
      <c r="L101">
        <v>27864</v>
      </c>
      <c r="M101">
        <v>43166</v>
      </c>
      <c r="N101">
        <v>2</v>
      </c>
      <c r="O101" t="str">
        <f>("10")</f>
        <v>10</v>
      </c>
      <c r="P101" t="str">
        <f>("Hanus Annick")</f>
        <v>Hanus Annick</v>
      </c>
      <c r="Q101">
        <v>2510</v>
      </c>
      <c r="S101">
        <v>8</v>
      </c>
    </row>
    <row r="102" spans="1:19" x14ac:dyDescent="0.3">
      <c r="A102" t="s">
        <v>0</v>
      </c>
      <c r="B102" s="1">
        <v>45578</v>
      </c>
      <c r="C102" t="str">
        <f t="shared" si="20"/>
        <v>11002</v>
      </c>
      <c r="D102" t="s">
        <v>2</v>
      </c>
      <c r="E102" t="str">
        <f t="shared" si="21"/>
        <v>20</v>
      </c>
      <c r="F102">
        <v>710734</v>
      </c>
      <c r="G102">
        <v>437819</v>
      </c>
      <c r="H102">
        <v>9219</v>
      </c>
      <c r="I102" t="str">
        <f t="shared" si="24"/>
        <v>2</v>
      </c>
      <c r="J102" t="str">
        <f t="shared" si="25"/>
        <v>PVDA</v>
      </c>
      <c r="K102">
        <v>15302</v>
      </c>
      <c r="L102">
        <v>27864</v>
      </c>
      <c r="M102">
        <v>43166</v>
      </c>
      <c r="N102">
        <v>2</v>
      </c>
      <c r="O102" t="str">
        <f>("11")</f>
        <v>11</v>
      </c>
      <c r="P102" t="str">
        <f>("Van der Steen Aukelien")</f>
        <v>Van der Steen Aukelien</v>
      </c>
      <c r="Q102">
        <v>2030</v>
      </c>
      <c r="S102">
        <v>12</v>
      </c>
    </row>
    <row r="103" spans="1:19" x14ac:dyDescent="0.3">
      <c r="A103" t="s">
        <v>0</v>
      </c>
      <c r="B103" s="1">
        <v>45578</v>
      </c>
      <c r="C103" t="str">
        <f t="shared" si="20"/>
        <v>11002</v>
      </c>
      <c r="D103" t="s">
        <v>2</v>
      </c>
      <c r="E103" t="str">
        <f t="shared" si="21"/>
        <v>20</v>
      </c>
      <c r="F103">
        <v>710734</v>
      </c>
      <c r="G103">
        <v>437819</v>
      </c>
      <c r="H103">
        <v>9219</v>
      </c>
      <c r="I103" t="str">
        <f t="shared" si="24"/>
        <v>2</v>
      </c>
      <c r="J103" t="str">
        <f t="shared" si="25"/>
        <v>PVDA</v>
      </c>
      <c r="K103">
        <v>15302</v>
      </c>
      <c r="L103">
        <v>27864</v>
      </c>
      <c r="M103">
        <v>43166</v>
      </c>
      <c r="N103">
        <v>2</v>
      </c>
      <c r="O103" t="str">
        <f>("12")</f>
        <v>12</v>
      </c>
      <c r="P103" t="str">
        <f>("Verbruggen Eva")</f>
        <v>Verbruggen Eva</v>
      </c>
      <c r="Q103">
        <v>2431</v>
      </c>
      <c r="S103">
        <v>9</v>
      </c>
    </row>
    <row r="104" spans="1:19" x14ac:dyDescent="0.3">
      <c r="A104" t="s">
        <v>0</v>
      </c>
      <c r="B104" s="1">
        <v>45578</v>
      </c>
      <c r="C104" t="str">
        <f t="shared" ref="C104:C135" si="26">("11002")</f>
        <v>11002</v>
      </c>
      <c r="D104" t="s">
        <v>2</v>
      </c>
      <c r="E104" t="str">
        <f t="shared" ref="E104:E135" si="27">("20")</f>
        <v>20</v>
      </c>
      <c r="F104">
        <v>710734</v>
      </c>
      <c r="G104">
        <v>437819</v>
      </c>
      <c r="H104">
        <v>9219</v>
      </c>
      <c r="I104" t="str">
        <f t="shared" si="24"/>
        <v>2</v>
      </c>
      <c r="J104" t="str">
        <f t="shared" si="25"/>
        <v>PVDA</v>
      </c>
      <c r="K104">
        <v>15302</v>
      </c>
      <c r="L104">
        <v>27864</v>
      </c>
      <c r="M104">
        <v>43166</v>
      </c>
      <c r="N104">
        <v>2</v>
      </c>
      <c r="O104" t="str">
        <f>("13")</f>
        <v>13</v>
      </c>
      <c r="P104" t="str">
        <f>("Janssens Lukas")</f>
        <v>Janssens Lukas</v>
      </c>
      <c r="Q104">
        <v>1897</v>
      </c>
      <c r="S104">
        <v>14</v>
      </c>
    </row>
    <row r="105" spans="1:19" x14ac:dyDescent="0.3">
      <c r="A105" t="s">
        <v>0</v>
      </c>
      <c r="B105" s="1">
        <v>45578</v>
      </c>
      <c r="C105" t="str">
        <f t="shared" si="26"/>
        <v>11002</v>
      </c>
      <c r="D105" t="s">
        <v>2</v>
      </c>
      <c r="E105" t="str">
        <f t="shared" si="27"/>
        <v>20</v>
      </c>
      <c r="F105">
        <v>710734</v>
      </c>
      <c r="G105">
        <v>437819</v>
      </c>
      <c r="H105">
        <v>9219</v>
      </c>
      <c r="I105" t="str">
        <f t="shared" si="24"/>
        <v>2</v>
      </c>
      <c r="J105" t="str">
        <f t="shared" si="25"/>
        <v>PVDA</v>
      </c>
      <c r="K105">
        <v>15302</v>
      </c>
      <c r="L105">
        <v>27864</v>
      </c>
      <c r="M105">
        <v>43166</v>
      </c>
      <c r="N105">
        <v>2</v>
      </c>
      <c r="O105" t="str">
        <f>("14")</f>
        <v>14</v>
      </c>
      <c r="P105" t="str">
        <f>("Devisscher Laura")</f>
        <v>Devisscher Laura</v>
      </c>
      <c r="Q105">
        <v>2067</v>
      </c>
      <c r="S105">
        <v>11</v>
      </c>
    </row>
    <row r="106" spans="1:19" x14ac:dyDescent="0.3">
      <c r="A106" t="s">
        <v>0</v>
      </c>
      <c r="B106" s="1">
        <v>45578</v>
      </c>
      <c r="C106" t="str">
        <f t="shared" si="26"/>
        <v>11002</v>
      </c>
      <c r="D106" t="s">
        <v>2</v>
      </c>
      <c r="E106" t="str">
        <f t="shared" si="27"/>
        <v>20</v>
      </c>
      <c r="F106">
        <v>710734</v>
      </c>
      <c r="G106">
        <v>437819</v>
      </c>
      <c r="H106">
        <v>9219</v>
      </c>
      <c r="I106" t="str">
        <f t="shared" si="24"/>
        <v>2</v>
      </c>
      <c r="J106" t="str">
        <f t="shared" si="25"/>
        <v>PVDA</v>
      </c>
      <c r="K106">
        <v>15302</v>
      </c>
      <c r="L106">
        <v>27864</v>
      </c>
      <c r="M106">
        <v>43166</v>
      </c>
      <c r="N106">
        <v>2</v>
      </c>
      <c r="O106" t="str">
        <f>("15")</f>
        <v>15</v>
      </c>
      <c r="P106" t="str">
        <f>("Garcia Karina")</f>
        <v>Garcia Karina</v>
      </c>
      <c r="Q106">
        <v>2688</v>
      </c>
      <c r="S106">
        <v>7</v>
      </c>
    </row>
    <row r="107" spans="1:19" x14ac:dyDescent="0.3">
      <c r="A107" t="s">
        <v>0</v>
      </c>
      <c r="B107" s="1">
        <v>45578</v>
      </c>
      <c r="C107" t="str">
        <f t="shared" si="26"/>
        <v>11002</v>
      </c>
      <c r="D107" t="s">
        <v>2</v>
      </c>
      <c r="E107" t="str">
        <f t="shared" si="27"/>
        <v>20</v>
      </c>
      <c r="F107">
        <v>710734</v>
      </c>
      <c r="G107">
        <v>437819</v>
      </c>
      <c r="H107">
        <v>9219</v>
      </c>
      <c r="I107" t="str">
        <f t="shared" si="24"/>
        <v>2</v>
      </c>
      <c r="J107" t="str">
        <f t="shared" si="25"/>
        <v>PVDA</v>
      </c>
      <c r="K107">
        <v>15302</v>
      </c>
      <c r="L107">
        <v>27864</v>
      </c>
      <c r="M107">
        <v>43166</v>
      </c>
      <c r="N107">
        <v>2</v>
      </c>
      <c r="O107" t="str">
        <f>("16")</f>
        <v>16</v>
      </c>
      <c r="P107" t="str">
        <f>("Lemmens Luc")</f>
        <v>Lemmens Luc</v>
      </c>
      <c r="Q107">
        <v>1717</v>
      </c>
      <c r="S107">
        <v>16</v>
      </c>
    </row>
    <row r="108" spans="1:19" x14ac:dyDescent="0.3">
      <c r="A108" t="s">
        <v>0</v>
      </c>
      <c r="B108" s="1">
        <v>45578</v>
      </c>
      <c r="C108" t="str">
        <f t="shared" si="26"/>
        <v>11002</v>
      </c>
      <c r="D108" t="s">
        <v>2</v>
      </c>
      <c r="E108" t="str">
        <f t="shared" si="27"/>
        <v>20</v>
      </c>
      <c r="F108">
        <v>710734</v>
      </c>
      <c r="G108">
        <v>437819</v>
      </c>
      <c r="H108">
        <v>9219</v>
      </c>
      <c r="I108" t="str">
        <f t="shared" si="24"/>
        <v>2</v>
      </c>
      <c r="J108" t="str">
        <f t="shared" si="25"/>
        <v>PVDA</v>
      </c>
      <c r="K108">
        <v>15302</v>
      </c>
      <c r="L108">
        <v>27864</v>
      </c>
      <c r="M108">
        <v>43166</v>
      </c>
      <c r="N108">
        <v>2</v>
      </c>
      <c r="O108" t="str">
        <f>("17")</f>
        <v>17</v>
      </c>
      <c r="P108" t="str">
        <f>("Vercammen Lennert")</f>
        <v>Vercammen Lennert</v>
      </c>
      <c r="Q108">
        <v>1563</v>
      </c>
      <c r="S108">
        <v>17</v>
      </c>
    </row>
    <row r="109" spans="1:19" x14ac:dyDescent="0.3">
      <c r="A109" t="s">
        <v>0</v>
      </c>
      <c r="B109" s="1">
        <v>45578</v>
      </c>
      <c r="C109" t="str">
        <f t="shared" si="26"/>
        <v>11002</v>
      </c>
      <c r="D109" t="s">
        <v>2</v>
      </c>
      <c r="E109" t="str">
        <f t="shared" si="27"/>
        <v>20</v>
      </c>
      <c r="F109">
        <v>710734</v>
      </c>
      <c r="G109">
        <v>437819</v>
      </c>
      <c r="H109">
        <v>9219</v>
      </c>
      <c r="I109" t="str">
        <f t="shared" si="24"/>
        <v>2</v>
      </c>
      <c r="J109" t="str">
        <f t="shared" si="25"/>
        <v>PVDA</v>
      </c>
      <c r="K109">
        <v>15302</v>
      </c>
      <c r="L109">
        <v>27864</v>
      </c>
      <c r="M109">
        <v>43166</v>
      </c>
      <c r="N109">
        <v>2</v>
      </c>
      <c r="O109" t="str">
        <f>("18")</f>
        <v>18</v>
      </c>
      <c r="P109" t="str">
        <f>("Rochtus Jarl")</f>
        <v>Rochtus Jarl</v>
      </c>
      <c r="Q109">
        <v>1442</v>
      </c>
      <c r="S109">
        <v>18</v>
      </c>
    </row>
    <row r="110" spans="1:19" x14ac:dyDescent="0.3">
      <c r="A110" t="s">
        <v>0</v>
      </c>
      <c r="B110" s="1">
        <v>45578</v>
      </c>
      <c r="C110" t="str">
        <f t="shared" si="26"/>
        <v>11002</v>
      </c>
      <c r="D110" t="s">
        <v>2</v>
      </c>
      <c r="E110" t="str">
        <f t="shared" si="27"/>
        <v>20</v>
      </c>
      <c r="F110">
        <v>710734</v>
      </c>
      <c r="G110">
        <v>437819</v>
      </c>
      <c r="H110">
        <v>9219</v>
      </c>
      <c r="I110" t="str">
        <f t="shared" si="24"/>
        <v>2</v>
      </c>
      <c r="J110" t="str">
        <f t="shared" si="25"/>
        <v>PVDA</v>
      </c>
      <c r="K110">
        <v>15302</v>
      </c>
      <c r="L110">
        <v>27864</v>
      </c>
      <c r="M110">
        <v>43166</v>
      </c>
      <c r="N110">
        <v>2</v>
      </c>
      <c r="O110" t="str">
        <f>("19")</f>
        <v>19</v>
      </c>
      <c r="P110" t="str">
        <f>("Vandenbussche Jan")</f>
        <v>Vandenbussche Jan</v>
      </c>
      <c r="Q110">
        <v>1875</v>
      </c>
      <c r="S110">
        <v>15</v>
      </c>
    </row>
    <row r="111" spans="1:19" x14ac:dyDescent="0.3">
      <c r="A111" t="s">
        <v>0</v>
      </c>
      <c r="B111" s="1">
        <v>45578</v>
      </c>
      <c r="C111" t="str">
        <f t="shared" si="26"/>
        <v>11002</v>
      </c>
      <c r="D111" t="s">
        <v>2</v>
      </c>
      <c r="E111" t="str">
        <f t="shared" si="27"/>
        <v>20</v>
      </c>
      <c r="F111">
        <v>710734</v>
      </c>
      <c r="G111">
        <v>437819</v>
      </c>
      <c r="H111">
        <v>9219</v>
      </c>
      <c r="I111" t="str">
        <f t="shared" si="24"/>
        <v>2</v>
      </c>
      <c r="J111" t="str">
        <f t="shared" si="25"/>
        <v>PVDA</v>
      </c>
      <c r="K111">
        <v>15302</v>
      </c>
      <c r="L111">
        <v>27864</v>
      </c>
      <c r="M111">
        <v>43166</v>
      </c>
      <c r="N111">
        <v>2</v>
      </c>
      <c r="O111" t="str">
        <f>("20")</f>
        <v>20</v>
      </c>
      <c r="P111" t="str">
        <f>("Roes Els")</f>
        <v>Roes Els</v>
      </c>
      <c r="Q111">
        <v>3068</v>
      </c>
      <c r="S111">
        <v>5</v>
      </c>
    </row>
    <row r="112" spans="1:19" x14ac:dyDescent="0.3">
      <c r="A112" t="s">
        <v>0</v>
      </c>
      <c r="B112" s="1">
        <v>45578</v>
      </c>
      <c r="C112" t="str">
        <f t="shared" si="26"/>
        <v>11002</v>
      </c>
      <c r="D112" t="s">
        <v>2</v>
      </c>
      <c r="E112" t="str">
        <f t="shared" si="27"/>
        <v>20</v>
      </c>
      <c r="F112">
        <v>710734</v>
      </c>
      <c r="G112">
        <v>437819</v>
      </c>
      <c r="H112">
        <v>9219</v>
      </c>
      <c r="I112" t="str">
        <f t="shared" ref="I112:I131" si="28">("3")</f>
        <v>3</v>
      </c>
      <c r="J112" t="str">
        <f t="shared" ref="J112:J131" si="29">("cd&amp;v")</f>
        <v>cd&amp;v</v>
      </c>
      <c r="K112">
        <v>12921</v>
      </c>
      <c r="L112">
        <v>29641</v>
      </c>
      <c r="M112">
        <v>42562</v>
      </c>
      <c r="N112">
        <v>2</v>
      </c>
      <c r="O112" t="str">
        <f>("1")</f>
        <v>1</v>
      </c>
      <c r="P112" t="str">
        <f>("Weckhuysen Wendy")</f>
        <v>Weckhuysen Wendy</v>
      </c>
      <c r="Q112">
        <v>7538</v>
      </c>
      <c r="R112">
        <v>2</v>
      </c>
    </row>
    <row r="113" spans="1:19" x14ac:dyDescent="0.3">
      <c r="A113" t="s">
        <v>0</v>
      </c>
      <c r="B113" s="1">
        <v>45578</v>
      </c>
      <c r="C113" t="str">
        <f t="shared" si="26"/>
        <v>11002</v>
      </c>
      <c r="D113" t="s">
        <v>2</v>
      </c>
      <c r="E113" t="str">
        <f t="shared" si="27"/>
        <v>20</v>
      </c>
      <c r="F113">
        <v>710734</v>
      </c>
      <c r="G113">
        <v>437819</v>
      </c>
      <c r="H113">
        <v>9219</v>
      </c>
      <c r="I113" t="str">
        <f t="shared" si="28"/>
        <v>3</v>
      </c>
      <c r="J113" t="str">
        <f t="shared" si="29"/>
        <v>cd&amp;v</v>
      </c>
      <c r="K113">
        <v>12921</v>
      </c>
      <c r="L113">
        <v>29641</v>
      </c>
      <c r="M113">
        <v>42562</v>
      </c>
      <c r="N113">
        <v>2</v>
      </c>
      <c r="O113" t="str">
        <f>("2")</f>
        <v>2</v>
      </c>
      <c r="P113" t="str">
        <f>("Jacobs Lukas")</f>
        <v>Jacobs Lukas</v>
      </c>
      <c r="Q113">
        <v>5433</v>
      </c>
      <c r="S113">
        <v>1</v>
      </c>
    </row>
    <row r="114" spans="1:19" x14ac:dyDescent="0.3">
      <c r="A114" t="s">
        <v>0</v>
      </c>
      <c r="B114" s="1">
        <v>45578</v>
      </c>
      <c r="C114" t="str">
        <f t="shared" si="26"/>
        <v>11002</v>
      </c>
      <c r="D114" t="s">
        <v>2</v>
      </c>
      <c r="E114" t="str">
        <f t="shared" si="27"/>
        <v>20</v>
      </c>
      <c r="F114">
        <v>710734</v>
      </c>
      <c r="G114">
        <v>437819</v>
      </c>
      <c r="H114">
        <v>9219</v>
      </c>
      <c r="I114" t="str">
        <f t="shared" si="28"/>
        <v>3</v>
      </c>
      <c r="J114" t="str">
        <f t="shared" si="29"/>
        <v>cd&amp;v</v>
      </c>
      <c r="K114">
        <v>12921</v>
      </c>
      <c r="L114">
        <v>29641</v>
      </c>
      <c r="M114">
        <v>42562</v>
      </c>
      <c r="N114">
        <v>2</v>
      </c>
      <c r="O114" t="str">
        <f>("3")</f>
        <v>3</v>
      </c>
      <c r="P114" t="str">
        <f>("Verbeeck Kris")</f>
        <v>Verbeeck Kris</v>
      </c>
      <c r="Q114">
        <v>1791</v>
      </c>
      <c r="S114">
        <v>6</v>
      </c>
    </row>
    <row r="115" spans="1:19" x14ac:dyDescent="0.3">
      <c r="A115" t="s">
        <v>0</v>
      </c>
      <c r="B115" s="1">
        <v>45578</v>
      </c>
      <c r="C115" t="str">
        <f t="shared" si="26"/>
        <v>11002</v>
      </c>
      <c r="D115" t="s">
        <v>2</v>
      </c>
      <c r="E115" t="str">
        <f t="shared" si="27"/>
        <v>20</v>
      </c>
      <c r="F115">
        <v>710734</v>
      </c>
      <c r="G115">
        <v>437819</v>
      </c>
      <c r="H115">
        <v>9219</v>
      </c>
      <c r="I115" t="str">
        <f t="shared" si="28"/>
        <v>3</v>
      </c>
      <c r="J115" t="str">
        <f t="shared" si="29"/>
        <v>cd&amp;v</v>
      </c>
      <c r="K115">
        <v>12921</v>
      </c>
      <c r="L115">
        <v>29641</v>
      </c>
      <c r="M115">
        <v>42562</v>
      </c>
      <c r="N115">
        <v>2</v>
      </c>
      <c r="O115" t="str">
        <f>("4")</f>
        <v>4</v>
      </c>
      <c r="P115" t="str">
        <f>("Monjaerts David")</f>
        <v>Monjaerts David</v>
      </c>
      <c r="Q115">
        <v>860</v>
      </c>
      <c r="S115">
        <v>14</v>
      </c>
    </row>
    <row r="116" spans="1:19" x14ac:dyDescent="0.3">
      <c r="A116" t="s">
        <v>0</v>
      </c>
      <c r="B116" s="1">
        <v>45578</v>
      </c>
      <c r="C116" t="str">
        <f t="shared" si="26"/>
        <v>11002</v>
      </c>
      <c r="D116" t="s">
        <v>2</v>
      </c>
      <c r="E116" t="str">
        <f t="shared" si="27"/>
        <v>20</v>
      </c>
      <c r="F116">
        <v>710734</v>
      </c>
      <c r="G116">
        <v>437819</v>
      </c>
      <c r="H116">
        <v>9219</v>
      </c>
      <c r="I116" t="str">
        <f t="shared" si="28"/>
        <v>3</v>
      </c>
      <c r="J116" t="str">
        <f t="shared" si="29"/>
        <v>cd&amp;v</v>
      </c>
      <c r="K116">
        <v>12921</v>
      </c>
      <c r="L116">
        <v>29641</v>
      </c>
      <c r="M116">
        <v>42562</v>
      </c>
      <c r="N116">
        <v>2</v>
      </c>
      <c r="O116" t="str">
        <f>("5")</f>
        <v>5</v>
      </c>
      <c r="P116" t="str">
        <f>("Vandeweyer Sabina")</f>
        <v>Vandeweyer Sabina</v>
      </c>
      <c r="Q116">
        <v>3907</v>
      </c>
      <c r="S116">
        <v>2</v>
      </c>
    </row>
    <row r="117" spans="1:19" x14ac:dyDescent="0.3">
      <c r="A117" t="s">
        <v>0</v>
      </c>
      <c r="B117" s="1">
        <v>45578</v>
      </c>
      <c r="C117" t="str">
        <f t="shared" si="26"/>
        <v>11002</v>
      </c>
      <c r="D117" t="s">
        <v>2</v>
      </c>
      <c r="E117" t="str">
        <f t="shared" si="27"/>
        <v>20</v>
      </c>
      <c r="F117">
        <v>710734</v>
      </c>
      <c r="G117">
        <v>437819</v>
      </c>
      <c r="H117">
        <v>9219</v>
      </c>
      <c r="I117" t="str">
        <f t="shared" si="28"/>
        <v>3</v>
      </c>
      <c r="J117" t="str">
        <f t="shared" si="29"/>
        <v>cd&amp;v</v>
      </c>
      <c r="K117">
        <v>12921</v>
      </c>
      <c r="L117">
        <v>29641</v>
      </c>
      <c r="M117">
        <v>42562</v>
      </c>
      <c r="N117">
        <v>2</v>
      </c>
      <c r="O117" t="str">
        <f>("6")</f>
        <v>6</v>
      </c>
      <c r="P117" t="str">
        <f>("Van der Heyden Caroline")</f>
        <v>Van der Heyden Caroline</v>
      </c>
      <c r="Q117">
        <v>2237</v>
      </c>
      <c r="S117">
        <v>5</v>
      </c>
    </row>
    <row r="118" spans="1:19" x14ac:dyDescent="0.3">
      <c r="A118" t="s">
        <v>0</v>
      </c>
      <c r="B118" s="1">
        <v>45578</v>
      </c>
      <c r="C118" t="str">
        <f t="shared" si="26"/>
        <v>11002</v>
      </c>
      <c r="D118" t="s">
        <v>2</v>
      </c>
      <c r="E118" t="str">
        <f t="shared" si="27"/>
        <v>20</v>
      </c>
      <c r="F118">
        <v>710734</v>
      </c>
      <c r="G118">
        <v>437819</v>
      </c>
      <c r="H118">
        <v>9219</v>
      </c>
      <c r="I118" t="str">
        <f t="shared" si="28"/>
        <v>3</v>
      </c>
      <c r="J118" t="str">
        <f t="shared" si="29"/>
        <v>cd&amp;v</v>
      </c>
      <c r="K118">
        <v>12921</v>
      </c>
      <c r="L118">
        <v>29641</v>
      </c>
      <c r="M118">
        <v>42562</v>
      </c>
      <c r="N118">
        <v>2</v>
      </c>
      <c r="O118" t="str">
        <f>("7")</f>
        <v>7</v>
      </c>
      <c r="P118" t="str">
        <f>("Suykerbuyk Sandra")</f>
        <v>Suykerbuyk Sandra</v>
      </c>
      <c r="Q118">
        <v>1734</v>
      </c>
      <c r="S118">
        <v>7</v>
      </c>
    </row>
    <row r="119" spans="1:19" x14ac:dyDescent="0.3">
      <c r="A119" t="s">
        <v>0</v>
      </c>
      <c r="B119" s="1">
        <v>45578</v>
      </c>
      <c r="C119" t="str">
        <f t="shared" si="26"/>
        <v>11002</v>
      </c>
      <c r="D119" t="s">
        <v>2</v>
      </c>
      <c r="E119" t="str">
        <f t="shared" si="27"/>
        <v>20</v>
      </c>
      <c r="F119">
        <v>710734</v>
      </c>
      <c r="G119">
        <v>437819</v>
      </c>
      <c r="H119">
        <v>9219</v>
      </c>
      <c r="I119" t="str">
        <f t="shared" si="28"/>
        <v>3</v>
      </c>
      <c r="J119" t="str">
        <f t="shared" si="29"/>
        <v>cd&amp;v</v>
      </c>
      <c r="K119">
        <v>12921</v>
      </c>
      <c r="L119">
        <v>29641</v>
      </c>
      <c r="M119">
        <v>42562</v>
      </c>
      <c r="N119">
        <v>2</v>
      </c>
      <c r="O119" t="str">
        <f>("8")</f>
        <v>8</v>
      </c>
      <c r="P119" t="str">
        <f>("Iharratane Touria")</f>
        <v>Iharratane Touria</v>
      </c>
      <c r="Q119">
        <v>957</v>
      </c>
      <c r="S119">
        <v>10</v>
      </c>
    </row>
    <row r="120" spans="1:19" x14ac:dyDescent="0.3">
      <c r="A120" t="s">
        <v>0</v>
      </c>
      <c r="B120" s="1">
        <v>45578</v>
      </c>
      <c r="C120" t="str">
        <f t="shared" si="26"/>
        <v>11002</v>
      </c>
      <c r="D120" t="s">
        <v>2</v>
      </c>
      <c r="E120" t="str">
        <f t="shared" si="27"/>
        <v>20</v>
      </c>
      <c r="F120">
        <v>710734</v>
      </c>
      <c r="G120">
        <v>437819</v>
      </c>
      <c r="H120">
        <v>9219</v>
      </c>
      <c r="I120" t="str">
        <f t="shared" si="28"/>
        <v>3</v>
      </c>
      <c r="J120" t="str">
        <f t="shared" si="29"/>
        <v>cd&amp;v</v>
      </c>
      <c r="K120">
        <v>12921</v>
      </c>
      <c r="L120">
        <v>29641</v>
      </c>
      <c r="M120">
        <v>42562</v>
      </c>
      <c r="N120">
        <v>2</v>
      </c>
      <c r="O120" t="str">
        <f>("9")</f>
        <v>9</v>
      </c>
      <c r="P120" t="str">
        <f>("Kamoen Charis")</f>
        <v>Kamoen Charis</v>
      </c>
      <c r="Q120">
        <v>931</v>
      </c>
      <c r="S120">
        <v>12</v>
      </c>
    </row>
    <row r="121" spans="1:19" x14ac:dyDescent="0.3">
      <c r="A121" t="s">
        <v>0</v>
      </c>
      <c r="B121" s="1">
        <v>45578</v>
      </c>
      <c r="C121" t="str">
        <f t="shared" si="26"/>
        <v>11002</v>
      </c>
      <c r="D121" t="s">
        <v>2</v>
      </c>
      <c r="E121" t="str">
        <f t="shared" si="27"/>
        <v>20</v>
      </c>
      <c r="F121">
        <v>710734</v>
      </c>
      <c r="G121">
        <v>437819</v>
      </c>
      <c r="H121">
        <v>9219</v>
      </c>
      <c r="I121" t="str">
        <f t="shared" si="28"/>
        <v>3</v>
      </c>
      <c r="J121" t="str">
        <f t="shared" si="29"/>
        <v>cd&amp;v</v>
      </c>
      <c r="K121">
        <v>12921</v>
      </c>
      <c r="L121">
        <v>29641</v>
      </c>
      <c r="M121">
        <v>42562</v>
      </c>
      <c r="N121">
        <v>2</v>
      </c>
      <c r="O121" t="str">
        <f>("10")</f>
        <v>10</v>
      </c>
      <c r="P121" t="str">
        <f>("Caluwé Ludwig")</f>
        <v>Caluwé Ludwig</v>
      </c>
      <c r="Q121">
        <v>2959</v>
      </c>
      <c r="S121">
        <v>4</v>
      </c>
    </row>
    <row r="122" spans="1:19" x14ac:dyDescent="0.3">
      <c r="A122" t="s">
        <v>0</v>
      </c>
      <c r="B122" s="1">
        <v>45578</v>
      </c>
      <c r="C122" t="str">
        <f t="shared" si="26"/>
        <v>11002</v>
      </c>
      <c r="D122" t="s">
        <v>2</v>
      </c>
      <c r="E122" t="str">
        <f t="shared" si="27"/>
        <v>20</v>
      </c>
      <c r="F122">
        <v>710734</v>
      </c>
      <c r="G122">
        <v>437819</v>
      </c>
      <c r="H122">
        <v>9219</v>
      </c>
      <c r="I122" t="str">
        <f t="shared" si="28"/>
        <v>3</v>
      </c>
      <c r="J122" t="str">
        <f t="shared" si="29"/>
        <v>cd&amp;v</v>
      </c>
      <c r="K122">
        <v>12921</v>
      </c>
      <c r="L122">
        <v>29641</v>
      </c>
      <c r="M122">
        <v>42562</v>
      </c>
      <c r="N122">
        <v>2</v>
      </c>
      <c r="O122" t="str">
        <f>("11")</f>
        <v>11</v>
      </c>
      <c r="P122" t="str">
        <f>("Verbruggen Marleen")</f>
        <v>Verbruggen Marleen</v>
      </c>
      <c r="Q122">
        <v>1495</v>
      </c>
      <c r="S122">
        <v>8</v>
      </c>
    </row>
    <row r="123" spans="1:19" x14ac:dyDescent="0.3">
      <c r="A123" t="s">
        <v>0</v>
      </c>
      <c r="B123" s="1">
        <v>45578</v>
      </c>
      <c r="C123" t="str">
        <f t="shared" si="26"/>
        <v>11002</v>
      </c>
      <c r="D123" t="s">
        <v>2</v>
      </c>
      <c r="E123" t="str">
        <f t="shared" si="27"/>
        <v>20</v>
      </c>
      <c r="F123">
        <v>710734</v>
      </c>
      <c r="G123">
        <v>437819</v>
      </c>
      <c r="H123">
        <v>9219</v>
      </c>
      <c r="I123" t="str">
        <f t="shared" si="28"/>
        <v>3</v>
      </c>
      <c r="J123" t="str">
        <f t="shared" si="29"/>
        <v>cd&amp;v</v>
      </c>
      <c r="K123">
        <v>12921</v>
      </c>
      <c r="L123">
        <v>29641</v>
      </c>
      <c r="M123">
        <v>42562</v>
      </c>
      <c r="N123">
        <v>2</v>
      </c>
      <c r="O123" t="str">
        <f>("12")</f>
        <v>12</v>
      </c>
      <c r="P123" t="str">
        <f>("Lemal Philip")</f>
        <v>Lemal Philip</v>
      </c>
      <c r="Q123">
        <v>858</v>
      </c>
      <c r="S123">
        <v>15</v>
      </c>
    </row>
    <row r="124" spans="1:19" x14ac:dyDescent="0.3">
      <c r="A124" t="s">
        <v>0</v>
      </c>
      <c r="B124" s="1">
        <v>45578</v>
      </c>
      <c r="C124" t="str">
        <f t="shared" si="26"/>
        <v>11002</v>
      </c>
      <c r="D124" t="s">
        <v>2</v>
      </c>
      <c r="E124" t="str">
        <f t="shared" si="27"/>
        <v>20</v>
      </c>
      <c r="F124">
        <v>710734</v>
      </c>
      <c r="G124">
        <v>437819</v>
      </c>
      <c r="H124">
        <v>9219</v>
      </c>
      <c r="I124" t="str">
        <f t="shared" si="28"/>
        <v>3</v>
      </c>
      <c r="J124" t="str">
        <f t="shared" si="29"/>
        <v>cd&amp;v</v>
      </c>
      <c r="K124">
        <v>12921</v>
      </c>
      <c r="L124">
        <v>29641</v>
      </c>
      <c r="M124">
        <v>42562</v>
      </c>
      <c r="N124">
        <v>2</v>
      </c>
      <c r="O124" t="str">
        <f>("13")</f>
        <v>13</v>
      </c>
      <c r="P124" t="str">
        <f>("Van Leemput Maarten")</f>
        <v>Van Leemput Maarten</v>
      </c>
      <c r="Q124">
        <v>797</v>
      </c>
      <c r="S124">
        <v>17</v>
      </c>
    </row>
    <row r="125" spans="1:19" x14ac:dyDescent="0.3">
      <c r="A125" t="s">
        <v>0</v>
      </c>
      <c r="B125" s="1">
        <v>45578</v>
      </c>
      <c r="C125" t="str">
        <f t="shared" si="26"/>
        <v>11002</v>
      </c>
      <c r="D125" t="s">
        <v>2</v>
      </c>
      <c r="E125" t="str">
        <f t="shared" si="27"/>
        <v>20</v>
      </c>
      <c r="F125">
        <v>710734</v>
      </c>
      <c r="G125">
        <v>437819</v>
      </c>
      <c r="H125">
        <v>9219</v>
      </c>
      <c r="I125" t="str">
        <f t="shared" si="28"/>
        <v>3</v>
      </c>
      <c r="J125" t="str">
        <f t="shared" si="29"/>
        <v>cd&amp;v</v>
      </c>
      <c r="K125">
        <v>12921</v>
      </c>
      <c r="L125">
        <v>29641</v>
      </c>
      <c r="M125">
        <v>42562</v>
      </c>
      <c r="N125">
        <v>2</v>
      </c>
      <c r="O125" t="str">
        <f>("14")</f>
        <v>14</v>
      </c>
      <c r="P125" t="str">
        <f>("Matushina Galina")</f>
        <v>Matushina Galina</v>
      </c>
      <c r="Q125">
        <v>920</v>
      </c>
      <c r="S125">
        <v>13</v>
      </c>
    </row>
    <row r="126" spans="1:19" x14ac:dyDescent="0.3">
      <c r="A126" t="s">
        <v>0</v>
      </c>
      <c r="B126" s="1">
        <v>45578</v>
      </c>
      <c r="C126" t="str">
        <f t="shared" si="26"/>
        <v>11002</v>
      </c>
      <c r="D126" t="s">
        <v>2</v>
      </c>
      <c r="E126" t="str">
        <f t="shared" si="27"/>
        <v>20</v>
      </c>
      <c r="F126">
        <v>710734</v>
      </c>
      <c r="G126">
        <v>437819</v>
      </c>
      <c r="H126">
        <v>9219</v>
      </c>
      <c r="I126" t="str">
        <f t="shared" si="28"/>
        <v>3</v>
      </c>
      <c r="J126" t="str">
        <f t="shared" si="29"/>
        <v>cd&amp;v</v>
      </c>
      <c r="K126">
        <v>12921</v>
      </c>
      <c r="L126">
        <v>29641</v>
      </c>
      <c r="M126">
        <v>42562</v>
      </c>
      <c r="N126">
        <v>2</v>
      </c>
      <c r="O126" t="str">
        <f>("15")</f>
        <v>15</v>
      </c>
      <c r="P126" t="str">
        <f>("Maes Erik")</f>
        <v>Maes Erik</v>
      </c>
      <c r="Q126">
        <v>938</v>
      </c>
      <c r="S126">
        <v>11</v>
      </c>
    </row>
    <row r="127" spans="1:19" x14ac:dyDescent="0.3">
      <c r="A127" t="s">
        <v>0</v>
      </c>
      <c r="B127" s="1">
        <v>45578</v>
      </c>
      <c r="C127" t="str">
        <f t="shared" si="26"/>
        <v>11002</v>
      </c>
      <c r="D127" t="s">
        <v>2</v>
      </c>
      <c r="E127" t="str">
        <f t="shared" si="27"/>
        <v>20</v>
      </c>
      <c r="F127">
        <v>710734</v>
      </c>
      <c r="G127">
        <v>437819</v>
      </c>
      <c r="H127">
        <v>9219</v>
      </c>
      <c r="I127" t="str">
        <f t="shared" si="28"/>
        <v>3</v>
      </c>
      <c r="J127" t="str">
        <f t="shared" si="29"/>
        <v>cd&amp;v</v>
      </c>
      <c r="K127">
        <v>12921</v>
      </c>
      <c r="L127">
        <v>29641</v>
      </c>
      <c r="M127">
        <v>42562</v>
      </c>
      <c r="N127">
        <v>2</v>
      </c>
      <c r="O127" t="str">
        <f>("16")</f>
        <v>16</v>
      </c>
      <c r="P127" t="str">
        <f>("Van Asbroeck Willy")</f>
        <v>Van Asbroeck Willy</v>
      </c>
      <c r="Q127">
        <v>1061</v>
      </c>
      <c r="S127">
        <v>9</v>
      </c>
    </row>
    <row r="128" spans="1:19" x14ac:dyDescent="0.3">
      <c r="A128" t="s">
        <v>0</v>
      </c>
      <c r="B128" s="1">
        <v>45578</v>
      </c>
      <c r="C128" t="str">
        <f t="shared" si="26"/>
        <v>11002</v>
      </c>
      <c r="D128" t="s">
        <v>2</v>
      </c>
      <c r="E128" t="str">
        <f t="shared" si="27"/>
        <v>20</v>
      </c>
      <c r="F128">
        <v>710734</v>
      </c>
      <c r="G128">
        <v>437819</v>
      </c>
      <c r="H128">
        <v>9219</v>
      </c>
      <c r="I128" t="str">
        <f t="shared" si="28"/>
        <v>3</v>
      </c>
      <c r="J128" t="str">
        <f t="shared" si="29"/>
        <v>cd&amp;v</v>
      </c>
      <c r="K128">
        <v>12921</v>
      </c>
      <c r="L128">
        <v>29641</v>
      </c>
      <c r="M128">
        <v>42562</v>
      </c>
      <c r="N128">
        <v>2</v>
      </c>
      <c r="O128" t="str">
        <f>("17")</f>
        <v>17</v>
      </c>
      <c r="P128" t="str">
        <f>("Van Geel Alex")</f>
        <v>Van Geel Alex</v>
      </c>
      <c r="Q128">
        <v>738</v>
      </c>
      <c r="S128">
        <v>18</v>
      </c>
    </row>
    <row r="129" spans="1:19" x14ac:dyDescent="0.3">
      <c r="A129" t="s">
        <v>0</v>
      </c>
      <c r="B129" s="1">
        <v>45578</v>
      </c>
      <c r="C129" t="str">
        <f t="shared" si="26"/>
        <v>11002</v>
      </c>
      <c r="D129" t="s">
        <v>2</v>
      </c>
      <c r="E129" t="str">
        <f t="shared" si="27"/>
        <v>20</v>
      </c>
      <c r="F129">
        <v>710734</v>
      </c>
      <c r="G129">
        <v>437819</v>
      </c>
      <c r="H129">
        <v>9219</v>
      </c>
      <c r="I129" t="str">
        <f t="shared" si="28"/>
        <v>3</v>
      </c>
      <c r="J129" t="str">
        <f t="shared" si="29"/>
        <v>cd&amp;v</v>
      </c>
      <c r="K129">
        <v>12921</v>
      </c>
      <c r="L129">
        <v>29641</v>
      </c>
      <c r="M129">
        <v>42562</v>
      </c>
      <c r="N129">
        <v>2</v>
      </c>
      <c r="O129" t="str">
        <f>("18")</f>
        <v>18</v>
      </c>
      <c r="P129" t="str">
        <f>("Boen Lindger")</f>
        <v>Boen Lindger</v>
      </c>
      <c r="Q129">
        <v>814</v>
      </c>
      <c r="S129">
        <v>16</v>
      </c>
    </row>
    <row r="130" spans="1:19" x14ac:dyDescent="0.3">
      <c r="A130" t="s">
        <v>0</v>
      </c>
      <c r="B130" s="1">
        <v>45578</v>
      </c>
      <c r="C130" t="str">
        <f t="shared" si="26"/>
        <v>11002</v>
      </c>
      <c r="D130" t="s">
        <v>2</v>
      </c>
      <c r="E130" t="str">
        <f t="shared" si="27"/>
        <v>20</v>
      </c>
      <c r="F130">
        <v>710734</v>
      </c>
      <c r="G130">
        <v>437819</v>
      </c>
      <c r="H130">
        <v>9219</v>
      </c>
      <c r="I130" t="str">
        <f t="shared" si="28"/>
        <v>3</v>
      </c>
      <c r="J130" t="str">
        <f t="shared" si="29"/>
        <v>cd&amp;v</v>
      </c>
      <c r="K130">
        <v>12921</v>
      </c>
      <c r="L130">
        <v>29641</v>
      </c>
      <c r="M130">
        <v>42562</v>
      </c>
      <c r="N130">
        <v>2</v>
      </c>
      <c r="O130" t="str">
        <f>("19")</f>
        <v>19</v>
      </c>
      <c r="P130" t="str">
        <f>("Lanjri Nahima")</f>
        <v>Lanjri Nahima</v>
      </c>
      <c r="Q130">
        <v>3252</v>
      </c>
      <c r="S130">
        <v>3</v>
      </c>
    </row>
    <row r="131" spans="1:19" x14ac:dyDescent="0.3">
      <c r="A131" t="s">
        <v>0</v>
      </c>
      <c r="B131" s="1">
        <v>45578</v>
      </c>
      <c r="C131" t="str">
        <f t="shared" si="26"/>
        <v>11002</v>
      </c>
      <c r="D131" t="s">
        <v>2</v>
      </c>
      <c r="E131" t="str">
        <f t="shared" si="27"/>
        <v>20</v>
      </c>
      <c r="F131">
        <v>710734</v>
      </c>
      <c r="G131">
        <v>437819</v>
      </c>
      <c r="H131">
        <v>9219</v>
      </c>
      <c r="I131" t="str">
        <f t="shared" si="28"/>
        <v>3</v>
      </c>
      <c r="J131" t="str">
        <f t="shared" si="29"/>
        <v>cd&amp;v</v>
      </c>
      <c r="K131">
        <v>12921</v>
      </c>
      <c r="L131">
        <v>29641</v>
      </c>
      <c r="M131">
        <v>42562</v>
      </c>
      <c r="N131">
        <v>2</v>
      </c>
      <c r="O131" t="str">
        <f>("20")</f>
        <v>20</v>
      </c>
      <c r="P131" t="str">
        <f>("Verlinden Annelies")</f>
        <v>Verlinden Annelies</v>
      </c>
      <c r="Q131">
        <v>16680</v>
      </c>
      <c r="R131">
        <v>1</v>
      </c>
    </row>
    <row r="132" spans="1:19" x14ac:dyDescent="0.3">
      <c r="A132" t="s">
        <v>0</v>
      </c>
      <c r="B132" s="1">
        <v>45578</v>
      </c>
      <c r="C132" t="str">
        <f t="shared" si="26"/>
        <v>11002</v>
      </c>
      <c r="D132" t="s">
        <v>2</v>
      </c>
      <c r="E132" t="str">
        <f t="shared" si="27"/>
        <v>20</v>
      </c>
      <c r="F132">
        <v>710734</v>
      </c>
      <c r="G132">
        <v>437819</v>
      </c>
      <c r="H132">
        <v>9219</v>
      </c>
      <c r="I132" t="str">
        <f t="shared" ref="I132:I151" si="30">("4")</f>
        <v>4</v>
      </c>
      <c r="J132" t="str">
        <f t="shared" ref="J132:J151" si="31">("VLAAMS BELANG")</f>
        <v>VLAAMS BELANG</v>
      </c>
      <c r="K132">
        <v>22282</v>
      </c>
      <c r="L132">
        <v>44883</v>
      </c>
      <c r="M132">
        <v>67165</v>
      </c>
      <c r="N132">
        <v>3</v>
      </c>
      <c r="O132" t="str">
        <f>("1")</f>
        <v>1</v>
      </c>
      <c r="P132" t="str">
        <f>("Bollansée Wouter")</f>
        <v>Bollansée Wouter</v>
      </c>
      <c r="Q132">
        <v>12586</v>
      </c>
      <c r="R132">
        <v>2</v>
      </c>
    </row>
    <row r="133" spans="1:19" x14ac:dyDescent="0.3">
      <c r="A133" t="s">
        <v>0</v>
      </c>
      <c r="B133" s="1">
        <v>45578</v>
      </c>
      <c r="C133" t="str">
        <f t="shared" si="26"/>
        <v>11002</v>
      </c>
      <c r="D133" t="s">
        <v>2</v>
      </c>
      <c r="E133" t="str">
        <f t="shared" si="27"/>
        <v>20</v>
      </c>
      <c r="F133">
        <v>710734</v>
      </c>
      <c r="G133">
        <v>437819</v>
      </c>
      <c r="H133">
        <v>9219</v>
      </c>
      <c r="I133" t="str">
        <f t="shared" si="30"/>
        <v>4</v>
      </c>
      <c r="J133" t="str">
        <f t="shared" si="31"/>
        <v>VLAAMS BELANG</v>
      </c>
      <c r="K133">
        <v>22282</v>
      </c>
      <c r="L133">
        <v>44883</v>
      </c>
      <c r="M133">
        <v>67165</v>
      </c>
      <c r="N133">
        <v>3</v>
      </c>
      <c r="O133" t="str">
        <f>("2")</f>
        <v>2</v>
      </c>
      <c r="P133" t="str">
        <f>("Pajak Kinga")</f>
        <v>Pajak Kinga</v>
      </c>
      <c r="Q133">
        <v>4134</v>
      </c>
      <c r="R133">
        <v>3</v>
      </c>
    </row>
    <row r="134" spans="1:19" x14ac:dyDescent="0.3">
      <c r="A134" t="s">
        <v>0</v>
      </c>
      <c r="B134" s="1">
        <v>45578</v>
      </c>
      <c r="C134" t="str">
        <f t="shared" si="26"/>
        <v>11002</v>
      </c>
      <c r="D134" t="s">
        <v>2</v>
      </c>
      <c r="E134" t="str">
        <f t="shared" si="27"/>
        <v>20</v>
      </c>
      <c r="F134">
        <v>710734</v>
      </c>
      <c r="G134">
        <v>437819</v>
      </c>
      <c r="H134">
        <v>9219</v>
      </c>
      <c r="I134" t="str">
        <f t="shared" si="30"/>
        <v>4</v>
      </c>
      <c r="J134" t="str">
        <f t="shared" si="31"/>
        <v>VLAAMS BELANG</v>
      </c>
      <c r="K134">
        <v>22282</v>
      </c>
      <c r="L134">
        <v>44883</v>
      </c>
      <c r="M134">
        <v>67165</v>
      </c>
      <c r="N134">
        <v>3</v>
      </c>
      <c r="O134" t="str">
        <f>("3")</f>
        <v>3</v>
      </c>
      <c r="P134" t="str">
        <f>("Claessen Jan")</f>
        <v>Claessen Jan</v>
      </c>
      <c r="Q134">
        <v>3805</v>
      </c>
      <c r="S134">
        <v>3</v>
      </c>
    </row>
    <row r="135" spans="1:19" x14ac:dyDescent="0.3">
      <c r="A135" t="s">
        <v>0</v>
      </c>
      <c r="B135" s="1">
        <v>45578</v>
      </c>
      <c r="C135" t="str">
        <f t="shared" si="26"/>
        <v>11002</v>
      </c>
      <c r="D135" t="s">
        <v>2</v>
      </c>
      <c r="E135" t="str">
        <f t="shared" si="27"/>
        <v>20</v>
      </c>
      <c r="F135">
        <v>710734</v>
      </c>
      <c r="G135">
        <v>437819</v>
      </c>
      <c r="H135">
        <v>9219</v>
      </c>
      <c r="I135" t="str">
        <f t="shared" si="30"/>
        <v>4</v>
      </c>
      <c r="J135" t="str">
        <f t="shared" si="31"/>
        <v>VLAAMS BELANG</v>
      </c>
      <c r="K135">
        <v>22282</v>
      </c>
      <c r="L135">
        <v>44883</v>
      </c>
      <c r="M135">
        <v>67165</v>
      </c>
      <c r="N135">
        <v>3</v>
      </c>
      <c r="O135" t="str">
        <f>("4")</f>
        <v>4</v>
      </c>
      <c r="P135" t="str">
        <f>("Willekens Tim")</f>
        <v>Willekens Tim</v>
      </c>
      <c r="Q135">
        <v>3695</v>
      </c>
      <c r="S135">
        <v>5</v>
      </c>
    </row>
    <row r="136" spans="1:19" x14ac:dyDescent="0.3">
      <c r="A136" t="s">
        <v>0</v>
      </c>
      <c r="B136" s="1">
        <v>45578</v>
      </c>
      <c r="C136" t="str">
        <f t="shared" ref="C136:C167" si="32">("11002")</f>
        <v>11002</v>
      </c>
      <c r="D136" t="s">
        <v>2</v>
      </c>
      <c r="E136" t="str">
        <f t="shared" ref="E136:E167" si="33">("20")</f>
        <v>20</v>
      </c>
      <c r="F136">
        <v>710734</v>
      </c>
      <c r="G136">
        <v>437819</v>
      </c>
      <c r="H136">
        <v>9219</v>
      </c>
      <c r="I136" t="str">
        <f t="shared" si="30"/>
        <v>4</v>
      </c>
      <c r="J136" t="str">
        <f t="shared" si="31"/>
        <v>VLAAMS BELANG</v>
      </c>
      <c r="K136">
        <v>22282</v>
      </c>
      <c r="L136">
        <v>44883</v>
      </c>
      <c r="M136">
        <v>67165</v>
      </c>
      <c r="N136">
        <v>3</v>
      </c>
      <c r="O136" t="str">
        <f>("5")</f>
        <v>5</v>
      </c>
      <c r="P136" t="str">
        <f>("Van Geem Chris")</f>
        <v>Van Geem Chris</v>
      </c>
      <c r="Q136">
        <v>2552</v>
      </c>
      <c r="S136">
        <v>9</v>
      </c>
    </row>
    <row r="137" spans="1:19" x14ac:dyDescent="0.3">
      <c r="A137" t="s">
        <v>0</v>
      </c>
      <c r="B137" s="1">
        <v>45578</v>
      </c>
      <c r="C137" t="str">
        <f t="shared" si="32"/>
        <v>11002</v>
      </c>
      <c r="D137" t="s">
        <v>2</v>
      </c>
      <c r="E137" t="str">
        <f t="shared" si="33"/>
        <v>20</v>
      </c>
      <c r="F137">
        <v>710734</v>
      </c>
      <c r="G137">
        <v>437819</v>
      </c>
      <c r="H137">
        <v>9219</v>
      </c>
      <c r="I137" t="str">
        <f t="shared" si="30"/>
        <v>4</v>
      </c>
      <c r="J137" t="str">
        <f t="shared" si="31"/>
        <v>VLAAMS BELANG</v>
      </c>
      <c r="K137">
        <v>22282</v>
      </c>
      <c r="L137">
        <v>44883</v>
      </c>
      <c r="M137">
        <v>67165</v>
      </c>
      <c r="N137">
        <v>3</v>
      </c>
      <c r="O137" t="str">
        <f>("6")</f>
        <v>6</v>
      </c>
      <c r="P137" t="str">
        <f>("Engelen Christel")</f>
        <v>Engelen Christel</v>
      </c>
      <c r="Q137">
        <v>3781</v>
      </c>
      <c r="S137">
        <v>4</v>
      </c>
    </row>
    <row r="138" spans="1:19" x14ac:dyDescent="0.3">
      <c r="A138" t="s">
        <v>0</v>
      </c>
      <c r="B138" s="1">
        <v>45578</v>
      </c>
      <c r="C138" t="str">
        <f t="shared" si="32"/>
        <v>11002</v>
      </c>
      <c r="D138" t="s">
        <v>2</v>
      </c>
      <c r="E138" t="str">
        <f t="shared" si="33"/>
        <v>20</v>
      </c>
      <c r="F138">
        <v>710734</v>
      </c>
      <c r="G138">
        <v>437819</v>
      </c>
      <c r="H138">
        <v>9219</v>
      </c>
      <c r="I138" t="str">
        <f t="shared" si="30"/>
        <v>4</v>
      </c>
      <c r="J138" t="str">
        <f t="shared" si="31"/>
        <v>VLAAMS BELANG</v>
      </c>
      <c r="K138">
        <v>22282</v>
      </c>
      <c r="L138">
        <v>44883</v>
      </c>
      <c r="M138">
        <v>67165</v>
      </c>
      <c r="N138">
        <v>3</v>
      </c>
      <c r="O138" t="str">
        <f>("7")</f>
        <v>7</v>
      </c>
      <c r="P138" t="str">
        <f>("Heylen Elke")</f>
        <v>Heylen Elke</v>
      </c>
      <c r="Q138">
        <v>3138</v>
      </c>
      <c r="S138">
        <v>7</v>
      </c>
    </row>
    <row r="139" spans="1:19" x14ac:dyDescent="0.3">
      <c r="A139" t="s">
        <v>0</v>
      </c>
      <c r="B139" s="1">
        <v>45578</v>
      </c>
      <c r="C139" t="str">
        <f t="shared" si="32"/>
        <v>11002</v>
      </c>
      <c r="D139" t="s">
        <v>2</v>
      </c>
      <c r="E139" t="str">
        <f t="shared" si="33"/>
        <v>20</v>
      </c>
      <c r="F139">
        <v>710734</v>
      </c>
      <c r="G139">
        <v>437819</v>
      </c>
      <c r="H139">
        <v>9219</v>
      </c>
      <c r="I139" t="str">
        <f t="shared" si="30"/>
        <v>4</v>
      </c>
      <c r="J139" t="str">
        <f t="shared" si="31"/>
        <v>VLAAMS BELANG</v>
      </c>
      <c r="K139">
        <v>22282</v>
      </c>
      <c r="L139">
        <v>44883</v>
      </c>
      <c r="M139">
        <v>67165</v>
      </c>
      <c r="N139">
        <v>3</v>
      </c>
      <c r="O139" t="str">
        <f>("8")</f>
        <v>8</v>
      </c>
      <c r="P139" t="str">
        <f>("Lenaerts Patrick")</f>
        <v>Lenaerts Patrick</v>
      </c>
      <c r="Q139">
        <v>2327</v>
      </c>
      <c r="S139">
        <v>12</v>
      </c>
    </row>
    <row r="140" spans="1:19" x14ac:dyDescent="0.3">
      <c r="A140" t="s">
        <v>0</v>
      </c>
      <c r="B140" s="1">
        <v>45578</v>
      </c>
      <c r="C140" t="str">
        <f t="shared" si="32"/>
        <v>11002</v>
      </c>
      <c r="D140" t="s">
        <v>2</v>
      </c>
      <c r="E140" t="str">
        <f t="shared" si="33"/>
        <v>20</v>
      </c>
      <c r="F140">
        <v>710734</v>
      </c>
      <c r="G140">
        <v>437819</v>
      </c>
      <c r="H140">
        <v>9219</v>
      </c>
      <c r="I140" t="str">
        <f t="shared" si="30"/>
        <v>4</v>
      </c>
      <c r="J140" t="str">
        <f t="shared" si="31"/>
        <v>VLAAMS BELANG</v>
      </c>
      <c r="K140">
        <v>22282</v>
      </c>
      <c r="L140">
        <v>44883</v>
      </c>
      <c r="M140">
        <v>67165</v>
      </c>
      <c r="N140">
        <v>3</v>
      </c>
      <c r="O140" t="str">
        <f>("9")</f>
        <v>9</v>
      </c>
      <c r="P140" t="str">
        <f>("Van Mol Nadine")</f>
        <v>Van Mol Nadine</v>
      </c>
      <c r="Q140">
        <v>2772</v>
      </c>
      <c r="S140">
        <v>8</v>
      </c>
    </row>
    <row r="141" spans="1:19" x14ac:dyDescent="0.3">
      <c r="A141" t="s">
        <v>0</v>
      </c>
      <c r="B141" s="1">
        <v>45578</v>
      </c>
      <c r="C141" t="str">
        <f t="shared" si="32"/>
        <v>11002</v>
      </c>
      <c r="D141" t="s">
        <v>2</v>
      </c>
      <c r="E141" t="str">
        <f t="shared" si="33"/>
        <v>20</v>
      </c>
      <c r="F141">
        <v>710734</v>
      </c>
      <c r="G141">
        <v>437819</v>
      </c>
      <c r="H141">
        <v>9219</v>
      </c>
      <c r="I141" t="str">
        <f t="shared" si="30"/>
        <v>4</v>
      </c>
      <c r="J141" t="str">
        <f t="shared" si="31"/>
        <v>VLAAMS BELANG</v>
      </c>
      <c r="K141">
        <v>22282</v>
      </c>
      <c r="L141">
        <v>44883</v>
      </c>
      <c r="M141">
        <v>67165</v>
      </c>
      <c r="N141">
        <v>3</v>
      </c>
      <c r="O141" t="str">
        <f>("10")</f>
        <v>10</v>
      </c>
      <c r="P141" t="str">
        <f>("Slaets Marleen")</f>
        <v>Slaets Marleen</v>
      </c>
      <c r="Q141">
        <v>2486</v>
      </c>
      <c r="S141">
        <v>10</v>
      </c>
    </row>
    <row r="142" spans="1:19" x14ac:dyDescent="0.3">
      <c r="A142" t="s">
        <v>0</v>
      </c>
      <c r="B142" s="1">
        <v>45578</v>
      </c>
      <c r="C142" t="str">
        <f t="shared" si="32"/>
        <v>11002</v>
      </c>
      <c r="D142" t="s">
        <v>2</v>
      </c>
      <c r="E142" t="str">
        <f t="shared" si="33"/>
        <v>20</v>
      </c>
      <c r="F142">
        <v>710734</v>
      </c>
      <c r="G142">
        <v>437819</v>
      </c>
      <c r="H142">
        <v>9219</v>
      </c>
      <c r="I142" t="str">
        <f t="shared" si="30"/>
        <v>4</v>
      </c>
      <c r="J142" t="str">
        <f t="shared" si="31"/>
        <v>VLAAMS BELANG</v>
      </c>
      <c r="K142">
        <v>22282</v>
      </c>
      <c r="L142">
        <v>44883</v>
      </c>
      <c r="M142">
        <v>67165</v>
      </c>
      <c r="N142">
        <v>3</v>
      </c>
      <c r="O142" t="str">
        <f>("11")</f>
        <v>11</v>
      </c>
      <c r="P142" t="str">
        <f>("Valkeniers Bruno")</f>
        <v>Valkeniers Bruno</v>
      </c>
      <c r="Q142">
        <v>3990</v>
      </c>
      <c r="S142">
        <v>2</v>
      </c>
    </row>
    <row r="143" spans="1:19" x14ac:dyDescent="0.3">
      <c r="A143" t="s">
        <v>0</v>
      </c>
      <c r="B143" s="1">
        <v>45578</v>
      </c>
      <c r="C143" t="str">
        <f t="shared" si="32"/>
        <v>11002</v>
      </c>
      <c r="D143" t="s">
        <v>2</v>
      </c>
      <c r="E143" t="str">
        <f t="shared" si="33"/>
        <v>20</v>
      </c>
      <c r="F143">
        <v>710734</v>
      </c>
      <c r="G143">
        <v>437819</v>
      </c>
      <c r="H143">
        <v>9219</v>
      </c>
      <c r="I143" t="str">
        <f t="shared" si="30"/>
        <v>4</v>
      </c>
      <c r="J143" t="str">
        <f t="shared" si="31"/>
        <v>VLAAMS BELANG</v>
      </c>
      <c r="K143">
        <v>22282</v>
      </c>
      <c r="L143">
        <v>44883</v>
      </c>
      <c r="M143">
        <v>67165</v>
      </c>
      <c r="N143">
        <v>3</v>
      </c>
      <c r="O143" t="str">
        <f>("12")</f>
        <v>12</v>
      </c>
      <c r="P143" t="str">
        <f>("Salden Agnes")</f>
        <v>Salden Agnes</v>
      </c>
      <c r="Q143">
        <v>2076</v>
      </c>
      <c r="S143">
        <v>16</v>
      </c>
    </row>
    <row r="144" spans="1:19" x14ac:dyDescent="0.3">
      <c r="A144" t="s">
        <v>0</v>
      </c>
      <c r="B144" s="1">
        <v>45578</v>
      </c>
      <c r="C144" t="str">
        <f t="shared" si="32"/>
        <v>11002</v>
      </c>
      <c r="D144" t="s">
        <v>2</v>
      </c>
      <c r="E144" t="str">
        <f t="shared" si="33"/>
        <v>20</v>
      </c>
      <c r="F144">
        <v>710734</v>
      </c>
      <c r="G144">
        <v>437819</v>
      </c>
      <c r="H144">
        <v>9219</v>
      </c>
      <c r="I144" t="str">
        <f t="shared" si="30"/>
        <v>4</v>
      </c>
      <c r="J144" t="str">
        <f t="shared" si="31"/>
        <v>VLAAMS BELANG</v>
      </c>
      <c r="K144">
        <v>22282</v>
      </c>
      <c r="L144">
        <v>44883</v>
      </c>
      <c r="M144">
        <v>67165</v>
      </c>
      <c r="N144">
        <v>3</v>
      </c>
      <c r="O144" t="str">
        <f>("13")</f>
        <v>13</v>
      </c>
      <c r="P144" t="str">
        <f>("Peeters Gianni")</f>
        <v>Peeters Gianni</v>
      </c>
      <c r="Q144">
        <v>2479</v>
      </c>
      <c r="S144">
        <v>11</v>
      </c>
    </row>
    <row r="145" spans="1:19" x14ac:dyDescent="0.3">
      <c r="A145" t="s">
        <v>0</v>
      </c>
      <c r="B145" s="1">
        <v>45578</v>
      </c>
      <c r="C145" t="str">
        <f t="shared" si="32"/>
        <v>11002</v>
      </c>
      <c r="D145" t="s">
        <v>2</v>
      </c>
      <c r="E145" t="str">
        <f t="shared" si="33"/>
        <v>20</v>
      </c>
      <c r="F145">
        <v>710734</v>
      </c>
      <c r="G145">
        <v>437819</v>
      </c>
      <c r="H145">
        <v>9219</v>
      </c>
      <c r="I145" t="str">
        <f t="shared" si="30"/>
        <v>4</v>
      </c>
      <c r="J145" t="str">
        <f t="shared" si="31"/>
        <v>VLAAMS BELANG</v>
      </c>
      <c r="K145">
        <v>22282</v>
      </c>
      <c r="L145">
        <v>44883</v>
      </c>
      <c r="M145">
        <v>67165</v>
      </c>
      <c r="N145">
        <v>3</v>
      </c>
      <c r="O145" t="str">
        <f>("14")</f>
        <v>14</v>
      </c>
      <c r="P145" t="str">
        <f>("Bens Daniëla")</f>
        <v>Bens Daniëla</v>
      </c>
      <c r="Q145">
        <v>2054</v>
      </c>
      <c r="S145">
        <v>17</v>
      </c>
    </row>
    <row r="146" spans="1:19" x14ac:dyDescent="0.3">
      <c r="A146" t="s">
        <v>0</v>
      </c>
      <c r="B146" s="1">
        <v>45578</v>
      </c>
      <c r="C146" t="str">
        <f t="shared" si="32"/>
        <v>11002</v>
      </c>
      <c r="D146" t="s">
        <v>2</v>
      </c>
      <c r="E146" t="str">
        <f t="shared" si="33"/>
        <v>20</v>
      </c>
      <c r="F146">
        <v>710734</v>
      </c>
      <c r="G146">
        <v>437819</v>
      </c>
      <c r="H146">
        <v>9219</v>
      </c>
      <c r="I146" t="str">
        <f t="shared" si="30"/>
        <v>4</v>
      </c>
      <c r="J146" t="str">
        <f t="shared" si="31"/>
        <v>VLAAMS BELANG</v>
      </c>
      <c r="K146">
        <v>22282</v>
      </c>
      <c r="L146">
        <v>44883</v>
      </c>
      <c r="M146">
        <v>67165</v>
      </c>
      <c r="N146">
        <v>3</v>
      </c>
      <c r="O146" t="str">
        <f>("15")</f>
        <v>15</v>
      </c>
      <c r="P146" t="str">
        <f>("Van Onckelen Dirk")</f>
        <v>Van Onckelen Dirk</v>
      </c>
      <c r="Q146">
        <v>2231</v>
      </c>
      <c r="S146">
        <v>13</v>
      </c>
    </row>
    <row r="147" spans="1:19" x14ac:dyDescent="0.3">
      <c r="A147" t="s">
        <v>0</v>
      </c>
      <c r="B147" s="1">
        <v>45578</v>
      </c>
      <c r="C147" t="str">
        <f t="shared" si="32"/>
        <v>11002</v>
      </c>
      <c r="D147" t="s">
        <v>2</v>
      </c>
      <c r="E147" t="str">
        <f t="shared" si="33"/>
        <v>20</v>
      </c>
      <c r="F147">
        <v>710734</v>
      </c>
      <c r="G147">
        <v>437819</v>
      </c>
      <c r="H147">
        <v>9219</v>
      </c>
      <c r="I147" t="str">
        <f t="shared" si="30"/>
        <v>4</v>
      </c>
      <c r="J147" t="str">
        <f t="shared" si="31"/>
        <v>VLAAMS BELANG</v>
      </c>
      <c r="K147">
        <v>22282</v>
      </c>
      <c r="L147">
        <v>44883</v>
      </c>
      <c r="M147">
        <v>67165</v>
      </c>
      <c r="N147">
        <v>3</v>
      </c>
      <c r="O147" t="str">
        <f>("16")</f>
        <v>16</v>
      </c>
      <c r="P147" t="str">
        <f>("Carrozzo Caterina")</f>
        <v>Carrozzo Caterina</v>
      </c>
      <c r="Q147">
        <v>2141</v>
      </c>
      <c r="S147">
        <v>14</v>
      </c>
    </row>
    <row r="148" spans="1:19" x14ac:dyDescent="0.3">
      <c r="A148" t="s">
        <v>0</v>
      </c>
      <c r="B148" s="1">
        <v>45578</v>
      </c>
      <c r="C148" t="str">
        <f t="shared" si="32"/>
        <v>11002</v>
      </c>
      <c r="D148" t="s">
        <v>2</v>
      </c>
      <c r="E148" t="str">
        <f t="shared" si="33"/>
        <v>20</v>
      </c>
      <c r="F148">
        <v>710734</v>
      </c>
      <c r="G148">
        <v>437819</v>
      </c>
      <c r="H148">
        <v>9219</v>
      </c>
      <c r="I148" t="str">
        <f t="shared" si="30"/>
        <v>4</v>
      </c>
      <c r="J148" t="str">
        <f t="shared" si="31"/>
        <v>VLAAMS BELANG</v>
      </c>
      <c r="K148">
        <v>22282</v>
      </c>
      <c r="L148">
        <v>44883</v>
      </c>
      <c r="M148">
        <v>67165</v>
      </c>
      <c r="N148">
        <v>3</v>
      </c>
      <c r="O148" t="str">
        <f>("17")</f>
        <v>17</v>
      </c>
      <c r="P148" t="str">
        <f>("Van Laethem Else")</f>
        <v>Van Laethem Else</v>
      </c>
      <c r="Q148">
        <v>2122</v>
      </c>
      <c r="S148">
        <v>15</v>
      </c>
    </row>
    <row r="149" spans="1:19" x14ac:dyDescent="0.3">
      <c r="A149" t="s">
        <v>0</v>
      </c>
      <c r="B149" s="1">
        <v>45578</v>
      </c>
      <c r="C149" t="str">
        <f t="shared" si="32"/>
        <v>11002</v>
      </c>
      <c r="D149" t="s">
        <v>2</v>
      </c>
      <c r="E149" t="str">
        <f t="shared" si="33"/>
        <v>20</v>
      </c>
      <c r="F149">
        <v>710734</v>
      </c>
      <c r="G149">
        <v>437819</v>
      </c>
      <c r="H149">
        <v>9219</v>
      </c>
      <c r="I149" t="str">
        <f t="shared" si="30"/>
        <v>4</v>
      </c>
      <c r="J149" t="str">
        <f t="shared" si="31"/>
        <v>VLAAMS BELANG</v>
      </c>
      <c r="K149">
        <v>22282</v>
      </c>
      <c r="L149">
        <v>44883</v>
      </c>
      <c r="M149">
        <v>67165</v>
      </c>
      <c r="N149">
        <v>3</v>
      </c>
      <c r="O149" t="str">
        <f>("18")</f>
        <v>18</v>
      </c>
      <c r="P149" t="str">
        <f>("De Winter Stefan")</f>
        <v>De Winter Stefan</v>
      </c>
      <c r="Q149">
        <v>3554</v>
      </c>
      <c r="S149">
        <v>6</v>
      </c>
    </row>
    <row r="150" spans="1:19" x14ac:dyDescent="0.3">
      <c r="A150" t="s">
        <v>0</v>
      </c>
      <c r="B150" s="1">
        <v>45578</v>
      </c>
      <c r="C150" t="str">
        <f t="shared" si="32"/>
        <v>11002</v>
      </c>
      <c r="D150" t="s">
        <v>2</v>
      </c>
      <c r="E150" t="str">
        <f t="shared" si="33"/>
        <v>20</v>
      </c>
      <c r="F150">
        <v>710734</v>
      </c>
      <c r="G150">
        <v>437819</v>
      </c>
      <c r="H150">
        <v>9219</v>
      </c>
      <c r="I150" t="str">
        <f t="shared" si="30"/>
        <v>4</v>
      </c>
      <c r="J150" t="str">
        <f t="shared" si="31"/>
        <v>VLAAMS BELANG</v>
      </c>
      <c r="K150">
        <v>22282</v>
      </c>
      <c r="L150">
        <v>44883</v>
      </c>
      <c r="M150">
        <v>67165</v>
      </c>
      <c r="N150">
        <v>3</v>
      </c>
      <c r="O150" t="str">
        <f>("19")</f>
        <v>19</v>
      </c>
      <c r="P150" t="str">
        <f>("Dillen Marijke")</f>
        <v>Dillen Marijke</v>
      </c>
      <c r="Q150">
        <v>4080</v>
      </c>
      <c r="S150">
        <v>1</v>
      </c>
    </row>
    <row r="151" spans="1:19" x14ac:dyDescent="0.3">
      <c r="A151" t="s">
        <v>0</v>
      </c>
      <c r="B151" s="1">
        <v>45578</v>
      </c>
      <c r="C151" t="str">
        <f t="shared" si="32"/>
        <v>11002</v>
      </c>
      <c r="D151" t="s">
        <v>2</v>
      </c>
      <c r="E151" t="str">
        <f t="shared" si="33"/>
        <v>20</v>
      </c>
      <c r="F151">
        <v>710734</v>
      </c>
      <c r="G151">
        <v>437819</v>
      </c>
      <c r="H151">
        <v>9219</v>
      </c>
      <c r="I151" t="str">
        <f t="shared" si="30"/>
        <v>4</v>
      </c>
      <c r="J151" t="str">
        <f t="shared" si="31"/>
        <v>VLAAMS BELANG</v>
      </c>
      <c r="K151">
        <v>22282</v>
      </c>
      <c r="L151">
        <v>44883</v>
      </c>
      <c r="M151">
        <v>67165</v>
      </c>
      <c r="N151">
        <v>3</v>
      </c>
      <c r="O151" t="str">
        <f>("20")</f>
        <v>20</v>
      </c>
      <c r="P151" t="str">
        <f>("Van Grieken Tom")</f>
        <v>Van Grieken Tom</v>
      </c>
      <c r="Q151">
        <v>27553</v>
      </c>
      <c r="R151">
        <v>1</v>
      </c>
    </row>
    <row r="152" spans="1:19" x14ac:dyDescent="0.3">
      <c r="A152" t="s">
        <v>0</v>
      </c>
      <c r="B152" s="1">
        <v>45578</v>
      </c>
      <c r="C152" t="str">
        <f t="shared" si="32"/>
        <v>11002</v>
      </c>
      <c r="D152" t="s">
        <v>2</v>
      </c>
      <c r="E152" t="str">
        <f t="shared" si="33"/>
        <v>20</v>
      </c>
      <c r="F152">
        <v>710734</v>
      </c>
      <c r="G152">
        <v>437819</v>
      </c>
      <c r="H152">
        <v>9219</v>
      </c>
      <c r="I152" t="str">
        <f t="shared" ref="I152:I171" si="34">("5")</f>
        <v>5</v>
      </c>
      <c r="J152" t="str">
        <f t="shared" ref="J152:J171" si="35">("N-VA")</f>
        <v>N-VA</v>
      </c>
      <c r="K152">
        <v>70042</v>
      </c>
      <c r="L152">
        <v>83128</v>
      </c>
      <c r="M152">
        <v>153170</v>
      </c>
      <c r="N152">
        <v>9</v>
      </c>
      <c r="O152" t="str">
        <f>("1")</f>
        <v>1</v>
      </c>
      <c r="P152" t="str">
        <f>("Lemmens Luk")</f>
        <v>Lemmens Luk</v>
      </c>
      <c r="Q152">
        <v>34773</v>
      </c>
      <c r="R152">
        <v>1</v>
      </c>
    </row>
    <row r="153" spans="1:19" x14ac:dyDescent="0.3">
      <c r="A153" t="s">
        <v>0</v>
      </c>
      <c r="B153" s="1">
        <v>45578</v>
      </c>
      <c r="C153" t="str">
        <f t="shared" si="32"/>
        <v>11002</v>
      </c>
      <c r="D153" t="s">
        <v>2</v>
      </c>
      <c r="E153" t="str">
        <f t="shared" si="33"/>
        <v>20</v>
      </c>
      <c r="F153">
        <v>710734</v>
      </c>
      <c r="G153">
        <v>437819</v>
      </c>
      <c r="H153">
        <v>9219</v>
      </c>
      <c r="I153" t="str">
        <f t="shared" si="34"/>
        <v>5</v>
      </c>
      <c r="J153" t="str">
        <f t="shared" si="35"/>
        <v>N-VA</v>
      </c>
      <c r="K153">
        <v>70042</v>
      </c>
      <c r="L153">
        <v>83128</v>
      </c>
      <c r="M153">
        <v>153170</v>
      </c>
      <c r="N153">
        <v>9</v>
      </c>
      <c r="O153" t="str">
        <f>("2")</f>
        <v>2</v>
      </c>
      <c r="P153" t="str">
        <f>("Demartelaere Sarah")</f>
        <v>Demartelaere Sarah</v>
      </c>
      <c r="Q153">
        <v>14588</v>
      </c>
      <c r="R153">
        <v>3</v>
      </c>
    </row>
    <row r="154" spans="1:19" x14ac:dyDescent="0.3">
      <c r="A154" t="s">
        <v>0</v>
      </c>
      <c r="B154" s="1">
        <v>45578</v>
      </c>
      <c r="C154" t="str">
        <f t="shared" si="32"/>
        <v>11002</v>
      </c>
      <c r="D154" t="s">
        <v>2</v>
      </c>
      <c r="E154" t="str">
        <f t="shared" si="33"/>
        <v>20</v>
      </c>
      <c r="F154">
        <v>710734</v>
      </c>
      <c r="G154">
        <v>437819</v>
      </c>
      <c r="H154">
        <v>9219</v>
      </c>
      <c r="I154" t="str">
        <f t="shared" si="34"/>
        <v>5</v>
      </c>
      <c r="J154" t="str">
        <f t="shared" si="35"/>
        <v>N-VA</v>
      </c>
      <c r="K154">
        <v>70042</v>
      </c>
      <c r="L154">
        <v>83128</v>
      </c>
      <c r="M154">
        <v>153170</v>
      </c>
      <c r="N154">
        <v>9</v>
      </c>
      <c r="O154" t="str">
        <f>("3")</f>
        <v>3</v>
      </c>
      <c r="P154" t="str">
        <f>("Bossuyt Kristof")</f>
        <v>Bossuyt Kristof</v>
      </c>
      <c r="Q154">
        <v>8184</v>
      </c>
      <c r="R154">
        <v>5</v>
      </c>
    </row>
    <row r="155" spans="1:19" x14ac:dyDescent="0.3">
      <c r="A155" t="s">
        <v>0</v>
      </c>
      <c r="B155" s="1">
        <v>45578</v>
      </c>
      <c r="C155" t="str">
        <f t="shared" si="32"/>
        <v>11002</v>
      </c>
      <c r="D155" t="s">
        <v>2</v>
      </c>
      <c r="E155" t="str">
        <f t="shared" si="33"/>
        <v>20</v>
      </c>
      <c r="F155">
        <v>710734</v>
      </c>
      <c r="G155">
        <v>437819</v>
      </c>
      <c r="H155">
        <v>9219</v>
      </c>
      <c r="I155" t="str">
        <f t="shared" si="34"/>
        <v>5</v>
      </c>
      <c r="J155" t="str">
        <f t="shared" si="35"/>
        <v>N-VA</v>
      </c>
      <c r="K155">
        <v>70042</v>
      </c>
      <c r="L155">
        <v>83128</v>
      </c>
      <c r="M155">
        <v>153170</v>
      </c>
      <c r="N155">
        <v>9</v>
      </c>
      <c r="O155" t="str">
        <f>("4")</f>
        <v>4</v>
      </c>
      <c r="P155" t="str">
        <f>("De Cleene Lenn")</f>
        <v>De Cleene Lenn</v>
      </c>
      <c r="Q155">
        <v>5159</v>
      </c>
      <c r="R155">
        <v>9</v>
      </c>
    </row>
    <row r="156" spans="1:19" x14ac:dyDescent="0.3">
      <c r="A156" t="s">
        <v>0</v>
      </c>
      <c r="B156" s="1">
        <v>45578</v>
      </c>
      <c r="C156" t="str">
        <f t="shared" si="32"/>
        <v>11002</v>
      </c>
      <c r="D156" t="s">
        <v>2</v>
      </c>
      <c r="E156" t="str">
        <f t="shared" si="33"/>
        <v>20</v>
      </c>
      <c r="F156">
        <v>710734</v>
      </c>
      <c r="G156">
        <v>437819</v>
      </c>
      <c r="H156">
        <v>9219</v>
      </c>
      <c r="I156" t="str">
        <f t="shared" si="34"/>
        <v>5</v>
      </c>
      <c r="J156" t="str">
        <f t="shared" si="35"/>
        <v>N-VA</v>
      </c>
      <c r="K156">
        <v>70042</v>
      </c>
      <c r="L156">
        <v>83128</v>
      </c>
      <c r="M156">
        <v>153170</v>
      </c>
      <c r="N156">
        <v>9</v>
      </c>
      <c r="O156" t="str">
        <f>("5")</f>
        <v>5</v>
      </c>
      <c r="P156" t="str">
        <f>("Krekels Kathleen")</f>
        <v>Krekels Kathleen</v>
      </c>
      <c r="Q156">
        <v>9892</v>
      </c>
      <c r="R156">
        <v>4</v>
      </c>
    </row>
    <row r="157" spans="1:19" x14ac:dyDescent="0.3">
      <c r="A157" t="s">
        <v>0</v>
      </c>
      <c r="B157" s="1">
        <v>45578</v>
      </c>
      <c r="C157" t="str">
        <f t="shared" si="32"/>
        <v>11002</v>
      </c>
      <c r="D157" t="s">
        <v>2</v>
      </c>
      <c r="E157" t="str">
        <f t="shared" si="33"/>
        <v>20</v>
      </c>
      <c r="F157">
        <v>710734</v>
      </c>
      <c r="G157">
        <v>437819</v>
      </c>
      <c r="H157">
        <v>9219</v>
      </c>
      <c r="I157" t="str">
        <f t="shared" si="34"/>
        <v>5</v>
      </c>
      <c r="J157" t="str">
        <f t="shared" si="35"/>
        <v>N-VA</v>
      </c>
      <c r="K157">
        <v>70042</v>
      </c>
      <c r="L157">
        <v>83128</v>
      </c>
      <c r="M157">
        <v>153170</v>
      </c>
      <c r="N157">
        <v>9</v>
      </c>
      <c r="O157" t="str">
        <f>("6")</f>
        <v>6</v>
      </c>
      <c r="P157" t="str">
        <f>("Baert Jeroen")</f>
        <v>Baert Jeroen</v>
      </c>
      <c r="Q157">
        <v>4713</v>
      </c>
      <c r="S157">
        <v>5</v>
      </c>
    </row>
    <row r="158" spans="1:19" x14ac:dyDescent="0.3">
      <c r="A158" t="s">
        <v>0</v>
      </c>
      <c r="B158" s="1">
        <v>45578</v>
      </c>
      <c r="C158" t="str">
        <f t="shared" si="32"/>
        <v>11002</v>
      </c>
      <c r="D158" t="s">
        <v>2</v>
      </c>
      <c r="E158" t="str">
        <f t="shared" si="33"/>
        <v>20</v>
      </c>
      <c r="F158">
        <v>710734</v>
      </c>
      <c r="G158">
        <v>437819</v>
      </c>
      <c r="H158">
        <v>9219</v>
      </c>
      <c r="I158" t="str">
        <f t="shared" si="34"/>
        <v>5</v>
      </c>
      <c r="J158" t="str">
        <f t="shared" si="35"/>
        <v>N-VA</v>
      </c>
      <c r="K158">
        <v>70042</v>
      </c>
      <c r="L158">
        <v>83128</v>
      </c>
      <c r="M158">
        <v>153170</v>
      </c>
      <c r="N158">
        <v>9</v>
      </c>
      <c r="O158" t="str">
        <f>("7")</f>
        <v>7</v>
      </c>
      <c r="P158" t="str">
        <f>("Gys Seppe")</f>
        <v>Gys Seppe</v>
      </c>
      <c r="Q158">
        <v>4564</v>
      </c>
      <c r="S158">
        <v>7</v>
      </c>
    </row>
    <row r="159" spans="1:19" x14ac:dyDescent="0.3">
      <c r="A159" t="s">
        <v>0</v>
      </c>
      <c r="B159" s="1">
        <v>45578</v>
      </c>
      <c r="C159" t="str">
        <f t="shared" si="32"/>
        <v>11002</v>
      </c>
      <c r="D159" t="s">
        <v>2</v>
      </c>
      <c r="E159" t="str">
        <f t="shared" si="33"/>
        <v>20</v>
      </c>
      <c r="F159">
        <v>710734</v>
      </c>
      <c r="G159">
        <v>437819</v>
      </c>
      <c r="H159">
        <v>9219</v>
      </c>
      <c r="I159" t="str">
        <f t="shared" si="34"/>
        <v>5</v>
      </c>
      <c r="J159" t="str">
        <f t="shared" si="35"/>
        <v>N-VA</v>
      </c>
      <c r="K159">
        <v>70042</v>
      </c>
      <c r="L159">
        <v>83128</v>
      </c>
      <c r="M159">
        <v>153170</v>
      </c>
      <c r="N159">
        <v>9</v>
      </c>
      <c r="O159" t="str">
        <f>("8")</f>
        <v>8</v>
      </c>
      <c r="P159" t="str">
        <f>("Jacques Ilse")</f>
        <v>Jacques Ilse</v>
      </c>
      <c r="Q159">
        <v>5050</v>
      </c>
      <c r="S159">
        <v>1</v>
      </c>
    </row>
    <row r="160" spans="1:19" x14ac:dyDescent="0.3">
      <c r="A160" t="s">
        <v>0</v>
      </c>
      <c r="B160" s="1">
        <v>45578</v>
      </c>
      <c r="C160" t="str">
        <f t="shared" si="32"/>
        <v>11002</v>
      </c>
      <c r="D160" t="s">
        <v>2</v>
      </c>
      <c r="E160" t="str">
        <f t="shared" si="33"/>
        <v>20</v>
      </c>
      <c r="F160">
        <v>710734</v>
      </c>
      <c r="G160">
        <v>437819</v>
      </c>
      <c r="H160">
        <v>9219</v>
      </c>
      <c r="I160" t="str">
        <f t="shared" si="34"/>
        <v>5</v>
      </c>
      <c r="J160" t="str">
        <f t="shared" si="35"/>
        <v>N-VA</v>
      </c>
      <c r="K160">
        <v>70042</v>
      </c>
      <c r="L160">
        <v>83128</v>
      </c>
      <c r="M160">
        <v>153170</v>
      </c>
      <c r="N160">
        <v>9</v>
      </c>
      <c r="O160" t="str">
        <f>("9")</f>
        <v>9</v>
      </c>
      <c r="P160" t="str">
        <f>("Palinckx Koen")</f>
        <v>Palinckx Koen</v>
      </c>
      <c r="Q160">
        <v>5809</v>
      </c>
      <c r="R160">
        <v>7</v>
      </c>
    </row>
    <row r="161" spans="1:19" x14ac:dyDescent="0.3">
      <c r="A161" t="s">
        <v>0</v>
      </c>
      <c r="B161" s="1">
        <v>45578</v>
      </c>
      <c r="C161" t="str">
        <f t="shared" si="32"/>
        <v>11002</v>
      </c>
      <c r="D161" t="s">
        <v>2</v>
      </c>
      <c r="E161" t="str">
        <f t="shared" si="33"/>
        <v>20</v>
      </c>
      <c r="F161">
        <v>710734</v>
      </c>
      <c r="G161">
        <v>437819</v>
      </c>
      <c r="H161">
        <v>9219</v>
      </c>
      <c r="I161" t="str">
        <f t="shared" si="34"/>
        <v>5</v>
      </c>
      <c r="J161" t="str">
        <f t="shared" si="35"/>
        <v>N-VA</v>
      </c>
      <c r="K161">
        <v>70042</v>
      </c>
      <c r="L161">
        <v>83128</v>
      </c>
      <c r="M161">
        <v>153170</v>
      </c>
      <c r="N161">
        <v>9</v>
      </c>
      <c r="O161" t="str">
        <f>("10")</f>
        <v>10</v>
      </c>
      <c r="P161" t="str">
        <f>("De Hert Vera")</f>
        <v>De Hert Vera</v>
      </c>
      <c r="Q161">
        <v>5699</v>
      </c>
      <c r="R161">
        <v>8</v>
      </c>
    </row>
    <row r="162" spans="1:19" x14ac:dyDescent="0.3">
      <c r="A162" t="s">
        <v>0</v>
      </c>
      <c r="B162" s="1">
        <v>45578</v>
      </c>
      <c r="C162" t="str">
        <f t="shared" si="32"/>
        <v>11002</v>
      </c>
      <c r="D162" t="s">
        <v>2</v>
      </c>
      <c r="E162" t="str">
        <f t="shared" si="33"/>
        <v>20</v>
      </c>
      <c r="F162">
        <v>710734</v>
      </c>
      <c r="G162">
        <v>437819</v>
      </c>
      <c r="H162">
        <v>9219</v>
      </c>
      <c r="I162" t="str">
        <f t="shared" si="34"/>
        <v>5</v>
      </c>
      <c r="J162" t="str">
        <f t="shared" si="35"/>
        <v>N-VA</v>
      </c>
      <c r="K162">
        <v>70042</v>
      </c>
      <c r="L162">
        <v>83128</v>
      </c>
      <c r="M162">
        <v>153170</v>
      </c>
      <c r="N162">
        <v>9</v>
      </c>
      <c r="O162" t="str">
        <f>("11")</f>
        <v>11</v>
      </c>
      <c r="P162" t="str">
        <f>("Gantman André")</f>
        <v>Gantman André</v>
      </c>
      <c r="Q162">
        <v>7244</v>
      </c>
      <c r="R162">
        <v>6</v>
      </c>
    </row>
    <row r="163" spans="1:19" x14ac:dyDescent="0.3">
      <c r="A163" t="s">
        <v>0</v>
      </c>
      <c r="B163" s="1">
        <v>45578</v>
      </c>
      <c r="C163" t="str">
        <f t="shared" si="32"/>
        <v>11002</v>
      </c>
      <c r="D163" t="s">
        <v>2</v>
      </c>
      <c r="E163" t="str">
        <f t="shared" si="33"/>
        <v>20</v>
      </c>
      <c r="F163">
        <v>710734</v>
      </c>
      <c r="G163">
        <v>437819</v>
      </c>
      <c r="H163">
        <v>9219</v>
      </c>
      <c r="I163" t="str">
        <f t="shared" si="34"/>
        <v>5</v>
      </c>
      <c r="J163" t="str">
        <f t="shared" si="35"/>
        <v>N-VA</v>
      </c>
      <c r="K163">
        <v>70042</v>
      </c>
      <c r="L163">
        <v>83128</v>
      </c>
      <c r="M163">
        <v>153170</v>
      </c>
      <c r="N163">
        <v>9</v>
      </c>
      <c r="O163" t="str">
        <f>("12")</f>
        <v>12</v>
      </c>
      <c r="P163" t="str">
        <f>("Devlies Els")</f>
        <v>Devlies Els</v>
      </c>
      <c r="Q163">
        <v>4864</v>
      </c>
      <c r="S163">
        <v>3</v>
      </c>
    </row>
    <row r="164" spans="1:19" x14ac:dyDescent="0.3">
      <c r="A164" t="s">
        <v>0</v>
      </c>
      <c r="B164" s="1">
        <v>45578</v>
      </c>
      <c r="C164" t="str">
        <f t="shared" si="32"/>
        <v>11002</v>
      </c>
      <c r="D164" t="s">
        <v>2</v>
      </c>
      <c r="E164" t="str">
        <f t="shared" si="33"/>
        <v>20</v>
      </c>
      <c r="F164">
        <v>710734</v>
      </c>
      <c r="G164">
        <v>437819</v>
      </c>
      <c r="H164">
        <v>9219</v>
      </c>
      <c r="I164" t="str">
        <f t="shared" si="34"/>
        <v>5</v>
      </c>
      <c r="J164" t="str">
        <f t="shared" si="35"/>
        <v>N-VA</v>
      </c>
      <c r="K164">
        <v>70042</v>
      </c>
      <c r="L164">
        <v>83128</v>
      </c>
      <c r="M164">
        <v>153170</v>
      </c>
      <c r="N164">
        <v>9</v>
      </c>
      <c r="O164" t="str">
        <f>("13")</f>
        <v>13</v>
      </c>
      <c r="P164" t="str">
        <f>("Vermoesen Eddy")</f>
        <v>Vermoesen Eddy</v>
      </c>
      <c r="Q164">
        <v>3869</v>
      </c>
      <c r="S164">
        <v>10</v>
      </c>
    </row>
    <row r="165" spans="1:19" x14ac:dyDescent="0.3">
      <c r="A165" t="s">
        <v>0</v>
      </c>
      <c r="B165" s="1">
        <v>45578</v>
      </c>
      <c r="C165" t="str">
        <f t="shared" si="32"/>
        <v>11002</v>
      </c>
      <c r="D165" t="s">
        <v>2</v>
      </c>
      <c r="E165" t="str">
        <f t="shared" si="33"/>
        <v>20</v>
      </c>
      <c r="F165">
        <v>710734</v>
      </c>
      <c r="G165">
        <v>437819</v>
      </c>
      <c r="H165">
        <v>9219</v>
      </c>
      <c r="I165" t="str">
        <f t="shared" si="34"/>
        <v>5</v>
      </c>
      <c r="J165" t="str">
        <f t="shared" si="35"/>
        <v>N-VA</v>
      </c>
      <c r="K165">
        <v>70042</v>
      </c>
      <c r="L165">
        <v>83128</v>
      </c>
      <c r="M165">
        <v>153170</v>
      </c>
      <c r="N165">
        <v>9</v>
      </c>
      <c r="O165" t="str">
        <f>("14")</f>
        <v>14</v>
      </c>
      <c r="P165" t="str">
        <f>("Bruyninckx Michaela")</f>
        <v>Bruyninckx Michaela</v>
      </c>
      <c r="Q165">
        <v>4172</v>
      </c>
      <c r="S165">
        <v>9</v>
      </c>
    </row>
    <row r="166" spans="1:19" x14ac:dyDescent="0.3">
      <c r="A166" t="s">
        <v>0</v>
      </c>
      <c r="B166" s="1">
        <v>45578</v>
      </c>
      <c r="C166" t="str">
        <f t="shared" si="32"/>
        <v>11002</v>
      </c>
      <c r="D166" t="s">
        <v>2</v>
      </c>
      <c r="E166" t="str">
        <f t="shared" si="33"/>
        <v>20</v>
      </c>
      <c r="F166">
        <v>710734</v>
      </c>
      <c r="G166">
        <v>437819</v>
      </c>
      <c r="H166">
        <v>9219</v>
      </c>
      <c r="I166" t="str">
        <f t="shared" si="34"/>
        <v>5</v>
      </c>
      <c r="J166" t="str">
        <f t="shared" si="35"/>
        <v>N-VA</v>
      </c>
      <c r="K166">
        <v>70042</v>
      </c>
      <c r="L166">
        <v>83128</v>
      </c>
      <c r="M166">
        <v>153170</v>
      </c>
      <c r="N166">
        <v>9</v>
      </c>
      <c r="O166" t="str">
        <f>("15")</f>
        <v>15</v>
      </c>
      <c r="P166" t="str">
        <f>("Leys Carine")</f>
        <v>Leys Carine</v>
      </c>
      <c r="Q166">
        <v>4441</v>
      </c>
      <c r="S166">
        <v>8</v>
      </c>
    </row>
    <row r="167" spans="1:19" x14ac:dyDescent="0.3">
      <c r="A167" t="s">
        <v>0</v>
      </c>
      <c r="B167" s="1">
        <v>45578</v>
      </c>
      <c r="C167" t="str">
        <f t="shared" si="32"/>
        <v>11002</v>
      </c>
      <c r="D167" t="s">
        <v>2</v>
      </c>
      <c r="E167" t="str">
        <f t="shared" si="33"/>
        <v>20</v>
      </c>
      <c r="F167">
        <v>710734</v>
      </c>
      <c r="G167">
        <v>437819</v>
      </c>
      <c r="H167">
        <v>9219</v>
      </c>
      <c r="I167" t="str">
        <f t="shared" si="34"/>
        <v>5</v>
      </c>
      <c r="J167" t="str">
        <f t="shared" si="35"/>
        <v>N-VA</v>
      </c>
      <c r="K167">
        <v>70042</v>
      </c>
      <c r="L167">
        <v>83128</v>
      </c>
      <c r="M167">
        <v>153170</v>
      </c>
      <c r="N167">
        <v>9</v>
      </c>
      <c r="O167" t="str">
        <f>("16")</f>
        <v>16</v>
      </c>
      <c r="P167" t="str">
        <f>("Lauryssen Sandra")</f>
        <v>Lauryssen Sandra</v>
      </c>
      <c r="Q167">
        <v>4751</v>
      </c>
      <c r="S167">
        <v>4</v>
      </c>
    </row>
    <row r="168" spans="1:19" x14ac:dyDescent="0.3">
      <c r="A168" t="s">
        <v>0</v>
      </c>
      <c r="B168" s="1">
        <v>45578</v>
      </c>
      <c r="C168" t="str">
        <f t="shared" ref="C168:C199" si="36">("11002")</f>
        <v>11002</v>
      </c>
      <c r="D168" t="s">
        <v>2</v>
      </c>
      <c r="E168" t="str">
        <f t="shared" ref="E168:E199" si="37">("20")</f>
        <v>20</v>
      </c>
      <c r="F168">
        <v>710734</v>
      </c>
      <c r="G168">
        <v>437819</v>
      </c>
      <c r="H168">
        <v>9219</v>
      </c>
      <c r="I168" t="str">
        <f t="shared" si="34"/>
        <v>5</v>
      </c>
      <c r="J168" t="str">
        <f t="shared" si="35"/>
        <v>N-VA</v>
      </c>
      <c r="K168">
        <v>70042</v>
      </c>
      <c r="L168">
        <v>83128</v>
      </c>
      <c r="M168">
        <v>153170</v>
      </c>
      <c r="N168">
        <v>9</v>
      </c>
      <c r="O168" t="str">
        <f>("17")</f>
        <v>17</v>
      </c>
      <c r="P168" t="str">
        <f>("Verbiest Karin")</f>
        <v>Verbiest Karin</v>
      </c>
      <c r="Q168">
        <v>4578</v>
      </c>
      <c r="S168">
        <v>6</v>
      </c>
    </row>
    <row r="169" spans="1:19" x14ac:dyDescent="0.3">
      <c r="A169" t="s">
        <v>0</v>
      </c>
      <c r="B169" s="1">
        <v>45578</v>
      </c>
      <c r="C169" t="str">
        <f t="shared" si="36"/>
        <v>11002</v>
      </c>
      <c r="D169" t="s">
        <v>2</v>
      </c>
      <c r="E169" t="str">
        <f t="shared" si="37"/>
        <v>20</v>
      </c>
      <c r="F169">
        <v>710734</v>
      </c>
      <c r="G169">
        <v>437819</v>
      </c>
      <c r="H169">
        <v>9219</v>
      </c>
      <c r="I169" t="str">
        <f t="shared" si="34"/>
        <v>5</v>
      </c>
      <c r="J169" t="str">
        <f t="shared" si="35"/>
        <v>N-VA</v>
      </c>
      <c r="K169">
        <v>70042</v>
      </c>
      <c r="L169">
        <v>83128</v>
      </c>
      <c r="M169">
        <v>153170</v>
      </c>
      <c r="N169">
        <v>9</v>
      </c>
      <c r="O169" t="str">
        <f>("18")</f>
        <v>18</v>
      </c>
      <c r="P169" t="str">
        <f>("Boumans Luna")</f>
        <v>Boumans Luna</v>
      </c>
      <c r="Q169">
        <v>4980</v>
      </c>
      <c r="S169">
        <v>2</v>
      </c>
    </row>
    <row r="170" spans="1:19" x14ac:dyDescent="0.3">
      <c r="A170" t="s">
        <v>0</v>
      </c>
      <c r="B170" s="1">
        <v>45578</v>
      </c>
      <c r="C170" t="str">
        <f t="shared" si="36"/>
        <v>11002</v>
      </c>
      <c r="D170" t="s">
        <v>2</v>
      </c>
      <c r="E170" t="str">
        <f t="shared" si="37"/>
        <v>20</v>
      </c>
      <c r="F170">
        <v>710734</v>
      </c>
      <c r="G170">
        <v>437819</v>
      </c>
      <c r="H170">
        <v>9219</v>
      </c>
      <c r="I170" t="str">
        <f t="shared" si="34"/>
        <v>5</v>
      </c>
      <c r="J170" t="str">
        <f t="shared" si="35"/>
        <v>N-VA</v>
      </c>
      <c r="K170">
        <v>70042</v>
      </c>
      <c r="L170">
        <v>83128</v>
      </c>
      <c r="M170">
        <v>153170</v>
      </c>
      <c r="N170">
        <v>9</v>
      </c>
      <c r="O170" t="str">
        <f>("19")</f>
        <v>19</v>
      </c>
      <c r="P170" t="str">
        <f>("Callens Erwin")</f>
        <v>Callens Erwin</v>
      </c>
      <c r="Q170">
        <v>3626</v>
      </c>
      <c r="S170">
        <v>11</v>
      </c>
    </row>
    <row r="171" spans="1:19" x14ac:dyDescent="0.3">
      <c r="A171" t="s">
        <v>0</v>
      </c>
      <c r="B171" s="1">
        <v>45578</v>
      </c>
      <c r="C171" t="str">
        <f t="shared" si="36"/>
        <v>11002</v>
      </c>
      <c r="D171" t="s">
        <v>2</v>
      </c>
      <c r="E171" t="str">
        <f t="shared" si="37"/>
        <v>20</v>
      </c>
      <c r="F171">
        <v>710734</v>
      </c>
      <c r="G171">
        <v>437819</v>
      </c>
      <c r="H171">
        <v>9219</v>
      </c>
      <c r="I171" t="str">
        <f t="shared" si="34"/>
        <v>5</v>
      </c>
      <c r="J171" t="str">
        <f t="shared" si="35"/>
        <v>N-VA</v>
      </c>
      <c r="K171">
        <v>70042</v>
      </c>
      <c r="L171">
        <v>83128</v>
      </c>
      <c r="M171">
        <v>153170</v>
      </c>
      <c r="N171">
        <v>9</v>
      </c>
      <c r="O171" t="str">
        <f>("20")</f>
        <v>20</v>
      </c>
      <c r="P171" t="str">
        <f>("Jambon Jan")</f>
        <v>Jambon Jan</v>
      </c>
      <c r="Q171">
        <v>28779</v>
      </c>
      <c r="R171">
        <v>2</v>
      </c>
    </row>
    <row r="172" spans="1:19" x14ac:dyDescent="0.3">
      <c r="A172" t="s">
        <v>0</v>
      </c>
      <c r="B172" s="1">
        <v>45578</v>
      </c>
      <c r="C172" t="str">
        <f t="shared" si="36"/>
        <v>11002</v>
      </c>
      <c r="D172" t="s">
        <v>2</v>
      </c>
      <c r="E172" t="str">
        <f t="shared" si="37"/>
        <v>20</v>
      </c>
      <c r="F172">
        <v>710734</v>
      </c>
      <c r="G172">
        <v>437819</v>
      </c>
      <c r="H172">
        <v>9219</v>
      </c>
      <c r="I172" t="str">
        <f t="shared" ref="I172:I191" si="38">("6")</f>
        <v>6</v>
      </c>
      <c r="J172" t="str">
        <f t="shared" ref="J172:J191" si="39">("Open Vld")</f>
        <v>Open Vld</v>
      </c>
      <c r="K172">
        <v>6670</v>
      </c>
      <c r="L172">
        <v>11980</v>
      </c>
      <c r="M172">
        <v>18650</v>
      </c>
      <c r="N172">
        <v>0</v>
      </c>
      <c r="O172" t="str">
        <f>("1")</f>
        <v>1</v>
      </c>
      <c r="P172" t="str">
        <f>("Helsen Koen")</f>
        <v>Helsen Koen</v>
      </c>
      <c r="Q172">
        <v>6098</v>
      </c>
    </row>
    <row r="173" spans="1:19" x14ac:dyDescent="0.3">
      <c r="A173" t="s">
        <v>0</v>
      </c>
      <c r="B173" s="1">
        <v>45578</v>
      </c>
      <c r="C173" t="str">
        <f t="shared" si="36"/>
        <v>11002</v>
      </c>
      <c r="D173" t="s">
        <v>2</v>
      </c>
      <c r="E173" t="str">
        <f t="shared" si="37"/>
        <v>20</v>
      </c>
      <c r="F173">
        <v>710734</v>
      </c>
      <c r="G173">
        <v>437819</v>
      </c>
      <c r="H173">
        <v>9219</v>
      </c>
      <c r="I173" t="str">
        <f t="shared" si="38"/>
        <v>6</v>
      </c>
      <c r="J173" t="str">
        <f t="shared" si="39"/>
        <v>Open Vld</v>
      </c>
      <c r="K173">
        <v>6670</v>
      </c>
      <c r="L173">
        <v>11980</v>
      </c>
      <c r="M173">
        <v>18650</v>
      </c>
      <c r="N173">
        <v>0</v>
      </c>
      <c r="O173" t="str">
        <f>("2")</f>
        <v>2</v>
      </c>
      <c r="P173" t="str">
        <f>("Bakelants Ann")</f>
        <v>Bakelants Ann</v>
      </c>
      <c r="Q173">
        <v>1781</v>
      </c>
    </row>
    <row r="174" spans="1:19" x14ac:dyDescent="0.3">
      <c r="A174" t="s">
        <v>0</v>
      </c>
      <c r="B174" s="1">
        <v>45578</v>
      </c>
      <c r="C174" t="str">
        <f t="shared" si="36"/>
        <v>11002</v>
      </c>
      <c r="D174" t="s">
        <v>2</v>
      </c>
      <c r="E174" t="str">
        <f t="shared" si="37"/>
        <v>20</v>
      </c>
      <c r="F174">
        <v>710734</v>
      </c>
      <c r="G174">
        <v>437819</v>
      </c>
      <c r="H174">
        <v>9219</v>
      </c>
      <c r="I174" t="str">
        <f t="shared" si="38"/>
        <v>6</v>
      </c>
      <c r="J174" t="str">
        <f t="shared" si="39"/>
        <v>Open Vld</v>
      </c>
      <c r="K174">
        <v>6670</v>
      </c>
      <c r="L174">
        <v>11980</v>
      </c>
      <c r="M174">
        <v>18650</v>
      </c>
      <c r="N174">
        <v>0</v>
      </c>
      <c r="O174" t="str">
        <f>("3")</f>
        <v>3</v>
      </c>
      <c r="P174" t="str">
        <f>("Jacops Greet")</f>
        <v>Jacops Greet</v>
      </c>
      <c r="Q174">
        <v>926</v>
      </c>
    </row>
    <row r="175" spans="1:19" x14ac:dyDescent="0.3">
      <c r="A175" t="s">
        <v>0</v>
      </c>
      <c r="B175" s="1">
        <v>45578</v>
      </c>
      <c r="C175" t="str">
        <f t="shared" si="36"/>
        <v>11002</v>
      </c>
      <c r="D175" t="s">
        <v>2</v>
      </c>
      <c r="E175" t="str">
        <f t="shared" si="37"/>
        <v>20</v>
      </c>
      <c r="F175">
        <v>710734</v>
      </c>
      <c r="G175">
        <v>437819</v>
      </c>
      <c r="H175">
        <v>9219</v>
      </c>
      <c r="I175" t="str">
        <f t="shared" si="38"/>
        <v>6</v>
      </c>
      <c r="J175" t="str">
        <f t="shared" si="39"/>
        <v>Open Vld</v>
      </c>
      <c r="K175">
        <v>6670</v>
      </c>
      <c r="L175">
        <v>11980</v>
      </c>
      <c r="M175">
        <v>18650</v>
      </c>
      <c r="N175">
        <v>0</v>
      </c>
      <c r="O175" t="str">
        <f>("4")</f>
        <v>4</v>
      </c>
      <c r="P175" t="str">
        <f>("Van Genechten Valérie")</f>
        <v>Van Genechten Valérie</v>
      </c>
      <c r="Q175">
        <v>1490</v>
      </c>
    </row>
    <row r="176" spans="1:19" x14ac:dyDescent="0.3">
      <c r="A176" t="s">
        <v>0</v>
      </c>
      <c r="B176" s="1">
        <v>45578</v>
      </c>
      <c r="C176" t="str">
        <f t="shared" si="36"/>
        <v>11002</v>
      </c>
      <c r="D176" t="s">
        <v>2</v>
      </c>
      <c r="E176" t="str">
        <f t="shared" si="37"/>
        <v>20</v>
      </c>
      <c r="F176">
        <v>710734</v>
      </c>
      <c r="G176">
        <v>437819</v>
      </c>
      <c r="H176">
        <v>9219</v>
      </c>
      <c r="I176" t="str">
        <f t="shared" si="38"/>
        <v>6</v>
      </c>
      <c r="J176" t="str">
        <f t="shared" si="39"/>
        <v>Open Vld</v>
      </c>
      <c r="K176">
        <v>6670</v>
      </c>
      <c r="L176">
        <v>11980</v>
      </c>
      <c r="M176">
        <v>18650</v>
      </c>
      <c r="N176">
        <v>0</v>
      </c>
      <c r="O176" t="str">
        <f>("5")</f>
        <v>5</v>
      </c>
      <c r="P176" t="str">
        <f>("Christiaens Tom")</f>
        <v>Christiaens Tom</v>
      </c>
      <c r="Q176">
        <v>566</v>
      </c>
    </row>
    <row r="177" spans="1:18" x14ac:dyDescent="0.3">
      <c r="A177" t="s">
        <v>0</v>
      </c>
      <c r="B177" s="1">
        <v>45578</v>
      </c>
      <c r="C177" t="str">
        <f t="shared" si="36"/>
        <v>11002</v>
      </c>
      <c r="D177" t="s">
        <v>2</v>
      </c>
      <c r="E177" t="str">
        <f t="shared" si="37"/>
        <v>20</v>
      </c>
      <c r="F177">
        <v>710734</v>
      </c>
      <c r="G177">
        <v>437819</v>
      </c>
      <c r="H177">
        <v>9219</v>
      </c>
      <c r="I177" t="str">
        <f t="shared" si="38"/>
        <v>6</v>
      </c>
      <c r="J177" t="str">
        <f t="shared" si="39"/>
        <v>Open Vld</v>
      </c>
      <c r="K177">
        <v>6670</v>
      </c>
      <c r="L177">
        <v>11980</v>
      </c>
      <c r="M177">
        <v>18650</v>
      </c>
      <c r="N177">
        <v>0</v>
      </c>
      <c r="O177" t="str">
        <f>("6")</f>
        <v>6</v>
      </c>
      <c r="P177" t="str">
        <f>("Donders Inge")</f>
        <v>Donders Inge</v>
      </c>
      <c r="Q177">
        <v>755</v>
      </c>
    </row>
    <row r="178" spans="1:18" x14ac:dyDescent="0.3">
      <c r="A178" t="s">
        <v>0</v>
      </c>
      <c r="B178" s="1">
        <v>45578</v>
      </c>
      <c r="C178" t="str">
        <f t="shared" si="36"/>
        <v>11002</v>
      </c>
      <c r="D178" t="s">
        <v>2</v>
      </c>
      <c r="E178" t="str">
        <f t="shared" si="37"/>
        <v>20</v>
      </c>
      <c r="F178">
        <v>710734</v>
      </c>
      <c r="G178">
        <v>437819</v>
      </c>
      <c r="H178">
        <v>9219</v>
      </c>
      <c r="I178" t="str">
        <f t="shared" si="38"/>
        <v>6</v>
      </c>
      <c r="J178" t="str">
        <f t="shared" si="39"/>
        <v>Open Vld</v>
      </c>
      <c r="K178">
        <v>6670</v>
      </c>
      <c r="L178">
        <v>11980</v>
      </c>
      <c r="M178">
        <v>18650</v>
      </c>
      <c r="N178">
        <v>0</v>
      </c>
      <c r="O178" t="str">
        <f>("7")</f>
        <v>7</v>
      </c>
      <c r="P178" t="str">
        <f>("Nulens Diego")</f>
        <v>Nulens Diego</v>
      </c>
      <c r="Q178">
        <v>472</v>
      </c>
    </row>
    <row r="179" spans="1:18" x14ac:dyDescent="0.3">
      <c r="A179" t="s">
        <v>0</v>
      </c>
      <c r="B179" s="1">
        <v>45578</v>
      </c>
      <c r="C179" t="str">
        <f t="shared" si="36"/>
        <v>11002</v>
      </c>
      <c r="D179" t="s">
        <v>2</v>
      </c>
      <c r="E179" t="str">
        <f t="shared" si="37"/>
        <v>20</v>
      </c>
      <c r="F179">
        <v>710734</v>
      </c>
      <c r="G179">
        <v>437819</v>
      </c>
      <c r="H179">
        <v>9219</v>
      </c>
      <c r="I179" t="str">
        <f t="shared" si="38"/>
        <v>6</v>
      </c>
      <c r="J179" t="str">
        <f t="shared" si="39"/>
        <v>Open Vld</v>
      </c>
      <c r="K179">
        <v>6670</v>
      </c>
      <c r="L179">
        <v>11980</v>
      </c>
      <c r="M179">
        <v>18650</v>
      </c>
      <c r="N179">
        <v>0</v>
      </c>
      <c r="O179" t="str">
        <f>("8")</f>
        <v>8</v>
      </c>
      <c r="P179" t="str">
        <f>("Van Oppens Sabine")</f>
        <v>Van Oppens Sabine</v>
      </c>
      <c r="Q179">
        <v>843</v>
      </c>
    </row>
    <row r="180" spans="1:18" x14ac:dyDescent="0.3">
      <c r="A180" t="s">
        <v>0</v>
      </c>
      <c r="B180" s="1">
        <v>45578</v>
      </c>
      <c r="C180" t="str">
        <f t="shared" si="36"/>
        <v>11002</v>
      </c>
      <c r="D180" t="s">
        <v>2</v>
      </c>
      <c r="E180" t="str">
        <f t="shared" si="37"/>
        <v>20</v>
      </c>
      <c r="F180">
        <v>710734</v>
      </c>
      <c r="G180">
        <v>437819</v>
      </c>
      <c r="H180">
        <v>9219</v>
      </c>
      <c r="I180" t="str">
        <f t="shared" si="38"/>
        <v>6</v>
      </c>
      <c r="J180" t="str">
        <f t="shared" si="39"/>
        <v>Open Vld</v>
      </c>
      <c r="K180">
        <v>6670</v>
      </c>
      <c r="L180">
        <v>11980</v>
      </c>
      <c r="M180">
        <v>18650</v>
      </c>
      <c r="N180">
        <v>0</v>
      </c>
      <c r="O180" t="str">
        <f>("9")</f>
        <v>9</v>
      </c>
      <c r="P180" t="str">
        <f>("Swerts Silvie")</f>
        <v>Swerts Silvie</v>
      </c>
      <c r="Q180">
        <v>694</v>
      </c>
    </row>
    <row r="181" spans="1:18" x14ac:dyDescent="0.3">
      <c r="A181" t="s">
        <v>0</v>
      </c>
      <c r="B181" s="1">
        <v>45578</v>
      </c>
      <c r="C181" t="str">
        <f t="shared" si="36"/>
        <v>11002</v>
      </c>
      <c r="D181" t="s">
        <v>2</v>
      </c>
      <c r="E181" t="str">
        <f t="shared" si="37"/>
        <v>20</v>
      </c>
      <c r="F181">
        <v>710734</v>
      </c>
      <c r="G181">
        <v>437819</v>
      </c>
      <c r="H181">
        <v>9219</v>
      </c>
      <c r="I181" t="str">
        <f t="shared" si="38"/>
        <v>6</v>
      </c>
      <c r="J181" t="str">
        <f t="shared" si="39"/>
        <v>Open Vld</v>
      </c>
      <c r="K181">
        <v>6670</v>
      </c>
      <c r="L181">
        <v>11980</v>
      </c>
      <c r="M181">
        <v>18650</v>
      </c>
      <c r="N181">
        <v>0</v>
      </c>
      <c r="O181" t="str">
        <f>("10")</f>
        <v>10</v>
      </c>
      <c r="P181" t="str">
        <f>("Bellinkx Marc")</f>
        <v>Bellinkx Marc</v>
      </c>
      <c r="Q181">
        <v>539</v>
      </c>
    </row>
    <row r="182" spans="1:18" x14ac:dyDescent="0.3">
      <c r="A182" t="s">
        <v>0</v>
      </c>
      <c r="B182" s="1">
        <v>45578</v>
      </c>
      <c r="C182" t="str">
        <f t="shared" si="36"/>
        <v>11002</v>
      </c>
      <c r="D182" t="s">
        <v>2</v>
      </c>
      <c r="E182" t="str">
        <f t="shared" si="37"/>
        <v>20</v>
      </c>
      <c r="F182">
        <v>710734</v>
      </c>
      <c r="G182">
        <v>437819</v>
      </c>
      <c r="H182">
        <v>9219</v>
      </c>
      <c r="I182" t="str">
        <f t="shared" si="38"/>
        <v>6</v>
      </c>
      <c r="J182" t="str">
        <f t="shared" si="39"/>
        <v>Open Vld</v>
      </c>
      <c r="K182">
        <v>6670</v>
      </c>
      <c r="L182">
        <v>11980</v>
      </c>
      <c r="M182">
        <v>18650</v>
      </c>
      <c r="N182">
        <v>0</v>
      </c>
      <c r="O182" t="str">
        <f>("11")</f>
        <v>11</v>
      </c>
      <c r="P182" t="str">
        <f>("Colson Carlos")</f>
        <v>Colson Carlos</v>
      </c>
      <c r="Q182">
        <v>482</v>
      </c>
    </row>
    <row r="183" spans="1:18" x14ac:dyDescent="0.3">
      <c r="A183" t="s">
        <v>0</v>
      </c>
      <c r="B183" s="1">
        <v>45578</v>
      </c>
      <c r="C183" t="str">
        <f t="shared" si="36"/>
        <v>11002</v>
      </c>
      <c r="D183" t="s">
        <v>2</v>
      </c>
      <c r="E183" t="str">
        <f t="shared" si="37"/>
        <v>20</v>
      </c>
      <c r="F183">
        <v>710734</v>
      </c>
      <c r="G183">
        <v>437819</v>
      </c>
      <c r="H183">
        <v>9219</v>
      </c>
      <c r="I183" t="str">
        <f t="shared" si="38"/>
        <v>6</v>
      </c>
      <c r="J183" t="str">
        <f t="shared" si="39"/>
        <v>Open Vld</v>
      </c>
      <c r="K183">
        <v>6670</v>
      </c>
      <c r="L183">
        <v>11980</v>
      </c>
      <c r="M183">
        <v>18650</v>
      </c>
      <c r="N183">
        <v>0</v>
      </c>
      <c r="O183" t="str">
        <f>("12")</f>
        <v>12</v>
      </c>
      <c r="P183" t="str">
        <f>("Van Ginneken Laurenz")</f>
        <v>Van Ginneken Laurenz</v>
      </c>
      <c r="Q183">
        <v>762</v>
      </c>
    </row>
    <row r="184" spans="1:18" x14ac:dyDescent="0.3">
      <c r="A184" t="s">
        <v>0</v>
      </c>
      <c r="B184" s="1">
        <v>45578</v>
      </c>
      <c r="C184" t="str">
        <f t="shared" si="36"/>
        <v>11002</v>
      </c>
      <c r="D184" t="s">
        <v>2</v>
      </c>
      <c r="E184" t="str">
        <f t="shared" si="37"/>
        <v>20</v>
      </c>
      <c r="F184">
        <v>710734</v>
      </c>
      <c r="G184">
        <v>437819</v>
      </c>
      <c r="H184">
        <v>9219</v>
      </c>
      <c r="I184" t="str">
        <f t="shared" si="38"/>
        <v>6</v>
      </c>
      <c r="J184" t="str">
        <f t="shared" si="39"/>
        <v>Open Vld</v>
      </c>
      <c r="K184">
        <v>6670</v>
      </c>
      <c r="L184">
        <v>11980</v>
      </c>
      <c r="M184">
        <v>18650</v>
      </c>
      <c r="N184">
        <v>0</v>
      </c>
      <c r="O184" t="str">
        <f>("13")</f>
        <v>13</v>
      </c>
      <c r="P184" t="str">
        <f>("Pelgrims Gerrit")</f>
        <v>Pelgrims Gerrit</v>
      </c>
      <c r="Q184">
        <v>374</v>
      </c>
    </row>
    <row r="185" spans="1:18" x14ac:dyDescent="0.3">
      <c r="A185" t="s">
        <v>0</v>
      </c>
      <c r="B185" s="1">
        <v>45578</v>
      </c>
      <c r="C185" t="str">
        <f t="shared" si="36"/>
        <v>11002</v>
      </c>
      <c r="D185" t="s">
        <v>2</v>
      </c>
      <c r="E185" t="str">
        <f t="shared" si="37"/>
        <v>20</v>
      </c>
      <c r="F185">
        <v>710734</v>
      </c>
      <c r="G185">
        <v>437819</v>
      </c>
      <c r="H185">
        <v>9219</v>
      </c>
      <c r="I185" t="str">
        <f t="shared" si="38"/>
        <v>6</v>
      </c>
      <c r="J185" t="str">
        <f t="shared" si="39"/>
        <v>Open Vld</v>
      </c>
      <c r="K185">
        <v>6670</v>
      </c>
      <c r="L185">
        <v>11980</v>
      </c>
      <c r="M185">
        <v>18650</v>
      </c>
      <c r="N185">
        <v>0</v>
      </c>
      <c r="O185" t="str">
        <f>("14")</f>
        <v>14</v>
      </c>
      <c r="P185" t="str">
        <f>("De Keyzer Eva-Lotta")</f>
        <v>De Keyzer Eva-Lotta</v>
      </c>
      <c r="Q185">
        <v>669</v>
      </c>
    </row>
    <row r="186" spans="1:18" x14ac:dyDescent="0.3">
      <c r="A186" t="s">
        <v>0</v>
      </c>
      <c r="B186" s="1">
        <v>45578</v>
      </c>
      <c r="C186" t="str">
        <f t="shared" si="36"/>
        <v>11002</v>
      </c>
      <c r="D186" t="s">
        <v>2</v>
      </c>
      <c r="E186" t="str">
        <f t="shared" si="37"/>
        <v>20</v>
      </c>
      <c r="F186">
        <v>710734</v>
      </c>
      <c r="G186">
        <v>437819</v>
      </c>
      <c r="H186">
        <v>9219</v>
      </c>
      <c r="I186" t="str">
        <f t="shared" si="38"/>
        <v>6</v>
      </c>
      <c r="J186" t="str">
        <f t="shared" si="39"/>
        <v>Open Vld</v>
      </c>
      <c r="K186">
        <v>6670</v>
      </c>
      <c r="L186">
        <v>11980</v>
      </c>
      <c r="M186">
        <v>18650</v>
      </c>
      <c r="N186">
        <v>0</v>
      </c>
      <c r="O186" t="str">
        <f>("15")</f>
        <v>15</v>
      </c>
      <c r="P186" t="str">
        <f>("Janssens Bieke")</f>
        <v>Janssens Bieke</v>
      </c>
      <c r="Q186">
        <v>884</v>
      </c>
    </row>
    <row r="187" spans="1:18" x14ac:dyDescent="0.3">
      <c r="A187" t="s">
        <v>0</v>
      </c>
      <c r="B187" s="1">
        <v>45578</v>
      </c>
      <c r="C187" t="str">
        <f t="shared" si="36"/>
        <v>11002</v>
      </c>
      <c r="D187" t="s">
        <v>2</v>
      </c>
      <c r="E187" t="str">
        <f t="shared" si="37"/>
        <v>20</v>
      </c>
      <c r="F187">
        <v>710734</v>
      </c>
      <c r="G187">
        <v>437819</v>
      </c>
      <c r="H187">
        <v>9219</v>
      </c>
      <c r="I187" t="str">
        <f t="shared" si="38"/>
        <v>6</v>
      </c>
      <c r="J187" t="str">
        <f t="shared" si="39"/>
        <v>Open Vld</v>
      </c>
      <c r="K187">
        <v>6670</v>
      </c>
      <c r="L187">
        <v>11980</v>
      </c>
      <c r="M187">
        <v>18650</v>
      </c>
      <c r="N187">
        <v>0</v>
      </c>
      <c r="O187" t="str">
        <f>("16")</f>
        <v>16</v>
      </c>
      <c r="P187" t="str">
        <f>("Bockstal Sandra")</f>
        <v>Bockstal Sandra</v>
      </c>
      <c r="Q187">
        <v>646</v>
      </c>
    </row>
    <row r="188" spans="1:18" x14ac:dyDescent="0.3">
      <c r="A188" t="s">
        <v>0</v>
      </c>
      <c r="B188" s="1">
        <v>45578</v>
      </c>
      <c r="C188" t="str">
        <f t="shared" si="36"/>
        <v>11002</v>
      </c>
      <c r="D188" t="s">
        <v>2</v>
      </c>
      <c r="E188" t="str">
        <f t="shared" si="37"/>
        <v>20</v>
      </c>
      <c r="F188">
        <v>710734</v>
      </c>
      <c r="G188">
        <v>437819</v>
      </c>
      <c r="H188">
        <v>9219</v>
      </c>
      <c r="I188" t="str">
        <f t="shared" si="38"/>
        <v>6</v>
      </c>
      <c r="J188" t="str">
        <f t="shared" si="39"/>
        <v>Open Vld</v>
      </c>
      <c r="K188">
        <v>6670</v>
      </c>
      <c r="L188">
        <v>11980</v>
      </c>
      <c r="M188">
        <v>18650</v>
      </c>
      <c r="N188">
        <v>0</v>
      </c>
      <c r="O188" t="str">
        <f>("17")</f>
        <v>17</v>
      </c>
      <c r="P188" t="str">
        <f>("Vis Philippe")</f>
        <v>Vis Philippe</v>
      </c>
      <c r="Q188">
        <v>476</v>
      </c>
    </row>
    <row r="189" spans="1:18" x14ac:dyDescent="0.3">
      <c r="A189" t="s">
        <v>0</v>
      </c>
      <c r="B189" s="1">
        <v>45578</v>
      </c>
      <c r="C189" t="str">
        <f t="shared" si="36"/>
        <v>11002</v>
      </c>
      <c r="D189" t="s">
        <v>2</v>
      </c>
      <c r="E189" t="str">
        <f t="shared" si="37"/>
        <v>20</v>
      </c>
      <c r="F189">
        <v>710734</v>
      </c>
      <c r="G189">
        <v>437819</v>
      </c>
      <c r="H189">
        <v>9219</v>
      </c>
      <c r="I189" t="str">
        <f t="shared" si="38"/>
        <v>6</v>
      </c>
      <c r="J189" t="str">
        <f t="shared" si="39"/>
        <v>Open Vld</v>
      </c>
      <c r="K189">
        <v>6670</v>
      </c>
      <c r="L189">
        <v>11980</v>
      </c>
      <c r="M189">
        <v>18650</v>
      </c>
      <c r="N189">
        <v>0</v>
      </c>
      <c r="O189" t="str">
        <f>("18")</f>
        <v>18</v>
      </c>
      <c r="P189" t="str">
        <f>("Borginon Fons")</f>
        <v>Borginon Fons</v>
      </c>
      <c r="Q189">
        <v>613</v>
      </c>
    </row>
    <row r="190" spans="1:18" x14ac:dyDescent="0.3">
      <c r="A190" t="s">
        <v>0</v>
      </c>
      <c r="B190" s="1">
        <v>45578</v>
      </c>
      <c r="C190" t="str">
        <f t="shared" si="36"/>
        <v>11002</v>
      </c>
      <c r="D190" t="s">
        <v>2</v>
      </c>
      <c r="E190" t="str">
        <f t="shared" si="37"/>
        <v>20</v>
      </c>
      <c r="F190">
        <v>710734</v>
      </c>
      <c r="G190">
        <v>437819</v>
      </c>
      <c r="H190">
        <v>9219</v>
      </c>
      <c r="I190" t="str">
        <f t="shared" si="38"/>
        <v>6</v>
      </c>
      <c r="J190" t="str">
        <f t="shared" si="39"/>
        <v>Open Vld</v>
      </c>
      <c r="K190">
        <v>6670</v>
      </c>
      <c r="L190">
        <v>11980</v>
      </c>
      <c r="M190">
        <v>18650</v>
      </c>
      <c r="N190">
        <v>0</v>
      </c>
      <c r="O190" t="str">
        <f>("19")</f>
        <v>19</v>
      </c>
      <c r="P190" t="str">
        <f>("Heremans Karin")</f>
        <v>Heremans Karin</v>
      </c>
      <c r="Q190">
        <v>1098</v>
      </c>
    </row>
    <row r="191" spans="1:18" x14ac:dyDescent="0.3">
      <c r="A191" t="s">
        <v>0</v>
      </c>
      <c r="B191" s="1">
        <v>45578</v>
      </c>
      <c r="C191" t="str">
        <f t="shared" si="36"/>
        <v>11002</v>
      </c>
      <c r="D191" t="s">
        <v>2</v>
      </c>
      <c r="E191" t="str">
        <f t="shared" si="37"/>
        <v>20</v>
      </c>
      <c r="F191">
        <v>710734</v>
      </c>
      <c r="G191">
        <v>437819</v>
      </c>
      <c r="H191">
        <v>9219</v>
      </c>
      <c r="I191" t="str">
        <f t="shared" si="38"/>
        <v>6</v>
      </c>
      <c r="J191" t="str">
        <f t="shared" si="39"/>
        <v>Open Vld</v>
      </c>
      <c r="K191">
        <v>6670</v>
      </c>
      <c r="L191">
        <v>11980</v>
      </c>
      <c r="M191">
        <v>18650</v>
      </c>
      <c r="N191">
        <v>0</v>
      </c>
      <c r="O191" t="str">
        <f>("20")</f>
        <v>20</v>
      </c>
      <c r="P191" t="str">
        <f>("Van Tigchelt Paul")</f>
        <v>Van Tigchelt Paul</v>
      </c>
      <c r="Q191">
        <v>3842</v>
      </c>
    </row>
    <row r="192" spans="1:18" x14ac:dyDescent="0.3">
      <c r="A192" t="s">
        <v>0</v>
      </c>
      <c r="B192" s="1">
        <v>45578</v>
      </c>
      <c r="C192" t="str">
        <f t="shared" si="36"/>
        <v>11002</v>
      </c>
      <c r="D192" t="s">
        <v>2</v>
      </c>
      <c r="E192" t="str">
        <f t="shared" si="37"/>
        <v>20</v>
      </c>
      <c r="F192">
        <v>710734</v>
      </c>
      <c r="G192">
        <v>437819</v>
      </c>
      <c r="H192">
        <v>9219</v>
      </c>
      <c r="I192" t="str">
        <f t="shared" ref="I192:I211" si="40">("7")</f>
        <v>7</v>
      </c>
      <c r="J192" t="str">
        <f t="shared" ref="J192:J211" si="41">("GROEN")</f>
        <v>GROEN</v>
      </c>
      <c r="K192">
        <v>24815</v>
      </c>
      <c r="L192">
        <v>24218</v>
      </c>
      <c r="M192">
        <v>49033</v>
      </c>
      <c r="N192">
        <v>2</v>
      </c>
      <c r="O192" t="str">
        <f>("1")</f>
        <v>1</v>
      </c>
      <c r="P192" t="str">
        <f>("van Dienderen Ilse")</f>
        <v>van Dienderen Ilse</v>
      </c>
      <c r="Q192">
        <v>14458</v>
      </c>
      <c r="R192">
        <v>1</v>
      </c>
    </row>
    <row r="193" spans="1:19" x14ac:dyDescent="0.3">
      <c r="A193" t="s">
        <v>0</v>
      </c>
      <c r="B193" s="1">
        <v>45578</v>
      </c>
      <c r="C193" t="str">
        <f t="shared" si="36"/>
        <v>11002</v>
      </c>
      <c r="D193" t="s">
        <v>2</v>
      </c>
      <c r="E193" t="str">
        <f t="shared" si="37"/>
        <v>20</v>
      </c>
      <c r="F193">
        <v>710734</v>
      </c>
      <c r="G193">
        <v>437819</v>
      </c>
      <c r="H193">
        <v>9219</v>
      </c>
      <c r="I193" t="str">
        <f t="shared" si="40"/>
        <v>7</v>
      </c>
      <c r="J193" t="str">
        <f t="shared" si="41"/>
        <v>GROEN</v>
      </c>
      <c r="K193">
        <v>24815</v>
      </c>
      <c r="L193">
        <v>24218</v>
      </c>
      <c r="M193">
        <v>49033</v>
      </c>
      <c r="N193">
        <v>2</v>
      </c>
      <c r="O193" t="str">
        <f>("2")</f>
        <v>2</v>
      </c>
      <c r="P193" t="str">
        <f>("Van Ransbeeck Brend")</f>
        <v>Van Ransbeeck Brend</v>
      </c>
      <c r="Q193">
        <v>3036</v>
      </c>
      <c r="S193">
        <v>10</v>
      </c>
    </row>
    <row r="194" spans="1:19" x14ac:dyDescent="0.3">
      <c r="A194" t="s">
        <v>0</v>
      </c>
      <c r="B194" s="1">
        <v>45578</v>
      </c>
      <c r="C194" t="str">
        <f t="shared" si="36"/>
        <v>11002</v>
      </c>
      <c r="D194" t="s">
        <v>2</v>
      </c>
      <c r="E194" t="str">
        <f t="shared" si="37"/>
        <v>20</v>
      </c>
      <c r="F194">
        <v>710734</v>
      </c>
      <c r="G194">
        <v>437819</v>
      </c>
      <c r="H194">
        <v>9219</v>
      </c>
      <c r="I194" t="str">
        <f t="shared" si="40"/>
        <v>7</v>
      </c>
      <c r="J194" t="str">
        <f t="shared" si="41"/>
        <v>GROEN</v>
      </c>
      <c r="K194">
        <v>24815</v>
      </c>
      <c r="L194">
        <v>24218</v>
      </c>
      <c r="M194">
        <v>49033</v>
      </c>
      <c r="N194">
        <v>2</v>
      </c>
      <c r="O194" t="str">
        <f>("3")</f>
        <v>3</v>
      </c>
      <c r="P194" t="str">
        <f>("Van den bergh Haike")</f>
        <v>Van den bergh Haike</v>
      </c>
      <c r="Q194">
        <v>4770</v>
      </c>
      <c r="S194">
        <v>1</v>
      </c>
    </row>
    <row r="195" spans="1:19" x14ac:dyDescent="0.3">
      <c r="A195" t="s">
        <v>0</v>
      </c>
      <c r="B195" s="1">
        <v>45578</v>
      </c>
      <c r="C195" t="str">
        <f t="shared" si="36"/>
        <v>11002</v>
      </c>
      <c r="D195" t="s">
        <v>2</v>
      </c>
      <c r="E195" t="str">
        <f t="shared" si="37"/>
        <v>20</v>
      </c>
      <c r="F195">
        <v>710734</v>
      </c>
      <c r="G195">
        <v>437819</v>
      </c>
      <c r="H195">
        <v>9219</v>
      </c>
      <c r="I195" t="str">
        <f t="shared" si="40"/>
        <v>7</v>
      </c>
      <c r="J195" t="str">
        <f t="shared" si="41"/>
        <v>GROEN</v>
      </c>
      <c r="K195">
        <v>24815</v>
      </c>
      <c r="L195">
        <v>24218</v>
      </c>
      <c r="M195">
        <v>49033</v>
      </c>
      <c r="N195">
        <v>2</v>
      </c>
      <c r="O195" t="str">
        <f>("4")</f>
        <v>4</v>
      </c>
      <c r="P195" t="str">
        <f>("El Ghamri Abdeslam")</f>
        <v>El Ghamri Abdeslam</v>
      </c>
      <c r="Q195">
        <v>3383</v>
      </c>
      <c r="S195">
        <v>8</v>
      </c>
    </row>
    <row r="196" spans="1:19" x14ac:dyDescent="0.3">
      <c r="A196" t="s">
        <v>0</v>
      </c>
      <c r="B196" s="1">
        <v>45578</v>
      </c>
      <c r="C196" t="str">
        <f t="shared" si="36"/>
        <v>11002</v>
      </c>
      <c r="D196" t="s">
        <v>2</v>
      </c>
      <c r="E196" t="str">
        <f t="shared" si="37"/>
        <v>20</v>
      </c>
      <c r="F196">
        <v>710734</v>
      </c>
      <c r="G196">
        <v>437819</v>
      </c>
      <c r="H196">
        <v>9219</v>
      </c>
      <c r="I196" t="str">
        <f t="shared" si="40"/>
        <v>7</v>
      </c>
      <c r="J196" t="str">
        <f t="shared" si="41"/>
        <v>GROEN</v>
      </c>
      <c r="K196">
        <v>24815</v>
      </c>
      <c r="L196">
        <v>24218</v>
      </c>
      <c r="M196">
        <v>49033</v>
      </c>
      <c r="N196">
        <v>2</v>
      </c>
      <c r="O196" t="str">
        <f>("5")</f>
        <v>5</v>
      </c>
      <c r="P196" t="str">
        <f>("Rosiers Nel")</f>
        <v>Rosiers Nel</v>
      </c>
      <c r="Q196">
        <v>3703</v>
      </c>
      <c r="S196">
        <v>5</v>
      </c>
    </row>
    <row r="197" spans="1:19" x14ac:dyDescent="0.3">
      <c r="A197" t="s">
        <v>0</v>
      </c>
      <c r="B197" s="1">
        <v>45578</v>
      </c>
      <c r="C197" t="str">
        <f t="shared" si="36"/>
        <v>11002</v>
      </c>
      <c r="D197" t="s">
        <v>2</v>
      </c>
      <c r="E197" t="str">
        <f t="shared" si="37"/>
        <v>20</v>
      </c>
      <c r="F197">
        <v>710734</v>
      </c>
      <c r="G197">
        <v>437819</v>
      </c>
      <c r="H197">
        <v>9219</v>
      </c>
      <c r="I197" t="str">
        <f t="shared" si="40"/>
        <v>7</v>
      </c>
      <c r="J197" t="str">
        <f t="shared" si="41"/>
        <v>GROEN</v>
      </c>
      <c r="K197">
        <v>24815</v>
      </c>
      <c r="L197">
        <v>24218</v>
      </c>
      <c r="M197">
        <v>49033</v>
      </c>
      <c r="N197">
        <v>2</v>
      </c>
      <c r="O197" t="str">
        <f>("6")</f>
        <v>6</v>
      </c>
      <c r="P197" t="str">
        <f>("Vissers Pieter")</f>
        <v>Vissers Pieter</v>
      </c>
      <c r="Q197">
        <v>2444</v>
      </c>
      <c r="S197">
        <v>12</v>
      </c>
    </row>
    <row r="198" spans="1:19" x14ac:dyDescent="0.3">
      <c r="A198" t="s">
        <v>0</v>
      </c>
      <c r="B198" s="1">
        <v>45578</v>
      </c>
      <c r="C198" t="str">
        <f t="shared" si="36"/>
        <v>11002</v>
      </c>
      <c r="D198" t="s">
        <v>2</v>
      </c>
      <c r="E198" t="str">
        <f t="shared" si="37"/>
        <v>20</v>
      </c>
      <c r="F198">
        <v>710734</v>
      </c>
      <c r="G198">
        <v>437819</v>
      </c>
      <c r="H198">
        <v>9219</v>
      </c>
      <c r="I198" t="str">
        <f t="shared" si="40"/>
        <v>7</v>
      </c>
      <c r="J198" t="str">
        <f t="shared" si="41"/>
        <v>GROEN</v>
      </c>
      <c r="K198">
        <v>24815</v>
      </c>
      <c r="L198">
        <v>24218</v>
      </c>
      <c r="M198">
        <v>49033</v>
      </c>
      <c r="N198">
        <v>2</v>
      </c>
      <c r="O198" t="str">
        <f>("7")</f>
        <v>7</v>
      </c>
      <c r="P198" t="str">
        <f>("Van Hoffelen Karin")</f>
        <v>Van Hoffelen Karin</v>
      </c>
      <c r="Q198">
        <v>3713</v>
      </c>
      <c r="S198">
        <v>4</v>
      </c>
    </row>
    <row r="199" spans="1:19" x14ac:dyDescent="0.3">
      <c r="A199" t="s">
        <v>0</v>
      </c>
      <c r="B199" s="1">
        <v>45578</v>
      </c>
      <c r="C199" t="str">
        <f t="shared" si="36"/>
        <v>11002</v>
      </c>
      <c r="D199" t="s">
        <v>2</v>
      </c>
      <c r="E199" t="str">
        <f t="shared" si="37"/>
        <v>20</v>
      </c>
      <c r="F199">
        <v>710734</v>
      </c>
      <c r="G199">
        <v>437819</v>
      </c>
      <c r="H199">
        <v>9219</v>
      </c>
      <c r="I199" t="str">
        <f t="shared" si="40"/>
        <v>7</v>
      </c>
      <c r="J199" t="str">
        <f t="shared" si="41"/>
        <v>GROEN</v>
      </c>
      <c r="K199">
        <v>24815</v>
      </c>
      <c r="L199">
        <v>24218</v>
      </c>
      <c r="M199">
        <v>49033</v>
      </c>
      <c r="N199">
        <v>2</v>
      </c>
      <c r="O199" t="str">
        <f>("8")</f>
        <v>8</v>
      </c>
      <c r="P199" t="str">
        <f>("Nawabi Hakim")</f>
        <v>Nawabi Hakim</v>
      </c>
      <c r="Q199">
        <v>2731</v>
      </c>
      <c r="S199">
        <v>11</v>
      </c>
    </row>
    <row r="200" spans="1:19" x14ac:dyDescent="0.3">
      <c r="A200" t="s">
        <v>0</v>
      </c>
      <c r="B200" s="1">
        <v>45578</v>
      </c>
      <c r="C200" t="str">
        <f t="shared" ref="C200:C231" si="42">("11002")</f>
        <v>11002</v>
      </c>
      <c r="D200" t="s">
        <v>2</v>
      </c>
      <c r="E200" t="str">
        <f t="shared" ref="E200:E231" si="43">("20")</f>
        <v>20</v>
      </c>
      <c r="F200">
        <v>710734</v>
      </c>
      <c r="G200">
        <v>437819</v>
      </c>
      <c r="H200">
        <v>9219</v>
      </c>
      <c r="I200" t="str">
        <f t="shared" si="40"/>
        <v>7</v>
      </c>
      <c r="J200" t="str">
        <f t="shared" si="41"/>
        <v>GROEN</v>
      </c>
      <c r="K200">
        <v>24815</v>
      </c>
      <c r="L200">
        <v>24218</v>
      </c>
      <c r="M200">
        <v>49033</v>
      </c>
      <c r="N200">
        <v>2</v>
      </c>
      <c r="O200" t="str">
        <f>("9")</f>
        <v>9</v>
      </c>
      <c r="P200" t="str">
        <f>("Nauwelaert Marjan")</f>
        <v>Nauwelaert Marjan</v>
      </c>
      <c r="Q200">
        <v>3900</v>
      </c>
      <c r="S200">
        <v>3</v>
      </c>
    </row>
    <row r="201" spans="1:19" x14ac:dyDescent="0.3">
      <c r="A201" t="s">
        <v>0</v>
      </c>
      <c r="B201" s="1">
        <v>45578</v>
      </c>
      <c r="C201" t="str">
        <f t="shared" si="42"/>
        <v>11002</v>
      </c>
      <c r="D201" t="s">
        <v>2</v>
      </c>
      <c r="E201" t="str">
        <f t="shared" si="43"/>
        <v>20</v>
      </c>
      <c r="F201">
        <v>710734</v>
      </c>
      <c r="G201">
        <v>437819</v>
      </c>
      <c r="H201">
        <v>9219</v>
      </c>
      <c r="I201" t="str">
        <f t="shared" si="40"/>
        <v>7</v>
      </c>
      <c r="J201" t="str">
        <f t="shared" si="41"/>
        <v>GROEN</v>
      </c>
      <c r="K201">
        <v>24815</v>
      </c>
      <c r="L201">
        <v>24218</v>
      </c>
      <c r="M201">
        <v>49033</v>
      </c>
      <c r="N201">
        <v>2</v>
      </c>
      <c r="O201" t="str">
        <f>("10")</f>
        <v>10</v>
      </c>
      <c r="P201" t="str">
        <f>("Lauwers Stef")</f>
        <v>Lauwers Stef</v>
      </c>
      <c r="Q201">
        <v>2047</v>
      </c>
      <c r="S201">
        <v>15</v>
      </c>
    </row>
    <row r="202" spans="1:19" x14ac:dyDescent="0.3">
      <c r="A202" t="s">
        <v>0</v>
      </c>
      <c r="B202" s="1">
        <v>45578</v>
      </c>
      <c r="C202" t="str">
        <f t="shared" si="42"/>
        <v>11002</v>
      </c>
      <c r="D202" t="s">
        <v>2</v>
      </c>
      <c r="E202" t="str">
        <f t="shared" si="43"/>
        <v>20</v>
      </c>
      <c r="F202">
        <v>710734</v>
      </c>
      <c r="G202">
        <v>437819</v>
      </c>
      <c r="H202">
        <v>9219</v>
      </c>
      <c r="I202" t="str">
        <f t="shared" si="40"/>
        <v>7</v>
      </c>
      <c r="J202" t="str">
        <f t="shared" si="41"/>
        <v>GROEN</v>
      </c>
      <c r="K202">
        <v>24815</v>
      </c>
      <c r="L202">
        <v>24218</v>
      </c>
      <c r="M202">
        <v>49033</v>
      </c>
      <c r="N202">
        <v>2</v>
      </c>
      <c r="O202" t="str">
        <f>("11")</f>
        <v>11</v>
      </c>
      <c r="P202" t="str">
        <f>("Hoeymans Helga")</f>
        <v>Hoeymans Helga</v>
      </c>
      <c r="Q202">
        <v>3475</v>
      </c>
      <c r="S202">
        <v>7</v>
      </c>
    </row>
    <row r="203" spans="1:19" x14ac:dyDescent="0.3">
      <c r="A203" t="s">
        <v>0</v>
      </c>
      <c r="B203" s="1">
        <v>45578</v>
      </c>
      <c r="C203" t="str">
        <f t="shared" si="42"/>
        <v>11002</v>
      </c>
      <c r="D203" t="s">
        <v>2</v>
      </c>
      <c r="E203" t="str">
        <f t="shared" si="43"/>
        <v>20</v>
      </c>
      <c r="F203">
        <v>710734</v>
      </c>
      <c r="G203">
        <v>437819</v>
      </c>
      <c r="H203">
        <v>9219</v>
      </c>
      <c r="I203" t="str">
        <f t="shared" si="40"/>
        <v>7</v>
      </c>
      <c r="J203" t="str">
        <f t="shared" si="41"/>
        <v>GROEN</v>
      </c>
      <c r="K203">
        <v>24815</v>
      </c>
      <c r="L203">
        <v>24218</v>
      </c>
      <c r="M203">
        <v>49033</v>
      </c>
      <c r="N203">
        <v>2</v>
      </c>
      <c r="O203" t="str">
        <f>("12")</f>
        <v>12</v>
      </c>
      <c r="P203" t="str">
        <f>("Van Aelst Kris")</f>
        <v>Van Aelst Kris</v>
      </c>
      <c r="Q203">
        <v>1895</v>
      </c>
      <c r="S203">
        <v>17</v>
      </c>
    </row>
    <row r="204" spans="1:19" x14ac:dyDescent="0.3">
      <c r="A204" t="s">
        <v>0</v>
      </c>
      <c r="B204" s="1">
        <v>45578</v>
      </c>
      <c r="C204" t="str">
        <f t="shared" si="42"/>
        <v>11002</v>
      </c>
      <c r="D204" t="s">
        <v>2</v>
      </c>
      <c r="E204" t="str">
        <f t="shared" si="43"/>
        <v>20</v>
      </c>
      <c r="F204">
        <v>710734</v>
      </c>
      <c r="G204">
        <v>437819</v>
      </c>
      <c r="H204">
        <v>9219</v>
      </c>
      <c r="I204" t="str">
        <f t="shared" si="40"/>
        <v>7</v>
      </c>
      <c r="J204" t="str">
        <f t="shared" si="41"/>
        <v>GROEN</v>
      </c>
      <c r="K204">
        <v>24815</v>
      </c>
      <c r="L204">
        <v>24218</v>
      </c>
      <c r="M204">
        <v>49033</v>
      </c>
      <c r="N204">
        <v>2</v>
      </c>
      <c r="O204" t="str">
        <f>("13")</f>
        <v>13</v>
      </c>
      <c r="P204" t="str">
        <f>("Creten Annelies")</f>
        <v>Creten Annelies</v>
      </c>
      <c r="Q204">
        <v>3669</v>
      </c>
      <c r="S204">
        <v>6</v>
      </c>
    </row>
    <row r="205" spans="1:19" x14ac:dyDescent="0.3">
      <c r="A205" t="s">
        <v>0</v>
      </c>
      <c r="B205" s="1">
        <v>45578</v>
      </c>
      <c r="C205" t="str">
        <f t="shared" si="42"/>
        <v>11002</v>
      </c>
      <c r="D205" t="s">
        <v>2</v>
      </c>
      <c r="E205" t="str">
        <f t="shared" si="43"/>
        <v>20</v>
      </c>
      <c r="F205">
        <v>710734</v>
      </c>
      <c r="G205">
        <v>437819</v>
      </c>
      <c r="H205">
        <v>9219</v>
      </c>
      <c r="I205" t="str">
        <f t="shared" si="40"/>
        <v>7</v>
      </c>
      <c r="J205" t="str">
        <f t="shared" si="41"/>
        <v>GROEN</v>
      </c>
      <c r="K205">
        <v>24815</v>
      </c>
      <c r="L205">
        <v>24218</v>
      </c>
      <c r="M205">
        <v>49033</v>
      </c>
      <c r="N205">
        <v>2</v>
      </c>
      <c r="O205" t="str">
        <f>("14")</f>
        <v>14</v>
      </c>
      <c r="P205" t="str">
        <f>("Arnauw Peter")</f>
        <v>Arnauw Peter</v>
      </c>
      <c r="Q205">
        <v>2090</v>
      </c>
      <c r="S205">
        <v>14</v>
      </c>
    </row>
    <row r="206" spans="1:19" x14ac:dyDescent="0.3">
      <c r="A206" t="s">
        <v>0</v>
      </c>
      <c r="B206" s="1">
        <v>45578</v>
      </c>
      <c r="C206" t="str">
        <f t="shared" si="42"/>
        <v>11002</v>
      </c>
      <c r="D206" t="s">
        <v>2</v>
      </c>
      <c r="E206" t="str">
        <f t="shared" si="43"/>
        <v>20</v>
      </c>
      <c r="F206">
        <v>710734</v>
      </c>
      <c r="G206">
        <v>437819</v>
      </c>
      <c r="H206">
        <v>9219</v>
      </c>
      <c r="I206" t="str">
        <f t="shared" si="40"/>
        <v>7</v>
      </c>
      <c r="J206" t="str">
        <f t="shared" si="41"/>
        <v>GROEN</v>
      </c>
      <c r="K206">
        <v>24815</v>
      </c>
      <c r="L206">
        <v>24218</v>
      </c>
      <c r="M206">
        <v>49033</v>
      </c>
      <c r="N206">
        <v>2</v>
      </c>
      <c r="O206" t="str">
        <f>("15")</f>
        <v>15</v>
      </c>
      <c r="P206" t="str">
        <f>("Swaegers Kris")</f>
        <v>Swaegers Kris</v>
      </c>
      <c r="Q206">
        <v>2334</v>
      </c>
      <c r="S206">
        <v>13</v>
      </c>
    </row>
    <row r="207" spans="1:19" x14ac:dyDescent="0.3">
      <c r="A207" t="s">
        <v>0</v>
      </c>
      <c r="B207" s="1">
        <v>45578</v>
      </c>
      <c r="C207" t="str">
        <f t="shared" si="42"/>
        <v>11002</v>
      </c>
      <c r="D207" t="s">
        <v>2</v>
      </c>
      <c r="E207" t="str">
        <f t="shared" si="43"/>
        <v>20</v>
      </c>
      <c r="F207">
        <v>710734</v>
      </c>
      <c r="G207">
        <v>437819</v>
      </c>
      <c r="H207">
        <v>9219</v>
      </c>
      <c r="I207" t="str">
        <f t="shared" si="40"/>
        <v>7</v>
      </c>
      <c r="J207" t="str">
        <f t="shared" si="41"/>
        <v>GROEN</v>
      </c>
      <c r="K207">
        <v>24815</v>
      </c>
      <c r="L207">
        <v>24218</v>
      </c>
      <c r="M207">
        <v>49033</v>
      </c>
      <c r="N207">
        <v>2</v>
      </c>
      <c r="O207" t="str">
        <f>("16")</f>
        <v>16</v>
      </c>
      <c r="P207" t="str">
        <f>("Van den Borne Tom")</f>
        <v>Van den Borne Tom</v>
      </c>
      <c r="Q207">
        <v>1982</v>
      </c>
      <c r="S207">
        <v>16</v>
      </c>
    </row>
    <row r="208" spans="1:19" x14ac:dyDescent="0.3">
      <c r="A208" t="s">
        <v>0</v>
      </c>
      <c r="B208" s="1">
        <v>45578</v>
      </c>
      <c r="C208" t="str">
        <f t="shared" si="42"/>
        <v>11002</v>
      </c>
      <c r="D208" t="s">
        <v>2</v>
      </c>
      <c r="E208" t="str">
        <f t="shared" si="43"/>
        <v>20</v>
      </c>
      <c r="F208">
        <v>710734</v>
      </c>
      <c r="G208">
        <v>437819</v>
      </c>
      <c r="H208">
        <v>9219</v>
      </c>
      <c r="I208" t="str">
        <f t="shared" si="40"/>
        <v>7</v>
      </c>
      <c r="J208" t="str">
        <f t="shared" si="41"/>
        <v>GROEN</v>
      </c>
      <c r="K208">
        <v>24815</v>
      </c>
      <c r="L208">
        <v>24218</v>
      </c>
      <c r="M208">
        <v>49033</v>
      </c>
      <c r="N208">
        <v>2</v>
      </c>
      <c r="O208" t="str">
        <f>("17")</f>
        <v>17</v>
      </c>
      <c r="P208" t="str">
        <f>("Verreyt Hans")</f>
        <v>Verreyt Hans</v>
      </c>
      <c r="Q208">
        <v>1737</v>
      </c>
      <c r="S208">
        <v>18</v>
      </c>
    </row>
    <row r="209" spans="1:19" x14ac:dyDescent="0.3">
      <c r="A209" t="s">
        <v>0</v>
      </c>
      <c r="B209" s="1">
        <v>45578</v>
      </c>
      <c r="C209" t="str">
        <f t="shared" si="42"/>
        <v>11002</v>
      </c>
      <c r="D209" t="s">
        <v>2</v>
      </c>
      <c r="E209" t="str">
        <f t="shared" si="43"/>
        <v>20</v>
      </c>
      <c r="F209">
        <v>710734</v>
      </c>
      <c r="G209">
        <v>437819</v>
      </c>
      <c r="H209">
        <v>9219</v>
      </c>
      <c r="I209" t="str">
        <f t="shared" si="40"/>
        <v>7</v>
      </c>
      <c r="J209" t="str">
        <f t="shared" si="41"/>
        <v>GROEN</v>
      </c>
      <c r="K209">
        <v>24815</v>
      </c>
      <c r="L209">
        <v>24218</v>
      </c>
      <c r="M209">
        <v>49033</v>
      </c>
      <c r="N209">
        <v>2</v>
      </c>
      <c r="O209" t="str">
        <f>("18")</f>
        <v>18</v>
      </c>
      <c r="P209" t="str">
        <f>("Buyst Kim")</f>
        <v>Buyst Kim</v>
      </c>
      <c r="Q209">
        <v>3365</v>
      </c>
      <c r="S209">
        <v>9</v>
      </c>
    </row>
    <row r="210" spans="1:19" x14ac:dyDescent="0.3">
      <c r="A210" t="s">
        <v>0</v>
      </c>
      <c r="B210" s="1">
        <v>45578</v>
      </c>
      <c r="C210" t="str">
        <f t="shared" si="42"/>
        <v>11002</v>
      </c>
      <c r="D210" t="s">
        <v>2</v>
      </c>
      <c r="E210" t="str">
        <f t="shared" si="43"/>
        <v>20</v>
      </c>
      <c r="F210">
        <v>710734</v>
      </c>
      <c r="G210">
        <v>437819</v>
      </c>
      <c r="H210">
        <v>9219</v>
      </c>
      <c r="I210" t="str">
        <f t="shared" si="40"/>
        <v>7</v>
      </c>
      <c r="J210" t="str">
        <f t="shared" si="41"/>
        <v>GROEN</v>
      </c>
      <c r="K210">
        <v>24815</v>
      </c>
      <c r="L210">
        <v>24218</v>
      </c>
      <c r="M210">
        <v>49033</v>
      </c>
      <c r="N210">
        <v>2</v>
      </c>
      <c r="O210" t="str">
        <f>("19")</f>
        <v>19</v>
      </c>
      <c r="P210" t="str">
        <f>("Staes Bart")</f>
        <v>Staes Bart</v>
      </c>
      <c r="Q210">
        <v>4726</v>
      </c>
      <c r="S210">
        <v>2</v>
      </c>
    </row>
    <row r="211" spans="1:19" x14ac:dyDescent="0.3">
      <c r="A211" t="s">
        <v>0</v>
      </c>
      <c r="B211" s="1">
        <v>45578</v>
      </c>
      <c r="C211" t="str">
        <f t="shared" si="42"/>
        <v>11002</v>
      </c>
      <c r="D211" t="s">
        <v>2</v>
      </c>
      <c r="E211" t="str">
        <f t="shared" si="43"/>
        <v>20</v>
      </c>
      <c r="F211">
        <v>710734</v>
      </c>
      <c r="G211">
        <v>437819</v>
      </c>
      <c r="H211">
        <v>9219</v>
      </c>
      <c r="I211" t="str">
        <f t="shared" si="40"/>
        <v>7</v>
      </c>
      <c r="J211" t="str">
        <f t="shared" si="41"/>
        <v>GROEN</v>
      </c>
      <c r="K211">
        <v>24815</v>
      </c>
      <c r="L211">
        <v>24218</v>
      </c>
      <c r="M211">
        <v>49033</v>
      </c>
      <c r="N211">
        <v>2</v>
      </c>
      <c r="O211" t="str">
        <f>("20")</f>
        <v>20</v>
      </c>
      <c r="P211" t="str">
        <f>("Pira Ingrid")</f>
        <v>Pira Ingrid</v>
      </c>
      <c r="Q211">
        <v>6721</v>
      </c>
      <c r="R211">
        <v>2</v>
      </c>
    </row>
    <row r="212" spans="1:19" x14ac:dyDescent="0.3">
      <c r="A212" t="s">
        <v>0</v>
      </c>
      <c r="B212" s="1">
        <v>45578</v>
      </c>
      <c r="C212" t="str">
        <f t="shared" si="42"/>
        <v>11002</v>
      </c>
      <c r="D212" t="s">
        <v>2</v>
      </c>
      <c r="E212" t="str">
        <f t="shared" si="43"/>
        <v>20</v>
      </c>
      <c r="F212">
        <v>710734</v>
      </c>
      <c r="G212">
        <v>437819</v>
      </c>
      <c r="H212">
        <v>9219</v>
      </c>
      <c r="I212" t="str">
        <f t="shared" ref="I212:I220" si="44">("8")</f>
        <v>8</v>
      </c>
      <c r="J212" t="str">
        <f t="shared" ref="J212:J220" si="45">("Volt België")</f>
        <v>Volt België</v>
      </c>
      <c r="K212">
        <v>893</v>
      </c>
      <c r="L212">
        <v>944</v>
      </c>
      <c r="M212">
        <v>1837</v>
      </c>
      <c r="N212">
        <v>0</v>
      </c>
      <c r="O212" t="str">
        <f>("1")</f>
        <v>1</v>
      </c>
      <c r="P212" t="str">
        <f>("El Hachimi Karima")</f>
        <v>El Hachimi Karima</v>
      </c>
      <c r="Q212">
        <v>382</v>
      </c>
    </row>
    <row r="213" spans="1:19" x14ac:dyDescent="0.3">
      <c r="A213" t="s">
        <v>0</v>
      </c>
      <c r="B213" s="1">
        <v>45578</v>
      </c>
      <c r="C213" t="str">
        <f t="shared" si="42"/>
        <v>11002</v>
      </c>
      <c r="D213" t="s">
        <v>2</v>
      </c>
      <c r="E213" t="str">
        <f t="shared" si="43"/>
        <v>20</v>
      </c>
      <c r="F213">
        <v>710734</v>
      </c>
      <c r="G213">
        <v>437819</v>
      </c>
      <c r="H213">
        <v>9219</v>
      </c>
      <c r="I213" t="str">
        <f t="shared" si="44"/>
        <v>8</v>
      </c>
      <c r="J213" t="str">
        <f t="shared" si="45"/>
        <v>Volt België</v>
      </c>
      <c r="K213">
        <v>893</v>
      </c>
      <c r="L213">
        <v>944</v>
      </c>
      <c r="M213">
        <v>1837</v>
      </c>
      <c r="N213">
        <v>0</v>
      </c>
      <c r="O213" t="str">
        <f>("2")</f>
        <v>2</v>
      </c>
      <c r="P213" t="str">
        <f>("Corazza Christophe")</f>
        <v>Corazza Christophe</v>
      </c>
      <c r="Q213">
        <v>133</v>
      </c>
    </row>
    <row r="214" spans="1:19" x14ac:dyDescent="0.3">
      <c r="A214" t="s">
        <v>0</v>
      </c>
      <c r="B214" s="1">
        <v>45578</v>
      </c>
      <c r="C214" t="str">
        <f t="shared" si="42"/>
        <v>11002</v>
      </c>
      <c r="D214" t="s">
        <v>2</v>
      </c>
      <c r="E214" t="str">
        <f t="shared" si="43"/>
        <v>20</v>
      </c>
      <c r="F214">
        <v>710734</v>
      </c>
      <c r="G214">
        <v>437819</v>
      </c>
      <c r="H214">
        <v>9219</v>
      </c>
      <c r="I214" t="str">
        <f t="shared" si="44"/>
        <v>8</v>
      </c>
      <c r="J214" t="str">
        <f t="shared" si="45"/>
        <v>Volt België</v>
      </c>
      <c r="K214">
        <v>893</v>
      </c>
      <c r="L214">
        <v>944</v>
      </c>
      <c r="M214">
        <v>1837</v>
      </c>
      <c r="N214">
        <v>0</v>
      </c>
      <c r="O214" t="str">
        <f>("3")</f>
        <v>3</v>
      </c>
      <c r="P214" t="str">
        <f>("Van Hummelen Isolde")</f>
        <v>Van Hummelen Isolde</v>
      </c>
      <c r="Q214">
        <v>220</v>
      </c>
    </row>
    <row r="215" spans="1:19" x14ac:dyDescent="0.3">
      <c r="A215" t="s">
        <v>0</v>
      </c>
      <c r="B215" s="1">
        <v>45578</v>
      </c>
      <c r="C215" t="str">
        <f t="shared" si="42"/>
        <v>11002</v>
      </c>
      <c r="D215" t="s">
        <v>2</v>
      </c>
      <c r="E215" t="str">
        <f t="shared" si="43"/>
        <v>20</v>
      </c>
      <c r="F215">
        <v>710734</v>
      </c>
      <c r="G215">
        <v>437819</v>
      </c>
      <c r="H215">
        <v>9219</v>
      </c>
      <c r="I215" t="str">
        <f t="shared" si="44"/>
        <v>8</v>
      </c>
      <c r="J215" t="str">
        <f t="shared" si="45"/>
        <v>Volt België</v>
      </c>
      <c r="K215">
        <v>893</v>
      </c>
      <c r="L215">
        <v>944</v>
      </c>
      <c r="M215">
        <v>1837</v>
      </c>
      <c r="N215">
        <v>0</v>
      </c>
      <c r="O215" t="str">
        <f>("4")</f>
        <v>4</v>
      </c>
      <c r="P215" t="str">
        <f>("Coosemans Jasper")</f>
        <v>Coosemans Jasper</v>
      </c>
      <c r="Q215">
        <v>155</v>
      </c>
    </row>
    <row r="216" spans="1:19" x14ac:dyDescent="0.3">
      <c r="A216" t="s">
        <v>0</v>
      </c>
      <c r="B216" s="1">
        <v>45578</v>
      </c>
      <c r="C216" t="str">
        <f t="shared" si="42"/>
        <v>11002</v>
      </c>
      <c r="D216" t="s">
        <v>2</v>
      </c>
      <c r="E216" t="str">
        <f t="shared" si="43"/>
        <v>20</v>
      </c>
      <c r="F216">
        <v>710734</v>
      </c>
      <c r="G216">
        <v>437819</v>
      </c>
      <c r="H216">
        <v>9219</v>
      </c>
      <c r="I216" t="str">
        <f t="shared" si="44"/>
        <v>8</v>
      </c>
      <c r="J216" t="str">
        <f t="shared" si="45"/>
        <v>Volt België</v>
      </c>
      <c r="K216">
        <v>893</v>
      </c>
      <c r="L216">
        <v>944</v>
      </c>
      <c r="M216">
        <v>1837</v>
      </c>
      <c r="N216">
        <v>0</v>
      </c>
      <c r="O216" t="str">
        <f>("5")</f>
        <v>5</v>
      </c>
      <c r="P216" t="str">
        <f>("Bastiaensen Caroline")</f>
        <v>Bastiaensen Caroline</v>
      </c>
      <c r="Q216">
        <v>215</v>
      </c>
    </row>
    <row r="217" spans="1:19" x14ac:dyDescent="0.3">
      <c r="A217" t="s">
        <v>0</v>
      </c>
      <c r="B217" s="1">
        <v>45578</v>
      </c>
      <c r="C217" t="str">
        <f t="shared" si="42"/>
        <v>11002</v>
      </c>
      <c r="D217" t="s">
        <v>2</v>
      </c>
      <c r="E217" t="str">
        <f t="shared" si="43"/>
        <v>20</v>
      </c>
      <c r="F217">
        <v>710734</v>
      </c>
      <c r="G217">
        <v>437819</v>
      </c>
      <c r="H217">
        <v>9219</v>
      </c>
      <c r="I217" t="str">
        <f t="shared" si="44"/>
        <v>8</v>
      </c>
      <c r="J217" t="str">
        <f t="shared" si="45"/>
        <v>Volt België</v>
      </c>
      <c r="K217">
        <v>893</v>
      </c>
      <c r="L217">
        <v>944</v>
      </c>
      <c r="M217">
        <v>1837</v>
      </c>
      <c r="N217">
        <v>0</v>
      </c>
      <c r="O217" t="str">
        <f>("6")</f>
        <v>6</v>
      </c>
      <c r="P217" t="str">
        <f>("Fabry Bert")</f>
        <v>Fabry Bert</v>
      </c>
      <c r="Q217">
        <v>114</v>
      </c>
    </row>
    <row r="218" spans="1:19" x14ac:dyDescent="0.3">
      <c r="A218" t="s">
        <v>0</v>
      </c>
      <c r="B218" s="1">
        <v>45578</v>
      </c>
      <c r="C218" t="str">
        <f t="shared" si="42"/>
        <v>11002</v>
      </c>
      <c r="D218" t="s">
        <v>2</v>
      </c>
      <c r="E218" t="str">
        <f t="shared" si="43"/>
        <v>20</v>
      </c>
      <c r="F218">
        <v>710734</v>
      </c>
      <c r="G218">
        <v>437819</v>
      </c>
      <c r="H218">
        <v>9219</v>
      </c>
      <c r="I218" t="str">
        <f t="shared" si="44"/>
        <v>8</v>
      </c>
      <c r="J218" t="str">
        <f t="shared" si="45"/>
        <v>Volt België</v>
      </c>
      <c r="K218">
        <v>893</v>
      </c>
      <c r="L218">
        <v>944</v>
      </c>
      <c r="M218">
        <v>1837</v>
      </c>
      <c r="N218">
        <v>0</v>
      </c>
      <c r="O218" t="str">
        <f>("7")</f>
        <v>7</v>
      </c>
      <c r="P218" t="str">
        <f>("El Hachimi Najima")</f>
        <v>El Hachimi Najima</v>
      </c>
      <c r="Q218">
        <v>137</v>
      </c>
    </row>
    <row r="219" spans="1:19" x14ac:dyDescent="0.3">
      <c r="A219" t="s">
        <v>0</v>
      </c>
      <c r="B219" s="1">
        <v>45578</v>
      </c>
      <c r="C219" t="str">
        <f t="shared" si="42"/>
        <v>11002</v>
      </c>
      <c r="D219" t="s">
        <v>2</v>
      </c>
      <c r="E219" t="str">
        <f t="shared" si="43"/>
        <v>20</v>
      </c>
      <c r="F219">
        <v>710734</v>
      </c>
      <c r="G219">
        <v>437819</v>
      </c>
      <c r="H219">
        <v>9219</v>
      </c>
      <c r="I219" t="str">
        <f t="shared" si="44"/>
        <v>8</v>
      </c>
      <c r="J219" t="str">
        <f t="shared" si="45"/>
        <v>Volt België</v>
      </c>
      <c r="K219">
        <v>893</v>
      </c>
      <c r="L219">
        <v>944</v>
      </c>
      <c r="M219">
        <v>1837</v>
      </c>
      <c r="N219">
        <v>0</v>
      </c>
      <c r="O219" t="str">
        <f>("8")</f>
        <v>8</v>
      </c>
      <c r="P219" t="str">
        <f>("Cooreman Frank")</f>
        <v>Cooreman Frank</v>
      </c>
      <c r="Q219">
        <v>159</v>
      </c>
    </row>
    <row r="220" spans="1:19" x14ac:dyDescent="0.3">
      <c r="A220" t="s">
        <v>0</v>
      </c>
      <c r="B220" s="1">
        <v>45578</v>
      </c>
      <c r="C220" t="str">
        <f t="shared" si="42"/>
        <v>11002</v>
      </c>
      <c r="D220" t="s">
        <v>2</v>
      </c>
      <c r="E220" t="str">
        <f t="shared" si="43"/>
        <v>20</v>
      </c>
      <c r="F220">
        <v>710734</v>
      </c>
      <c r="G220">
        <v>437819</v>
      </c>
      <c r="H220">
        <v>9219</v>
      </c>
      <c r="I220" t="str">
        <f t="shared" si="44"/>
        <v>8</v>
      </c>
      <c r="J220" t="str">
        <f t="shared" si="45"/>
        <v>Volt België</v>
      </c>
      <c r="K220">
        <v>893</v>
      </c>
      <c r="L220">
        <v>944</v>
      </c>
      <c r="M220">
        <v>1837</v>
      </c>
      <c r="N220">
        <v>0</v>
      </c>
      <c r="O220" t="str">
        <f>("9")</f>
        <v>9</v>
      </c>
      <c r="P220" t="str">
        <f>("Van Goey An")</f>
        <v>Van Goey An</v>
      </c>
      <c r="Q220">
        <v>224</v>
      </c>
    </row>
    <row r="221" spans="1:19" x14ac:dyDescent="0.3">
      <c r="A221" t="s">
        <v>0</v>
      </c>
      <c r="B221" s="1">
        <v>45578</v>
      </c>
      <c r="C221" t="str">
        <f t="shared" si="42"/>
        <v>11002</v>
      </c>
      <c r="D221" t="s">
        <v>2</v>
      </c>
      <c r="E221" t="str">
        <f t="shared" si="43"/>
        <v>20</v>
      </c>
      <c r="F221">
        <v>710734</v>
      </c>
      <c r="G221">
        <v>437819</v>
      </c>
      <c r="H221">
        <v>9219</v>
      </c>
      <c r="I221" t="str">
        <f t="shared" ref="I221:I231" si="46">("9")</f>
        <v>9</v>
      </c>
      <c r="J221" t="str">
        <f t="shared" ref="J221:J231" si="47">("DierAnimal")</f>
        <v>DierAnimal</v>
      </c>
      <c r="K221">
        <v>1525</v>
      </c>
      <c r="L221">
        <v>1884</v>
      </c>
      <c r="M221">
        <v>3409</v>
      </c>
      <c r="N221">
        <v>0</v>
      </c>
      <c r="O221" t="str">
        <f>("1")</f>
        <v>1</v>
      </c>
      <c r="P221" t="str">
        <f>("Castelein Ann-Sophie")</f>
        <v>Castelein Ann-Sophie</v>
      </c>
      <c r="Q221">
        <v>1084</v>
      </c>
    </row>
    <row r="222" spans="1:19" x14ac:dyDescent="0.3">
      <c r="A222" t="s">
        <v>0</v>
      </c>
      <c r="B222" s="1">
        <v>45578</v>
      </c>
      <c r="C222" t="str">
        <f t="shared" si="42"/>
        <v>11002</v>
      </c>
      <c r="D222" t="s">
        <v>2</v>
      </c>
      <c r="E222" t="str">
        <f t="shared" si="43"/>
        <v>20</v>
      </c>
      <c r="F222">
        <v>710734</v>
      </c>
      <c r="G222">
        <v>437819</v>
      </c>
      <c r="H222">
        <v>9219</v>
      </c>
      <c r="I222" t="str">
        <f t="shared" si="46"/>
        <v>9</v>
      </c>
      <c r="J222" t="str">
        <f t="shared" si="47"/>
        <v>DierAnimal</v>
      </c>
      <c r="K222">
        <v>1525</v>
      </c>
      <c r="L222">
        <v>1884</v>
      </c>
      <c r="M222">
        <v>3409</v>
      </c>
      <c r="N222">
        <v>0</v>
      </c>
      <c r="O222" t="str">
        <f>("2")</f>
        <v>2</v>
      </c>
      <c r="P222" t="str">
        <f>("Vogels Bram")</f>
        <v>Vogels Bram</v>
      </c>
      <c r="Q222">
        <v>319</v>
      </c>
    </row>
    <row r="223" spans="1:19" x14ac:dyDescent="0.3">
      <c r="A223" t="s">
        <v>0</v>
      </c>
      <c r="B223" s="1">
        <v>45578</v>
      </c>
      <c r="C223" t="str">
        <f t="shared" si="42"/>
        <v>11002</v>
      </c>
      <c r="D223" t="s">
        <v>2</v>
      </c>
      <c r="E223" t="str">
        <f t="shared" si="43"/>
        <v>20</v>
      </c>
      <c r="F223">
        <v>710734</v>
      </c>
      <c r="G223">
        <v>437819</v>
      </c>
      <c r="H223">
        <v>9219</v>
      </c>
      <c r="I223" t="str">
        <f t="shared" si="46"/>
        <v>9</v>
      </c>
      <c r="J223" t="str">
        <f t="shared" si="47"/>
        <v>DierAnimal</v>
      </c>
      <c r="K223">
        <v>1525</v>
      </c>
      <c r="L223">
        <v>1884</v>
      </c>
      <c r="M223">
        <v>3409</v>
      </c>
      <c r="N223">
        <v>0</v>
      </c>
      <c r="O223" t="str">
        <f>("3")</f>
        <v>3</v>
      </c>
      <c r="P223" t="str">
        <f>("Bastiaensen Ilse")</f>
        <v>Bastiaensen Ilse</v>
      </c>
      <c r="Q223">
        <v>315</v>
      </c>
    </row>
    <row r="224" spans="1:19" x14ac:dyDescent="0.3">
      <c r="A224" t="s">
        <v>0</v>
      </c>
      <c r="B224" s="1">
        <v>45578</v>
      </c>
      <c r="C224" t="str">
        <f t="shared" si="42"/>
        <v>11002</v>
      </c>
      <c r="D224" t="s">
        <v>2</v>
      </c>
      <c r="E224" t="str">
        <f t="shared" si="43"/>
        <v>20</v>
      </c>
      <c r="F224">
        <v>710734</v>
      </c>
      <c r="G224">
        <v>437819</v>
      </c>
      <c r="H224">
        <v>9219</v>
      </c>
      <c r="I224" t="str">
        <f t="shared" si="46"/>
        <v>9</v>
      </c>
      <c r="J224" t="str">
        <f t="shared" si="47"/>
        <v>DierAnimal</v>
      </c>
      <c r="K224">
        <v>1525</v>
      </c>
      <c r="L224">
        <v>1884</v>
      </c>
      <c r="M224">
        <v>3409</v>
      </c>
      <c r="N224">
        <v>0</v>
      </c>
      <c r="O224" t="str">
        <f>("4")</f>
        <v>4</v>
      </c>
      <c r="P224" t="str">
        <f>("Van Nimmen Jozef")</f>
        <v>Van Nimmen Jozef</v>
      </c>
      <c r="Q224">
        <v>154</v>
      </c>
    </row>
    <row r="225" spans="1:17" x14ac:dyDescent="0.3">
      <c r="A225" t="s">
        <v>0</v>
      </c>
      <c r="B225" s="1">
        <v>45578</v>
      </c>
      <c r="C225" t="str">
        <f t="shared" si="42"/>
        <v>11002</v>
      </c>
      <c r="D225" t="s">
        <v>2</v>
      </c>
      <c r="E225" t="str">
        <f t="shared" si="43"/>
        <v>20</v>
      </c>
      <c r="F225">
        <v>710734</v>
      </c>
      <c r="G225">
        <v>437819</v>
      </c>
      <c r="H225">
        <v>9219</v>
      </c>
      <c r="I225" t="str">
        <f t="shared" si="46"/>
        <v>9</v>
      </c>
      <c r="J225" t="str">
        <f t="shared" si="47"/>
        <v>DierAnimal</v>
      </c>
      <c r="K225">
        <v>1525</v>
      </c>
      <c r="L225">
        <v>1884</v>
      </c>
      <c r="M225">
        <v>3409</v>
      </c>
      <c r="N225">
        <v>0</v>
      </c>
      <c r="O225" t="str">
        <f>("5")</f>
        <v>5</v>
      </c>
      <c r="P225" t="str">
        <f>("Renders Kasimira")</f>
        <v>Renders Kasimira</v>
      </c>
      <c r="Q225">
        <v>178</v>
      </c>
    </row>
    <row r="226" spans="1:17" x14ac:dyDescent="0.3">
      <c r="A226" t="s">
        <v>0</v>
      </c>
      <c r="B226" s="1">
        <v>45578</v>
      </c>
      <c r="C226" t="str">
        <f t="shared" si="42"/>
        <v>11002</v>
      </c>
      <c r="D226" t="s">
        <v>2</v>
      </c>
      <c r="E226" t="str">
        <f t="shared" si="43"/>
        <v>20</v>
      </c>
      <c r="F226">
        <v>710734</v>
      </c>
      <c r="G226">
        <v>437819</v>
      </c>
      <c r="H226">
        <v>9219</v>
      </c>
      <c r="I226" t="str">
        <f t="shared" si="46"/>
        <v>9</v>
      </c>
      <c r="J226" t="str">
        <f t="shared" si="47"/>
        <v>DierAnimal</v>
      </c>
      <c r="K226">
        <v>1525</v>
      </c>
      <c r="L226">
        <v>1884</v>
      </c>
      <c r="M226">
        <v>3409</v>
      </c>
      <c r="N226">
        <v>0</v>
      </c>
      <c r="O226" t="str">
        <f>("6")</f>
        <v>6</v>
      </c>
      <c r="P226" t="str">
        <f>("Goossens Dirk")</f>
        <v>Goossens Dirk</v>
      </c>
      <c r="Q226">
        <v>167</v>
      </c>
    </row>
    <row r="227" spans="1:17" x14ac:dyDescent="0.3">
      <c r="A227" t="s">
        <v>0</v>
      </c>
      <c r="B227" s="1">
        <v>45578</v>
      </c>
      <c r="C227" t="str">
        <f t="shared" si="42"/>
        <v>11002</v>
      </c>
      <c r="D227" t="s">
        <v>2</v>
      </c>
      <c r="E227" t="str">
        <f t="shared" si="43"/>
        <v>20</v>
      </c>
      <c r="F227">
        <v>710734</v>
      </c>
      <c r="G227">
        <v>437819</v>
      </c>
      <c r="H227">
        <v>9219</v>
      </c>
      <c r="I227" t="str">
        <f t="shared" si="46"/>
        <v>9</v>
      </c>
      <c r="J227" t="str">
        <f t="shared" si="47"/>
        <v>DierAnimal</v>
      </c>
      <c r="K227">
        <v>1525</v>
      </c>
      <c r="L227">
        <v>1884</v>
      </c>
      <c r="M227">
        <v>3409</v>
      </c>
      <c r="N227">
        <v>0</v>
      </c>
      <c r="O227" t="str">
        <f>("7")</f>
        <v>7</v>
      </c>
      <c r="P227" t="str">
        <f>("Renders Patricia")</f>
        <v>Renders Patricia</v>
      </c>
      <c r="Q227">
        <v>237</v>
      </c>
    </row>
    <row r="228" spans="1:17" x14ac:dyDescent="0.3">
      <c r="A228" t="s">
        <v>0</v>
      </c>
      <c r="B228" s="1">
        <v>45578</v>
      </c>
      <c r="C228" t="str">
        <f t="shared" si="42"/>
        <v>11002</v>
      </c>
      <c r="D228" t="s">
        <v>2</v>
      </c>
      <c r="E228" t="str">
        <f t="shared" si="43"/>
        <v>20</v>
      </c>
      <c r="F228">
        <v>710734</v>
      </c>
      <c r="G228">
        <v>437819</v>
      </c>
      <c r="H228">
        <v>9219</v>
      </c>
      <c r="I228" t="str">
        <f t="shared" si="46"/>
        <v>9</v>
      </c>
      <c r="J228" t="str">
        <f t="shared" si="47"/>
        <v>DierAnimal</v>
      </c>
      <c r="K228">
        <v>1525</v>
      </c>
      <c r="L228">
        <v>1884</v>
      </c>
      <c r="M228">
        <v>3409</v>
      </c>
      <c r="N228">
        <v>0</v>
      </c>
      <c r="O228" t="str">
        <f>("8")</f>
        <v>8</v>
      </c>
      <c r="P228" t="str">
        <f>("Verheijke Siegfried")</f>
        <v>Verheijke Siegfried</v>
      </c>
      <c r="Q228">
        <v>131</v>
      </c>
    </row>
    <row r="229" spans="1:17" x14ac:dyDescent="0.3">
      <c r="A229" t="s">
        <v>0</v>
      </c>
      <c r="B229" s="1">
        <v>45578</v>
      </c>
      <c r="C229" t="str">
        <f t="shared" si="42"/>
        <v>11002</v>
      </c>
      <c r="D229" t="s">
        <v>2</v>
      </c>
      <c r="E229" t="str">
        <f t="shared" si="43"/>
        <v>20</v>
      </c>
      <c r="F229">
        <v>710734</v>
      </c>
      <c r="G229">
        <v>437819</v>
      </c>
      <c r="H229">
        <v>9219</v>
      </c>
      <c r="I229" t="str">
        <f t="shared" si="46"/>
        <v>9</v>
      </c>
      <c r="J229" t="str">
        <f t="shared" si="47"/>
        <v>DierAnimal</v>
      </c>
      <c r="K229">
        <v>1525</v>
      </c>
      <c r="L229">
        <v>1884</v>
      </c>
      <c r="M229">
        <v>3409</v>
      </c>
      <c r="N229">
        <v>0</v>
      </c>
      <c r="O229" t="str">
        <f>("9")</f>
        <v>9</v>
      </c>
      <c r="P229" t="str">
        <f>("Kuyps Gwendy")</f>
        <v>Kuyps Gwendy</v>
      </c>
      <c r="Q229">
        <v>214</v>
      </c>
    </row>
    <row r="230" spans="1:17" x14ac:dyDescent="0.3">
      <c r="A230" t="s">
        <v>0</v>
      </c>
      <c r="B230" s="1">
        <v>45578</v>
      </c>
      <c r="C230" t="str">
        <f t="shared" si="42"/>
        <v>11002</v>
      </c>
      <c r="D230" t="s">
        <v>2</v>
      </c>
      <c r="E230" t="str">
        <f t="shared" si="43"/>
        <v>20</v>
      </c>
      <c r="F230">
        <v>710734</v>
      </c>
      <c r="G230">
        <v>437819</v>
      </c>
      <c r="H230">
        <v>9219</v>
      </c>
      <c r="I230" t="str">
        <f t="shared" si="46"/>
        <v>9</v>
      </c>
      <c r="J230" t="str">
        <f t="shared" si="47"/>
        <v>DierAnimal</v>
      </c>
      <c r="K230">
        <v>1525</v>
      </c>
      <c r="L230">
        <v>1884</v>
      </c>
      <c r="M230">
        <v>3409</v>
      </c>
      <c r="N230">
        <v>0</v>
      </c>
      <c r="O230" t="str">
        <f>("10")</f>
        <v>10</v>
      </c>
      <c r="P230" t="str">
        <f>("Maréchal Thierry")</f>
        <v>Maréchal Thierry</v>
      </c>
      <c r="Q230">
        <v>154</v>
      </c>
    </row>
    <row r="231" spans="1:17" x14ac:dyDescent="0.3">
      <c r="A231" t="s">
        <v>0</v>
      </c>
      <c r="B231" s="1">
        <v>45578</v>
      </c>
      <c r="C231" t="str">
        <f t="shared" si="42"/>
        <v>11002</v>
      </c>
      <c r="D231" t="s">
        <v>2</v>
      </c>
      <c r="E231" t="str">
        <f t="shared" si="43"/>
        <v>20</v>
      </c>
      <c r="F231">
        <v>710734</v>
      </c>
      <c r="G231">
        <v>437819</v>
      </c>
      <c r="H231">
        <v>9219</v>
      </c>
      <c r="I231" t="str">
        <f t="shared" si="46"/>
        <v>9</v>
      </c>
      <c r="J231" t="str">
        <f t="shared" si="47"/>
        <v>DierAnimal</v>
      </c>
      <c r="K231">
        <v>1525</v>
      </c>
      <c r="L231">
        <v>1884</v>
      </c>
      <c r="M231">
        <v>3409</v>
      </c>
      <c r="N231">
        <v>0</v>
      </c>
      <c r="O231" t="str">
        <f>("11")</f>
        <v>11</v>
      </c>
      <c r="P231" t="str">
        <f>("Wellens Milla")</f>
        <v>Wellens Milla</v>
      </c>
      <c r="Q231">
        <v>320</v>
      </c>
    </row>
    <row r="232" spans="1:17" x14ac:dyDescent="0.3">
      <c r="A232" t="s">
        <v>0</v>
      </c>
      <c r="B232" s="1">
        <v>45578</v>
      </c>
      <c r="C232" t="str">
        <f t="shared" ref="C232:C259" si="48">("11002")</f>
        <v>11002</v>
      </c>
      <c r="D232" t="s">
        <v>2</v>
      </c>
      <c r="E232" t="str">
        <f t="shared" ref="E232:E259" si="49">("20")</f>
        <v>20</v>
      </c>
      <c r="F232">
        <v>710734</v>
      </c>
      <c r="G232">
        <v>437819</v>
      </c>
      <c r="H232">
        <v>9219</v>
      </c>
      <c r="I232" t="str">
        <f t="shared" ref="I232:I242" si="50">("10")</f>
        <v>10</v>
      </c>
      <c r="J232" t="str">
        <f t="shared" ref="J232:J242" si="51">("Team Fouad Ahidar A+")</f>
        <v>Team Fouad Ahidar A+</v>
      </c>
      <c r="K232">
        <v>813</v>
      </c>
      <c r="L232">
        <v>3741</v>
      </c>
      <c r="M232">
        <v>4554</v>
      </c>
      <c r="N232">
        <v>0</v>
      </c>
      <c r="O232" t="str">
        <f>("1")</f>
        <v>1</v>
      </c>
      <c r="P232" t="str">
        <f>("El-Haji Insaf")</f>
        <v>El-Haji Insaf</v>
      </c>
      <c r="Q232">
        <v>1995</v>
      </c>
    </row>
    <row r="233" spans="1:17" x14ac:dyDescent="0.3">
      <c r="A233" t="s">
        <v>0</v>
      </c>
      <c r="B233" s="1">
        <v>45578</v>
      </c>
      <c r="C233" t="str">
        <f t="shared" si="48"/>
        <v>11002</v>
      </c>
      <c r="D233" t="s">
        <v>2</v>
      </c>
      <c r="E233" t="str">
        <f t="shared" si="49"/>
        <v>20</v>
      </c>
      <c r="F233">
        <v>710734</v>
      </c>
      <c r="G233">
        <v>437819</v>
      </c>
      <c r="H233">
        <v>9219</v>
      </c>
      <c r="I233" t="str">
        <f t="shared" si="50"/>
        <v>10</v>
      </c>
      <c r="J233" t="str">
        <f t="shared" si="51"/>
        <v>Team Fouad Ahidar A+</v>
      </c>
      <c r="K233">
        <v>813</v>
      </c>
      <c r="L233">
        <v>3741</v>
      </c>
      <c r="M233">
        <v>4554</v>
      </c>
      <c r="N233">
        <v>0</v>
      </c>
      <c r="O233" t="str">
        <f>("2")</f>
        <v>2</v>
      </c>
      <c r="P233" t="str">
        <f>("Zemmouri Bilal")</f>
        <v>Zemmouri Bilal</v>
      </c>
      <c r="Q233">
        <v>1338</v>
      </c>
    </row>
    <row r="234" spans="1:17" x14ac:dyDescent="0.3">
      <c r="A234" t="s">
        <v>0</v>
      </c>
      <c r="B234" s="1">
        <v>45578</v>
      </c>
      <c r="C234" t="str">
        <f t="shared" si="48"/>
        <v>11002</v>
      </c>
      <c r="D234" t="s">
        <v>2</v>
      </c>
      <c r="E234" t="str">
        <f t="shared" si="49"/>
        <v>20</v>
      </c>
      <c r="F234">
        <v>710734</v>
      </c>
      <c r="G234">
        <v>437819</v>
      </c>
      <c r="H234">
        <v>9219</v>
      </c>
      <c r="I234" t="str">
        <f t="shared" si="50"/>
        <v>10</v>
      </c>
      <c r="J234" t="str">
        <f t="shared" si="51"/>
        <v>Team Fouad Ahidar A+</v>
      </c>
      <c r="K234">
        <v>813</v>
      </c>
      <c r="L234">
        <v>3741</v>
      </c>
      <c r="M234">
        <v>4554</v>
      </c>
      <c r="N234">
        <v>0</v>
      </c>
      <c r="O234" t="str">
        <f>("3")</f>
        <v>3</v>
      </c>
      <c r="P234" t="str">
        <f>("El Haji Sofia")</f>
        <v>El Haji Sofia</v>
      </c>
      <c r="Q234">
        <v>931</v>
      </c>
    </row>
    <row r="235" spans="1:17" x14ac:dyDescent="0.3">
      <c r="A235" t="s">
        <v>0</v>
      </c>
      <c r="B235" s="1">
        <v>45578</v>
      </c>
      <c r="C235" t="str">
        <f t="shared" si="48"/>
        <v>11002</v>
      </c>
      <c r="D235" t="s">
        <v>2</v>
      </c>
      <c r="E235" t="str">
        <f t="shared" si="49"/>
        <v>20</v>
      </c>
      <c r="F235">
        <v>710734</v>
      </c>
      <c r="G235">
        <v>437819</v>
      </c>
      <c r="H235">
        <v>9219</v>
      </c>
      <c r="I235" t="str">
        <f t="shared" si="50"/>
        <v>10</v>
      </c>
      <c r="J235" t="str">
        <f t="shared" si="51"/>
        <v>Team Fouad Ahidar A+</v>
      </c>
      <c r="K235">
        <v>813</v>
      </c>
      <c r="L235">
        <v>3741</v>
      </c>
      <c r="M235">
        <v>4554</v>
      </c>
      <c r="N235">
        <v>0</v>
      </c>
      <c r="O235" t="str">
        <f>("4")</f>
        <v>4</v>
      </c>
      <c r="P235" t="str">
        <f>("Aarab El Hassane")</f>
        <v>Aarab El Hassane</v>
      </c>
      <c r="Q235">
        <v>841</v>
      </c>
    </row>
    <row r="236" spans="1:17" x14ac:dyDescent="0.3">
      <c r="A236" t="s">
        <v>0</v>
      </c>
      <c r="B236" s="1">
        <v>45578</v>
      </c>
      <c r="C236" t="str">
        <f t="shared" si="48"/>
        <v>11002</v>
      </c>
      <c r="D236" t="s">
        <v>2</v>
      </c>
      <c r="E236" t="str">
        <f t="shared" si="49"/>
        <v>20</v>
      </c>
      <c r="F236">
        <v>710734</v>
      </c>
      <c r="G236">
        <v>437819</v>
      </c>
      <c r="H236">
        <v>9219</v>
      </c>
      <c r="I236" t="str">
        <f t="shared" si="50"/>
        <v>10</v>
      </c>
      <c r="J236" t="str">
        <f t="shared" si="51"/>
        <v>Team Fouad Ahidar A+</v>
      </c>
      <c r="K236">
        <v>813</v>
      </c>
      <c r="L236">
        <v>3741</v>
      </c>
      <c r="M236">
        <v>4554</v>
      </c>
      <c r="N236">
        <v>0</v>
      </c>
      <c r="O236" t="str">
        <f>("5")</f>
        <v>5</v>
      </c>
      <c r="P236" t="str">
        <f>("Verhelst Ashley")</f>
        <v>Verhelst Ashley</v>
      </c>
      <c r="Q236">
        <v>658</v>
      </c>
    </row>
    <row r="237" spans="1:17" x14ac:dyDescent="0.3">
      <c r="A237" t="s">
        <v>0</v>
      </c>
      <c r="B237" s="1">
        <v>45578</v>
      </c>
      <c r="C237" t="str">
        <f t="shared" si="48"/>
        <v>11002</v>
      </c>
      <c r="D237" t="s">
        <v>2</v>
      </c>
      <c r="E237" t="str">
        <f t="shared" si="49"/>
        <v>20</v>
      </c>
      <c r="F237">
        <v>710734</v>
      </c>
      <c r="G237">
        <v>437819</v>
      </c>
      <c r="H237">
        <v>9219</v>
      </c>
      <c r="I237" t="str">
        <f t="shared" si="50"/>
        <v>10</v>
      </c>
      <c r="J237" t="str">
        <f t="shared" si="51"/>
        <v>Team Fouad Ahidar A+</v>
      </c>
      <c r="K237">
        <v>813</v>
      </c>
      <c r="L237">
        <v>3741</v>
      </c>
      <c r="M237">
        <v>4554</v>
      </c>
      <c r="N237">
        <v>0</v>
      </c>
      <c r="O237" t="str">
        <f>("6")</f>
        <v>6</v>
      </c>
      <c r="P237" t="str">
        <f>("Toumi Zahra")</f>
        <v>Toumi Zahra</v>
      </c>
      <c r="Q237">
        <v>747</v>
      </c>
    </row>
    <row r="238" spans="1:17" x14ac:dyDescent="0.3">
      <c r="A238" t="s">
        <v>0</v>
      </c>
      <c r="B238" s="1">
        <v>45578</v>
      </c>
      <c r="C238" t="str">
        <f t="shared" si="48"/>
        <v>11002</v>
      </c>
      <c r="D238" t="s">
        <v>2</v>
      </c>
      <c r="E238" t="str">
        <f t="shared" si="49"/>
        <v>20</v>
      </c>
      <c r="F238">
        <v>710734</v>
      </c>
      <c r="G238">
        <v>437819</v>
      </c>
      <c r="H238">
        <v>9219</v>
      </c>
      <c r="I238" t="str">
        <f t="shared" si="50"/>
        <v>10</v>
      </c>
      <c r="J238" t="str">
        <f t="shared" si="51"/>
        <v>Team Fouad Ahidar A+</v>
      </c>
      <c r="K238">
        <v>813</v>
      </c>
      <c r="L238">
        <v>3741</v>
      </c>
      <c r="M238">
        <v>4554</v>
      </c>
      <c r="N238">
        <v>0</v>
      </c>
      <c r="O238" t="str">
        <f>("7")</f>
        <v>7</v>
      </c>
      <c r="P238" t="str">
        <f>("Ahmadoun Hamza")</f>
        <v>Ahmadoun Hamza</v>
      </c>
      <c r="Q238">
        <v>1042</v>
      </c>
    </row>
    <row r="239" spans="1:17" x14ac:dyDescent="0.3">
      <c r="A239" t="s">
        <v>0</v>
      </c>
      <c r="B239" s="1">
        <v>45578</v>
      </c>
      <c r="C239" t="str">
        <f t="shared" si="48"/>
        <v>11002</v>
      </c>
      <c r="D239" t="s">
        <v>2</v>
      </c>
      <c r="E239" t="str">
        <f t="shared" si="49"/>
        <v>20</v>
      </c>
      <c r="F239">
        <v>710734</v>
      </c>
      <c r="G239">
        <v>437819</v>
      </c>
      <c r="H239">
        <v>9219</v>
      </c>
      <c r="I239" t="str">
        <f t="shared" si="50"/>
        <v>10</v>
      </c>
      <c r="J239" t="str">
        <f t="shared" si="51"/>
        <v>Team Fouad Ahidar A+</v>
      </c>
      <c r="K239">
        <v>813</v>
      </c>
      <c r="L239">
        <v>3741</v>
      </c>
      <c r="M239">
        <v>4554</v>
      </c>
      <c r="N239">
        <v>0</v>
      </c>
      <c r="O239" t="str">
        <f>("8")</f>
        <v>8</v>
      </c>
      <c r="P239" t="str">
        <f>("Bouaissa Sameh")</f>
        <v>Bouaissa Sameh</v>
      </c>
      <c r="Q239">
        <v>721</v>
      </c>
    </row>
    <row r="240" spans="1:17" x14ac:dyDescent="0.3">
      <c r="A240" t="s">
        <v>0</v>
      </c>
      <c r="B240" s="1">
        <v>45578</v>
      </c>
      <c r="C240" t="str">
        <f t="shared" si="48"/>
        <v>11002</v>
      </c>
      <c r="D240" t="s">
        <v>2</v>
      </c>
      <c r="E240" t="str">
        <f t="shared" si="49"/>
        <v>20</v>
      </c>
      <c r="F240">
        <v>710734</v>
      </c>
      <c r="G240">
        <v>437819</v>
      </c>
      <c r="H240">
        <v>9219</v>
      </c>
      <c r="I240" t="str">
        <f t="shared" si="50"/>
        <v>10</v>
      </c>
      <c r="J240" t="str">
        <f t="shared" si="51"/>
        <v>Team Fouad Ahidar A+</v>
      </c>
      <c r="K240">
        <v>813</v>
      </c>
      <c r="L240">
        <v>3741</v>
      </c>
      <c r="M240">
        <v>4554</v>
      </c>
      <c r="N240">
        <v>0</v>
      </c>
      <c r="O240" t="str">
        <f>("9")</f>
        <v>9</v>
      </c>
      <c r="P240" t="str">
        <f>("Tounsi Saida")</f>
        <v>Tounsi Saida</v>
      </c>
      <c r="Q240">
        <v>705</v>
      </c>
    </row>
    <row r="241" spans="1:17" x14ac:dyDescent="0.3">
      <c r="A241" t="s">
        <v>0</v>
      </c>
      <c r="B241" s="1">
        <v>45578</v>
      </c>
      <c r="C241" t="str">
        <f t="shared" si="48"/>
        <v>11002</v>
      </c>
      <c r="D241" t="s">
        <v>2</v>
      </c>
      <c r="E241" t="str">
        <f t="shared" si="49"/>
        <v>20</v>
      </c>
      <c r="F241">
        <v>710734</v>
      </c>
      <c r="G241">
        <v>437819</v>
      </c>
      <c r="H241">
        <v>9219</v>
      </c>
      <c r="I241" t="str">
        <f t="shared" si="50"/>
        <v>10</v>
      </c>
      <c r="J241" t="str">
        <f t="shared" si="51"/>
        <v>Team Fouad Ahidar A+</v>
      </c>
      <c r="K241">
        <v>813</v>
      </c>
      <c r="L241">
        <v>3741</v>
      </c>
      <c r="M241">
        <v>4554</v>
      </c>
      <c r="N241">
        <v>0</v>
      </c>
      <c r="O241" t="str">
        <f>("10")</f>
        <v>10</v>
      </c>
      <c r="P241" t="str">
        <f>("Chebaa Amimou Oumayya")</f>
        <v>Chebaa Amimou Oumayya</v>
      </c>
      <c r="Q241">
        <v>739</v>
      </c>
    </row>
    <row r="242" spans="1:17" x14ac:dyDescent="0.3">
      <c r="A242" t="s">
        <v>0</v>
      </c>
      <c r="B242" s="1">
        <v>45578</v>
      </c>
      <c r="C242" t="str">
        <f t="shared" si="48"/>
        <v>11002</v>
      </c>
      <c r="D242" t="s">
        <v>2</v>
      </c>
      <c r="E242" t="str">
        <f t="shared" si="49"/>
        <v>20</v>
      </c>
      <c r="F242">
        <v>710734</v>
      </c>
      <c r="G242">
        <v>437819</v>
      </c>
      <c r="H242">
        <v>9219</v>
      </c>
      <c r="I242" t="str">
        <f t="shared" si="50"/>
        <v>10</v>
      </c>
      <c r="J242" t="str">
        <f t="shared" si="51"/>
        <v>Team Fouad Ahidar A+</v>
      </c>
      <c r="K242">
        <v>813</v>
      </c>
      <c r="L242">
        <v>3741</v>
      </c>
      <c r="M242">
        <v>4554</v>
      </c>
      <c r="N242">
        <v>0</v>
      </c>
      <c r="O242" t="str">
        <f>("11")</f>
        <v>11</v>
      </c>
      <c r="P242" t="str">
        <f>("Chebaa Amimou Salah")</f>
        <v>Chebaa Amimou Salah</v>
      </c>
      <c r="Q242">
        <v>800</v>
      </c>
    </row>
    <row r="243" spans="1:17" x14ac:dyDescent="0.3">
      <c r="A243" t="s">
        <v>0</v>
      </c>
      <c r="B243" s="1">
        <v>45578</v>
      </c>
      <c r="C243" t="str">
        <f t="shared" si="48"/>
        <v>11002</v>
      </c>
      <c r="D243" t="s">
        <v>2</v>
      </c>
      <c r="E243" t="str">
        <f t="shared" si="49"/>
        <v>20</v>
      </c>
      <c r="F243">
        <v>710734</v>
      </c>
      <c r="G243">
        <v>437819</v>
      </c>
      <c r="H243">
        <v>9219</v>
      </c>
      <c r="I243" t="str">
        <f t="shared" ref="I243:I253" si="52">("11")</f>
        <v>11</v>
      </c>
      <c r="J243" t="str">
        <f t="shared" ref="J243:J253" si="53">("SVD")</f>
        <v>SVD</v>
      </c>
      <c r="K243">
        <v>80</v>
      </c>
      <c r="L243">
        <v>252</v>
      </c>
      <c r="M243">
        <v>332</v>
      </c>
      <c r="N243">
        <v>0</v>
      </c>
      <c r="O243" t="str">
        <f>("1")</f>
        <v>1</v>
      </c>
      <c r="P243" t="str">
        <f>("Van Grembergen Dick Van Gelder")</f>
        <v>Van Grembergen Dick Van Gelder</v>
      </c>
      <c r="Q243">
        <v>52</v>
      </c>
    </row>
    <row r="244" spans="1:17" x14ac:dyDescent="0.3">
      <c r="A244" t="s">
        <v>0</v>
      </c>
      <c r="B244" s="1">
        <v>45578</v>
      </c>
      <c r="C244" t="str">
        <f t="shared" si="48"/>
        <v>11002</v>
      </c>
      <c r="D244" t="s">
        <v>2</v>
      </c>
      <c r="E244" t="str">
        <f t="shared" si="49"/>
        <v>20</v>
      </c>
      <c r="F244">
        <v>710734</v>
      </c>
      <c r="G244">
        <v>437819</v>
      </c>
      <c r="H244">
        <v>9219</v>
      </c>
      <c r="I244" t="str">
        <f t="shared" si="52"/>
        <v>11</v>
      </c>
      <c r="J244" t="str">
        <f t="shared" si="53"/>
        <v>SVD</v>
      </c>
      <c r="K244">
        <v>80</v>
      </c>
      <c r="L244">
        <v>252</v>
      </c>
      <c r="M244">
        <v>332</v>
      </c>
      <c r="N244">
        <v>0</v>
      </c>
      <c r="O244" t="str">
        <f>("2")</f>
        <v>2</v>
      </c>
      <c r="P244" t="str">
        <f>("Van Eijnde Chris")</f>
        <v>Van Eijnde Chris</v>
      </c>
      <c r="Q244">
        <v>39</v>
      </c>
    </row>
    <row r="245" spans="1:17" x14ac:dyDescent="0.3">
      <c r="A245" t="s">
        <v>0</v>
      </c>
      <c r="B245" s="1">
        <v>45578</v>
      </c>
      <c r="C245" t="str">
        <f t="shared" si="48"/>
        <v>11002</v>
      </c>
      <c r="D245" t="s">
        <v>2</v>
      </c>
      <c r="E245" t="str">
        <f t="shared" si="49"/>
        <v>20</v>
      </c>
      <c r="F245">
        <v>710734</v>
      </c>
      <c r="G245">
        <v>437819</v>
      </c>
      <c r="H245">
        <v>9219</v>
      </c>
      <c r="I245" t="str">
        <f t="shared" si="52"/>
        <v>11</v>
      </c>
      <c r="J245" t="str">
        <f t="shared" si="53"/>
        <v>SVD</v>
      </c>
      <c r="K245">
        <v>80</v>
      </c>
      <c r="L245">
        <v>252</v>
      </c>
      <c r="M245">
        <v>332</v>
      </c>
      <c r="N245">
        <v>0</v>
      </c>
      <c r="O245" t="str">
        <f>("3")</f>
        <v>3</v>
      </c>
      <c r="P245" t="str">
        <f>("Brant Chil")</f>
        <v>Brant Chil</v>
      </c>
      <c r="Q245">
        <v>39</v>
      </c>
    </row>
    <row r="246" spans="1:17" x14ac:dyDescent="0.3">
      <c r="A246" t="s">
        <v>0</v>
      </c>
      <c r="B246" s="1">
        <v>45578</v>
      </c>
      <c r="C246" t="str">
        <f t="shared" si="48"/>
        <v>11002</v>
      </c>
      <c r="D246" t="s">
        <v>2</v>
      </c>
      <c r="E246" t="str">
        <f t="shared" si="49"/>
        <v>20</v>
      </c>
      <c r="F246">
        <v>710734</v>
      </c>
      <c r="G246">
        <v>437819</v>
      </c>
      <c r="H246">
        <v>9219</v>
      </c>
      <c r="I246" t="str">
        <f t="shared" si="52"/>
        <v>11</v>
      </c>
      <c r="J246" t="str">
        <f t="shared" si="53"/>
        <v>SVD</v>
      </c>
      <c r="K246">
        <v>80</v>
      </c>
      <c r="L246">
        <v>252</v>
      </c>
      <c r="M246">
        <v>332</v>
      </c>
      <c r="N246">
        <v>0</v>
      </c>
      <c r="O246" t="str">
        <f>("4")</f>
        <v>4</v>
      </c>
      <c r="P246" t="str">
        <f>("Neefs Carrera")</f>
        <v>Neefs Carrera</v>
      </c>
      <c r="Q246">
        <v>90</v>
      </c>
    </row>
    <row r="247" spans="1:17" x14ac:dyDescent="0.3">
      <c r="A247" t="s">
        <v>0</v>
      </c>
      <c r="B247" s="1">
        <v>45578</v>
      </c>
      <c r="C247" t="str">
        <f t="shared" si="48"/>
        <v>11002</v>
      </c>
      <c r="D247" t="s">
        <v>2</v>
      </c>
      <c r="E247" t="str">
        <f t="shared" si="49"/>
        <v>20</v>
      </c>
      <c r="F247">
        <v>710734</v>
      </c>
      <c r="G247">
        <v>437819</v>
      </c>
      <c r="H247">
        <v>9219</v>
      </c>
      <c r="I247" t="str">
        <f t="shared" si="52"/>
        <v>11</v>
      </c>
      <c r="J247" t="str">
        <f t="shared" si="53"/>
        <v>SVD</v>
      </c>
      <c r="K247">
        <v>80</v>
      </c>
      <c r="L247">
        <v>252</v>
      </c>
      <c r="M247">
        <v>332</v>
      </c>
      <c r="N247">
        <v>0</v>
      </c>
      <c r="O247" t="str">
        <f>("5")</f>
        <v>5</v>
      </c>
      <c r="P247" t="str">
        <f>("Vanhille Michel")</f>
        <v>Vanhille Michel</v>
      </c>
      <c r="Q247">
        <v>25</v>
      </c>
    </row>
    <row r="248" spans="1:17" x14ac:dyDescent="0.3">
      <c r="A248" t="s">
        <v>0</v>
      </c>
      <c r="B248" s="1">
        <v>45578</v>
      </c>
      <c r="C248" t="str">
        <f t="shared" si="48"/>
        <v>11002</v>
      </c>
      <c r="D248" t="s">
        <v>2</v>
      </c>
      <c r="E248" t="str">
        <f t="shared" si="49"/>
        <v>20</v>
      </c>
      <c r="F248">
        <v>710734</v>
      </c>
      <c r="G248">
        <v>437819</v>
      </c>
      <c r="H248">
        <v>9219</v>
      </c>
      <c r="I248" t="str">
        <f t="shared" si="52"/>
        <v>11</v>
      </c>
      <c r="J248" t="str">
        <f t="shared" si="53"/>
        <v>SVD</v>
      </c>
      <c r="K248">
        <v>80</v>
      </c>
      <c r="L248">
        <v>252</v>
      </c>
      <c r="M248">
        <v>332</v>
      </c>
      <c r="N248">
        <v>0</v>
      </c>
      <c r="O248" t="str">
        <f>("6")</f>
        <v>6</v>
      </c>
      <c r="P248" t="str">
        <f>("Budts Sonja")</f>
        <v>Budts Sonja</v>
      </c>
      <c r="Q248">
        <v>31</v>
      </c>
    </row>
    <row r="249" spans="1:17" x14ac:dyDescent="0.3">
      <c r="A249" t="s">
        <v>0</v>
      </c>
      <c r="B249" s="1">
        <v>45578</v>
      </c>
      <c r="C249" t="str">
        <f t="shared" si="48"/>
        <v>11002</v>
      </c>
      <c r="D249" t="s">
        <v>2</v>
      </c>
      <c r="E249" t="str">
        <f t="shared" si="49"/>
        <v>20</v>
      </c>
      <c r="F249">
        <v>710734</v>
      </c>
      <c r="G249">
        <v>437819</v>
      </c>
      <c r="H249">
        <v>9219</v>
      </c>
      <c r="I249" t="str">
        <f t="shared" si="52"/>
        <v>11</v>
      </c>
      <c r="J249" t="str">
        <f t="shared" si="53"/>
        <v>SVD</v>
      </c>
      <c r="K249">
        <v>80</v>
      </c>
      <c r="L249">
        <v>252</v>
      </c>
      <c r="M249">
        <v>332</v>
      </c>
      <c r="N249">
        <v>0</v>
      </c>
      <c r="O249" t="str">
        <f>("7")</f>
        <v>7</v>
      </c>
      <c r="P249" t="str">
        <f>("Appels Christian")</f>
        <v>Appels Christian</v>
      </c>
      <c r="Q249">
        <v>45</v>
      </c>
    </row>
    <row r="250" spans="1:17" x14ac:dyDescent="0.3">
      <c r="A250" t="s">
        <v>0</v>
      </c>
      <c r="B250" s="1">
        <v>45578</v>
      </c>
      <c r="C250" t="str">
        <f t="shared" si="48"/>
        <v>11002</v>
      </c>
      <c r="D250" t="s">
        <v>2</v>
      </c>
      <c r="E250" t="str">
        <f t="shared" si="49"/>
        <v>20</v>
      </c>
      <c r="F250">
        <v>710734</v>
      </c>
      <c r="G250">
        <v>437819</v>
      </c>
      <c r="H250">
        <v>9219</v>
      </c>
      <c r="I250" t="str">
        <f t="shared" si="52"/>
        <v>11</v>
      </c>
      <c r="J250" t="str">
        <f t="shared" si="53"/>
        <v>SVD</v>
      </c>
      <c r="K250">
        <v>80</v>
      </c>
      <c r="L250">
        <v>252</v>
      </c>
      <c r="M250">
        <v>332</v>
      </c>
      <c r="N250">
        <v>0</v>
      </c>
      <c r="O250" t="str">
        <f>("8")</f>
        <v>8</v>
      </c>
      <c r="P250" t="str">
        <f>("Verlinden Evi")</f>
        <v>Verlinden Evi</v>
      </c>
      <c r="Q250">
        <v>35</v>
      </c>
    </row>
    <row r="251" spans="1:17" x14ac:dyDescent="0.3">
      <c r="A251" t="s">
        <v>0</v>
      </c>
      <c r="B251" s="1">
        <v>45578</v>
      </c>
      <c r="C251" t="str">
        <f t="shared" si="48"/>
        <v>11002</v>
      </c>
      <c r="D251" t="s">
        <v>2</v>
      </c>
      <c r="E251" t="str">
        <f t="shared" si="49"/>
        <v>20</v>
      </c>
      <c r="F251">
        <v>710734</v>
      </c>
      <c r="G251">
        <v>437819</v>
      </c>
      <c r="H251">
        <v>9219</v>
      </c>
      <c r="I251" t="str">
        <f t="shared" si="52"/>
        <v>11</v>
      </c>
      <c r="J251" t="str">
        <f t="shared" si="53"/>
        <v>SVD</v>
      </c>
      <c r="K251">
        <v>80</v>
      </c>
      <c r="L251">
        <v>252</v>
      </c>
      <c r="M251">
        <v>332</v>
      </c>
      <c r="N251">
        <v>0</v>
      </c>
      <c r="O251" t="str">
        <f>("9")</f>
        <v>9</v>
      </c>
      <c r="P251" t="str">
        <f>("Blanchart Geert")</f>
        <v>Blanchart Geert</v>
      </c>
      <c r="Q251">
        <v>25</v>
      </c>
    </row>
    <row r="252" spans="1:17" x14ac:dyDescent="0.3">
      <c r="A252" t="s">
        <v>0</v>
      </c>
      <c r="B252" s="1">
        <v>45578</v>
      </c>
      <c r="C252" t="str">
        <f t="shared" si="48"/>
        <v>11002</v>
      </c>
      <c r="D252" t="s">
        <v>2</v>
      </c>
      <c r="E252" t="str">
        <f t="shared" si="49"/>
        <v>20</v>
      </c>
      <c r="F252">
        <v>710734</v>
      </c>
      <c r="G252">
        <v>437819</v>
      </c>
      <c r="H252">
        <v>9219</v>
      </c>
      <c r="I252" t="str">
        <f t="shared" si="52"/>
        <v>11</v>
      </c>
      <c r="J252" t="str">
        <f t="shared" si="53"/>
        <v>SVD</v>
      </c>
      <c r="K252">
        <v>80</v>
      </c>
      <c r="L252">
        <v>252</v>
      </c>
      <c r="M252">
        <v>332</v>
      </c>
      <c r="N252">
        <v>0</v>
      </c>
      <c r="O252" t="str">
        <f>("10")</f>
        <v>10</v>
      </c>
      <c r="P252" t="str">
        <f>("Janssens Eva")</f>
        <v>Janssens Eva</v>
      </c>
      <c r="Q252">
        <v>36</v>
      </c>
    </row>
    <row r="253" spans="1:17" x14ac:dyDescent="0.3">
      <c r="A253" t="s">
        <v>0</v>
      </c>
      <c r="B253" s="1">
        <v>45578</v>
      </c>
      <c r="C253" t="str">
        <f t="shared" si="48"/>
        <v>11002</v>
      </c>
      <c r="D253" t="s">
        <v>2</v>
      </c>
      <c r="E253" t="str">
        <f t="shared" si="49"/>
        <v>20</v>
      </c>
      <c r="F253">
        <v>710734</v>
      </c>
      <c r="G253">
        <v>437819</v>
      </c>
      <c r="H253">
        <v>9219</v>
      </c>
      <c r="I253" t="str">
        <f t="shared" si="52"/>
        <v>11</v>
      </c>
      <c r="J253" t="str">
        <f t="shared" si="53"/>
        <v>SVD</v>
      </c>
      <c r="K253">
        <v>80</v>
      </c>
      <c r="L253">
        <v>252</v>
      </c>
      <c r="M253">
        <v>332</v>
      </c>
      <c r="N253">
        <v>0</v>
      </c>
      <c r="O253" t="str">
        <f>("11")</f>
        <v>11</v>
      </c>
      <c r="P253" t="str">
        <f>("Verlinden Eduard")</f>
        <v>Verlinden Eduard</v>
      </c>
      <c r="Q253">
        <v>35</v>
      </c>
    </row>
    <row r="254" spans="1:17" x14ac:dyDescent="0.3">
      <c r="A254" t="s">
        <v>0</v>
      </c>
      <c r="B254" s="1">
        <v>45578</v>
      </c>
      <c r="C254" t="str">
        <f t="shared" si="48"/>
        <v>11002</v>
      </c>
      <c r="D254" t="s">
        <v>2</v>
      </c>
      <c r="E254" t="str">
        <f t="shared" si="49"/>
        <v>20</v>
      </c>
      <c r="F254">
        <v>710734</v>
      </c>
      <c r="G254">
        <v>437819</v>
      </c>
      <c r="H254">
        <v>9219</v>
      </c>
      <c r="I254" t="str">
        <f t="shared" ref="I254:I259" si="54">("12")</f>
        <v>12</v>
      </c>
      <c r="J254" t="str">
        <f t="shared" ref="J254:J259" si="55">("B.U.B. Antwerpen")</f>
        <v>B.U.B. Antwerpen</v>
      </c>
      <c r="K254">
        <v>199</v>
      </c>
      <c r="L254">
        <v>601</v>
      </c>
      <c r="M254">
        <v>800</v>
      </c>
      <c r="N254">
        <v>0</v>
      </c>
      <c r="O254" t="str">
        <f>("1")</f>
        <v>1</v>
      </c>
      <c r="P254" t="str">
        <f>("Voets Frederik")</f>
        <v>Voets Frederik</v>
      </c>
      <c r="Q254">
        <v>181</v>
      </c>
    </row>
    <row r="255" spans="1:17" x14ac:dyDescent="0.3">
      <c r="A255" t="s">
        <v>0</v>
      </c>
      <c r="B255" s="1">
        <v>45578</v>
      </c>
      <c r="C255" t="str">
        <f t="shared" si="48"/>
        <v>11002</v>
      </c>
      <c r="D255" t="s">
        <v>2</v>
      </c>
      <c r="E255" t="str">
        <f t="shared" si="49"/>
        <v>20</v>
      </c>
      <c r="F255">
        <v>710734</v>
      </c>
      <c r="G255">
        <v>437819</v>
      </c>
      <c r="H255">
        <v>9219</v>
      </c>
      <c r="I255" t="str">
        <f t="shared" si="54"/>
        <v>12</v>
      </c>
      <c r="J255" t="str">
        <f t="shared" si="55"/>
        <v>B.U.B. Antwerpen</v>
      </c>
      <c r="K255">
        <v>199</v>
      </c>
      <c r="L255">
        <v>601</v>
      </c>
      <c r="M255">
        <v>800</v>
      </c>
      <c r="N255">
        <v>0</v>
      </c>
      <c r="O255" t="str">
        <f>("2")</f>
        <v>2</v>
      </c>
      <c r="P255" t="str">
        <f>("van den Broeck Erna")</f>
        <v>van den Broeck Erna</v>
      </c>
      <c r="Q255">
        <v>122</v>
      </c>
    </row>
    <row r="256" spans="1:17" x14ac:dyDescent="0.3">
      <c r="A256" t="s">
        <v>0</v>
      </c>
      <c r="B256" s="1">
        <v>45578</v>
      </c>
      <c r="C256" t="str">
        <f t="shared" si="48"/>
        <v>11002</v>
      </c>
      <c r="D256" t="s">
        <v>2</v>
      </c>
      <c r="E256" t="str">
        <f t="shared" si="49"/>
        <v>20</v>
      </c>
      <c r="F256">
        <v>710734</v>
      </c>
      <c r="G256">
        <v>437819</v>
      </c>
      <c r="H256">
        <v>9219</v>
      </c>
      <c r="I256" t="str">
        <f t="shared" si="54"/>
        <v>12</v>
      </c>
      <c r="J256" t="str">
        <f t="shared" si="55"/>
        <v>B.U.B. Antwerpen</v>
      </c>
      <c r="K256">
        <v>199</v>
      </c>
      <c r="L256">
        <v>601</v>
      </c>
      <c r="M256">
        <v>800</v>
      </c>
      <c r="N256">
        <v>0</v>
      </c>
      <c r="O256" t="str">
        <f>("3")</f>
        <v>3</v>
      </c>
      <c r="P256" t="str">
        <f>("Marzoug Ramzi")</f>
        <v>Marzoug Ramzi</v>
      </c>
      <c r="Q256">
        <v>139</v>
      </c>
    </row>
    <row r="257" spans="1:19" x14ac:dyDescent="0.3">
      <c r="A257" t="s">
        <v>0</v>
      </c>
      <c r="B257" s="1">
        <v>45578</v>
      </c>
      <c r="C257" t="str">
        <f t="shared" si="48"/>
        <v>11002</v>
      </c>
      <c r="D257" t="s">
        <v>2</v>
      </c>
      <c r="E257" t="str">
        <f t="shared" si="49"/>
        <v>20</v>
      </c>
      <c r="F257">
        <v>710734</v>
      </c>
      <c r="G257">
        <v>437819</v>
      </c>
      <c r="H257">
        <v>9219</v>
      </c>
      <c r="I257" t="str">
        <f t="shared" si="54"/>
        <v>12</v>
      </c>
      <c r="J257" t="str">
        <f t="shared" si="55"/>
        <v>B.U.B. Antwerpen</v>
      </c>
      <c r="K257">
        <v>199</v>
      </c>
      <c r="L257">
        <v>601</v>
      </c>
      <c r="M257">
        <v>800</v>
      </c>
      <c r="N257">
        <v>0</v>
      </c>
      <c r="O257" t="str">
        <f>("4")</f>
        <v>4</v>
      </c>
      <c r="P257" t="str">
        <f>("Magermans Jeannine")</f>
        <v>Magermans Jeannine</v>
      </c>
      <c r="Q257">
        <v>77</v>
      </c>
    </row>
    <row r="258" spans="1:19" x14ac:dyDescent="0.3">
      <c r="A258" t="s">
        <v>0</v>
      </c>
      <c r="B258" s="1">
        <v>45578</v>
      </c>
      <c r="C258" t="str">
        <f t="shared" si="48"/>
        <v>11002</v>
      </c>
      <c r="D258" t="s">
        <v>2</v>
      </c>
      <c r="E258" t="str">
        <f t="shared" si="49"/>
        <v>20</v>
      </c>
      <c r="F258">
        <v>710734</v>
      </c>
      <c r="G258">
        <v>437819</v>
      </c>
      <c r="H258">
        <v>9219</v>
      </c>
      <c r="I258" t="str">
        <f t="shared" si="54"/>
        <v>12</v>
      </c>
      <c r="J258" t="str">
        <f t="shared" si="55"/>
        <v>B.U.B. Antwerpen</v>
      </c>
      <c r="K258">
        <v>199</v>
      </c>
      <c r="L258">
        <v>601</v>
      </c>
      <c r="M258">
        <v>800</v>
      </c>
      <c r="N258">
        <v>0</v>
      </c>
      <c r="O258" t="str">
        <f>("5")</f>
        <v>5</v>
      </c>
      <c r="P258" t="str">
        <f>("Sophie Jelle")</f>
        <v>Sophie Jelle</v>
      </c>
      <c r="Q258">
        <v>96</v>
      </c>
    </row>
    <row r="259" spans="1:19" x14ac:dyDescent="0.3">
      <c r="A259" t="s">
        <v>0</v>
      </c>
      <c r="B259" s="1">
        <v>45578</v>
      </c>
      <c r="C259" t="str">
        <f t="shared" si="48"/>
        <v>11002</v>
      </c>
      <c r="D259" t="s">
        <v>2</v>
      </c>
      <c r="E259" t="str">
        <f t="shared" si="49"/>
        <v>20</v>
      </c>
      <c r="F259">
        <v>710734</v>
      </c>
      <c r="G259">
        <v>437819</v>
      </c>
      <c r="H259">
        <v>9219</v>
      </c>
      <c r="I259" t="str">
        <f t="shared" si="54"/>
        <v>12</v>
      </c>
      <c r="J259" t="str">
        <f t="shared" si="55"/>
        <v>B.U.B. Antwerpen</v>
      </c>
      <c r="K259">
        <v>199</v>
      </c>
      <c r="L259">
        <v>601</v>
      </c>
      <c r="M259">
        <v>800</v>
      </c>
      <c r="N259">
        <v>0</v>
      </c>
      <c r="O259" t="str">
        <f>("6")</f>
        <v>6</v>
      </c>
      <c r="P259" t="str">
        <f>("Philippe Christine")</f>
        <v>Philippe Christine</v>
      </c>
      <c r="Q259">
        <v>135</v>
      </c>
    </row>
    <row r="260" spans="1:19" x14ac:dyDescent="0.3">
      <c r="A260" t="s">
        <v>0</v>
      </c>
      <c r="B260" s="1">
        <v>45578</v>
      </c>
      <c r="C260" t="str">
        <f t="shared" ref="C260:C291" si="56">("31005")</f>
        <v>31005</v>
      </c>
      <c r="D260" t="s">
        <v>3</v>
      </c>
      <c r="E260" t="str">
        <f t="shared" ref="E260:E291" si="57">("9")</f>
        <v>9</v>
      </c>
      <c r="F260">
        <v>223527</v>
      </c>
      <c r="G260">
        <v>138738</v>
      </c>
      <c r="H260">
        <v>4265</v>
      </c>
      <c r="I260" t="str">
        <f t="shared" ref="I260:I268" si="58">("1")</f>
        <v>1</v>
      </c>
      <c r="J260" t="str">
        <f t="shared" ref="J260:J268" si="59">("Vooruit")</f>
        <v>Vooruit</v>
      </c>
      <c r="K260">
        <v>8383</v>
      </c>
      <c r="L260">
        <v>12678</v>
      </c>
      <c r="M260">
        <v>21061</v>
      </c>
      <c r="N260">
        <v>2</v>
      </c>
      <c r="O260" t="str">
        <f>("1")</f>
        <v>1</v>
      </c>
      <c r="P260" t="str">
        <f>("Willems Tom")</f>
        <v>Willems Tom</v>
      </c>
      <c r="Q260">
        <v>3224</v>
      </c>
      <c r="S260">
        <v>2</v>
      </c>
    </row>
    <row r="261" spans="1:19" x14ac:dyDescent="0.3">
      <c r="A261" t="s">
        <v>0</v>
      </c>
      <c r="B261" s="1">
        <v>45578</v>
      </c>
      <c r="C261" t="str">
        <f t="shared" si="56"/>
        <v>31005</v>
      </c>
      <c r="D261" t="s">
        <v>3</v>
      </c>
      <c r="E261" t="str">
        <f t="shared" si="57"/>
        <v>9</v>
      </c>
      <c r="F261">
        <v>223527</v>
      </c>
      <c r="G261">
        <v>138738</v>
      </c>
      <c r="H261">
        <v>4265</v>
      </c>
      <c r="I261" t="str">
        <f t="shared" si="58"/>
        <v>1</v>
      </c>
      <c r="J261" t="str">
        <f t="shared" si="59"/>
        <v>Vooruit</v>
      </c>
      <c r="K261">
        <v>8383</v>
      </c>
      <c r="L261">
        <v>12678</v>
      </c>
      <c r="M261">
        <v>21061</v>
      </c>
      <c r="N261">
        <v>2</v>
      </c>
      <c r="O261" t="str">
        <f>("2")</f>
        <v>2</v>
      </c>
      <c r="P261" t="str">
        <f>("Crevits Anneke")</f>
        <v>Crevits Anneke</v>
      </c>
      <c r="Q261">
        <v>3231</v>
      </c>
      <c r="S261">
        <v>1</v>
      </c>
    </row>
    <row r="262" spans="1:19" x14ac:dyDescent="0.3">
      <c r="A262" t="s">
        <v>0</v>
      </c>
      <c r="B262" s="1">
        <v>45578</v>
      </c>
      <c r="C262" t="str">
        <f t="shared" si="56"/>
        <v>31005</v>
      </c>
      <c r="D262" t="s">
        <v>3</v>
      </c>
      <c r="E262" t="str">
        <f t="shared" si="57"/>
        <v>9</v>
      </c>
      <c r="F262">
        <v>223527</v>
      </c>
      <c r="G262">
        <v>138738</v>
      </c>
      <c r="H262">
        <v>4265</v>
      </c>
      <c r="I262" t="str">
        <f t="shared" si="58"/>
        <v>1</v>
      </c>
      <c r="J262" t="str">
        <f t="shared" si="59"/>
        <v>Vooruit</v>
      </c>
      <c r="K262">
        <v>8383</v>
      </c>
      <c r="L262">
        <v>12678</v>
      </c>
      <c r="M262">
        <v>21061</v>
      </c>
      <c r="N262">
        <v>2</v>
      </c>
      <c r="O262" t="str">
        <f>("3")</f>
        <v>3</v>
      </c>
      <c r="P262" t="str">
        <f>("Jodts Vanessa")</f>
        <v>Jodts Vanessa</v>
      </c>
      <c r="Q262">
        <v>2336</v>
      </c>
      <c r="S262">
        <v>3</v>
      </c>
    </row>
    <row r="263" spans="1:19" x14ac:dyDescent="0.3">
      <c r="A263" t="s">
        <v>0</v>
      </c>
      <c r="B263" s="1">
        <v>45578</v>
      </c>
      <c r="C263" t="str">
        <f t="shared" si="56"/>
        <v>31005</v>
      </c>
      <c r="D263" t="s">
        <v>3</v>
      </c>
      <c r="E263" t="str">
        <f t="shared" si="57"/>
        <v>9</v>
      </c>
      <c r="F263">
        <v>223527</v>
      </c>
      <c r="G263">
        <v>138738</v>
      </c>
      <c r="H263">
        <v>4265</v>
      </c>
      <c r="I263" t="str">
        <f t="shared" si="58"/>
        <v>1</v>
      </c>
      <c r="J263" t="str">
        <f t="shared" si="59"/>
        <v>Vooruit</v>
      </c>
      <c r="K263">
        <v>8383</v>
      </c>
      <c r="L263">
        <v>12678</v>
      </c>
      <c r="M263">
        <v>21061</v>
      </c>
      <c r="N263">
        <v>2</v>
      </c>
      <c r="O263" t="str">
        <f>("4")</f>
        <v>4</v>
      </c>
      <c r="P263" t="str">
        <f>("Descheemaecker Günther")</f>
        <v>Descheemaecker Günther</v>
      </c>
      <c r="Q263">
        <v>1378</v>
      </c>
      <c r="S263">
        <v>5</v>
      </c>
    </row>
    <row r="264" spans="1:19" x14ac:dyDescent="0.3">
      <c r="A264" t="s">
        <v>0</v>
      </c>
      <c r="B264" s="1">
        <v>45578</v>
      </c>
      <c r="C264" t="str">
        <f t="shared" si="56"/>
        <v>31005</v>
      </c>
      <c r="D264" t="s">
        <v>3</v>
      </c>
      <c r="E264" t="str">
        <f t="shared" si="57"/>
        <v>9</v>
      </c>
      <c r="F264">
        <v>223527</v>
      </c>
      <c r="G264">
        <v>138738</v>
      </c>
      <c r="H264">
        <v>4265</v>
      </c>
      <c r="I264" t="str">
        <f t="shared" si="58"/>
        <v>1</v>
      </c>
      <c r="J264" t="str">
        <f t="shared" si="59"/>
        <v>Vooruit</v>
      </c>
      <c r="K264">
        <v>8383</v>
      </c>
      <c r="L264">
        <v>12678</v>
      </c>
      <c r="M264">
        <v>21061</v>
      </c>
      <c r="N264">
        <v>2</v>
      </c>
      <c r="O264" t="str">
        <f>("5")</f>
        <v>5</v>
      </c>
      <c r="P264" t="str">
        <f>("Hendrickx Nadia")</f>
        <v>Hendrickx Nadia</v>
      </c>
      <c r="Q264">
        <v>1852</v>
      </c>
      <c r="S264">
        <v>4</v>
      </c>
    </row>
    <row r="265" spans="1:19" x14ac:dyDescent="0.3">
      <c r="A265" t="s">
        <v>0</v>
      </c>
      <c r="B265" s="1">
        <v>45578</v>
      </c>
      <c r="C265" t="str">
        <f t="shared" si="56"/>
        <v>31005</v>
      </c>
      <c r="D265" t="s">
        <v>3</v>
      </c>
      <c r="E265" t="str">
        <f t="shared" si="57"/>
        <v>9</v>
      </c>
      <c r="F265">
        <v>223527</v>
      </c>
      <c r="G265">
        <v>138738</v>
      </c>
      <c r="H265">
        <v>4265</v>
      </c>
      <c r="I265" t="str">
        <f t="shared" si="58"/>
        <v>1</v>
      </c>
      <c r="J265" t="str">
        <f t="shared" si="59"/>
        <v>Vooruit</v>
      </c>
      <c r="K265">
        <v>8383</v>
      </c>
      <c r="L265">
        <v>12678</v>
      </c>
      <c r="M265">
        <v>21061</v>
      </c>
      <c r="N265">
        <v>2</v>
      </c>
      <c r="O265" t="str">
        <f>("6")</f>
        <v>6</v>
      </c>
      <c r="P265" t="str">
        <f>("Deheegher Tijs")</f>
        <v>Deheegher Tijs</v>
      </c>
      <c r="Q265">
        <v>1130</v>
      </c>
      <c r="S265">
        <v>6</v>
      </c>
    </row>
    <row r="266" spans="1:19" x14ac:dyDescent="0.3">
      <c r="A266" t="s">
        <v>0</v>
      </c>
      <c r="B266" s="1">
        <v>45578</v>
      </c>
      <c r="C266" t="str">
        <f t="shared" si="56"/>
        <v>31005</v>
      </c>
      <c r="D266" t="s">
        <v>3</v>
      </c>
      <c r="E266" t="str">
        <f t="shared" si="57"/>
        <v>9</v>
      </c>
      <c r="F266">
        <v>223527</v>
      </c>
      <c r="G266">
        <v>138738</v>
      </c>
      <c r="H266">
        <v>4265</v>
      </c>
      <c r="I266" t="str">
        <f t="shared" si="58"/>
        <v>1</v>
      </c>
      <c r="J266" t="str">
        <f t="shared" si="59"/>
        <v>Vooruit</v>
      </c>
      <c r="K266">
        <v>8383</v>
      </c>
      <c r="L266">
        <v>12678</v>
      </c>
      <c r="M266">
        <v>21061</v>
      </c>
      <c r="N266">
        <v>2</v>
      </c>
      <c r="O266" t="str">
        <f>("7")</f>
        <v>7</v>
      </c>
      <c r="P266" t="str">
        <f>("Kempinck Stijn")</f>
        <v>Kempinck Stijn</v>
      </c>
      <c r="Q266">
        <v>1110</v>
      </c>
      <c r="S266">
        <v>7</v>
      </c>
    </row>
    <row r="267" spans="1:19" x14ac:dyDescent="0.3">
      <c r="A267" t="s">
        <v>0</v>
      </c>
      <c r="B267" s="1">
        <v>45578</v>
      </c>
      <c r="C267" t="str">
        <f t="shared" si="56"/>
        <v>31005</v>
      </c>
      <c r="D267" t="s">
        <v>3</v>
      </c>
      <c r="E267" t="str">
        <f t="shared" si="57"/>
        <v>9</v>
      </c>
      <c r="F267">
        <v>223527</v>
      </c>
      <c r="G267">
        <v>138738</v>
      </c>
      <c r="H267">
        <v>4265</v>
      </c>
      <c r="I267" t="str">
        <f t="shared" si="58"/>
        <v>1</v>
      </c>
      <c r="J267" t="str">
        <f t="shared" si="59"/>
        <v>Vooruit</v>
      </c>
      <c r="K267">
        <v>8383</v>
      </c>
      <c r="L267">
        <v>12678</v>
      </c>
      <c r="M267">
        <v>21061</v>
      </c>
      <c r="N267">
        <v>2</v>
      </c>
      <c r="O267" t="str">
        <f>("8")</f>
        <v>8</v>
      </c>
      <c r="P267" t="str">
        <f>("Lambrecht Annick")</f>
        <v>Lambrecht Annick</v>
      </c>
      <c r="Q267">
        <v>3826</v>
      </c>
      <c r="R267">
        <v>2</v>
      </c>
    </row>
    <row r="268" spans="1:19" x14ac:dyDescent="0.3">
      <c r="A268" t="s">
        <v>0</v>
      </c>
      <c r="B268" s="1">
        <v>45578</v>
      </c>
      <c r="C268" t="str">
        <f t="shared" si="56"/>
        <v>31005</v>
      </c>
      <c r="D268" t="s">
        <v>3</v>
      </c>
      <c r="E268" t="str">
        <f t="shared" si="57"/>
        <v>9</v>
      </c>
      <c r="F268">
        <v>223527</v>
      </c>
      <c r="G268">
        <v>138738</v>
      </c>
      <c r="H268">
        <v>4265</v>
      </c>
      <c r="I268" t="str">
        <f t="shared" si="58"/>
        <v>1</v>
      </c>
      <c r="J268" t="str">
        <f t="shared" si="59"/>
        <v>Vooruit</v>
      </c>
      <c r="K268">
        <v>8383</v>
      </c>
      <c r="L268">
        <v>12678</v>
      </c>
      <c r="M268">
        <v>21061</v>
      </c>
      <c r="N268">
        <v>2</v>
      </c>
      <c r="O268" t="str">
        <f>("9")</f>
        <v>9</v>
      </c>
      <c r="P268" t="str">
        <f>("Depraetere Melissa")</f>
        <v>Depraetere Melissa</v>
      </c>
      <c r="Q268">
        <v>7638</v>
      </c>
      <c r="R268">
        <v>1</v>
      </c>
    </row>
    <row r="269" spans="1:19" x14ac:dyDescent="0.3">
      <c r="A269" t="s">
        <v>0</v>
      </c>
      <c r="B269" s="1">
        <v>45578</v>
      </c>
      <c r="C269" t="str">
        <f t="shared" si="56"/>
        <v>31005</v>
      </c>
      <c r="D269" t="s">
        <v>3</v>
      </c>
      <c r="E269" t="str">
        <f t="shared" si="57"/>
        <v>9</v>
      </c>
      <c r="F269">
        <v>223527</v>
      </c>
      <c r="G269">
        <v>138738</v>
      </c>
      <c r="H269">
        <v>4265</v>
      </c>
      <c r="I269" t="str">
        <f t="shared" ref="I269:I277" si="60">("2")</f>
        <v>2</v>
      </c>
      <c r="J269" t="str">
        <f t="shared" ref="J269:J277" si="61">("PVDA")</f>
        <v>PVDA</v>
      </c>
      <c r="K269">
        <v>1644</v>
      </c>
      <c r="L269">
        <v>1394</v>
      </c>
      <c r="M269">
        <v>3038</v>
      </c>
      <c r="N269">
        <v>0</v>
      </c>
      <c r="O269" t="str">
        <f>("1")</f>
        <v>1</v>
      </c>
      <c r="P269" t="str">
        <f>("Mahdaoui Akie")</f>
        <v>Mahdaoui Akie</v>
      </c>
      <c r="Q269">
        <v>659</v>
      </c>
    </row>
    <row r="270" spans="1:19" x14ac:dyDescent="0.3">
      <c r="A270" t="s">
        <v>0</v>
      </c>
      <c r="B270" s="1">
        <v>45578</v>
      </c>
      <c r="C270" t="str">
        <f t="shared" si="56"/>
        <v>31005</v>
      </c>
      <c r="D270" t="s">
        <v>3</v>
      </c>
      <c r="E270" t="str">
        <f t="shared" si="57"/>
        <v>9</v>
      </c>
      <c r="F270">
        <v>223527</v>
      </c>
      <c r="G270">
        <v>138738</v>
      </c>
      <c r="H270">
        <v>4265</v>
      </c>
      <c r="I270" t="str">
        <f t="shared" si="60"/>
        <v>2</v>
      </c>
      <c r="J270" t="str">
        <f t="shared" si="61"/>
        <v>PVDA</v>
      </c>
      <c r="K270">
        <v>1644</v>
      </c>
      <c r="L270">
        <v>1394</v>
      </c>
      <c r="M270">
        <v>3038</v>
      </c>
      <c r="N270">
        <v>0</v>
      </c>
      <c r="O270" t="str">
        <f>("2")</f>
        <v>2</v>
      </c>
      <c r="P270" t="str">
        <f>("Maertens Jeroen")</f>
        <v>Maertens Jeroen</v>
      </c>
      <c r="Q270">
        <v>376</v>
      </c>
    </row>
    <row r="271" spans="1:19" x14ac:dyDescent="0.3">
      <c r="A271" t="s">
        <v>0</v>
      </c>
      <c r="B271" s="1">
        <v>45578</v>
      </c>
      <c r="C271" t="str">
        <f t="shared" si="56"/>
        <v>31005</v>
      </c>
      <c r="D271" t="s">
        <v>3</v>
      </c>
      <c r="E271" t="str">
        <f t="shared" si="57"/>
        <v>9</v>
      </c>
      <c r="F271">
        <v>223527</v>
      </c>
      <c r="G271">
        <v>138738</v>
      </c>
      <c r="H271">
        <v>4265</v>
      </c>
      <c r="I271" t="str">
        <f t="shared" si="60"/>
        <v>2</v>
      </c>
      <c r="J271" t="str">
        <f t="shared" si="61"/>
        <v>PVDA</v>
      </c>
      <c r="K271">
        <v>1644</v>
      </c>
      <c r="L271">
        <v>1394</v>
      </c>
      <c r="M271">
        <v>3038</v>
      </c>
      <c r="N271">
        <v>0</v>
      </c>
      <c r="O271" t="str">
        <f>("3")</f>
        <v>3</v>
      </c>
      <c r="P271" t="str">
        <f>("Vandenbrande Kathy")</f>
        <v>Vandenbrande Kathy</v>
      </c>
      <c r="Q271">
        <v>417</v>
      </c>
    </row>
    <row r="272" spans="1:19" x14ac:dyDescent="0.3">
      <c r="A272" t="s">
        <v>0</v>
      </c>
      <c r="B272" s="1">
        <v>45578</v>
      </c>
      <c r="C272" t="str">
        <f t="shared" si="56"/>
        <v>31005</v>
      </c>
      <c r="D272" t="s">
        <v>3</v>
      </c>
      <c r="E272" t="str">
        <f t="shared" si="57"/>
        <v>9</v>
      </c>
      <c r="F272">
        <v>223527</v>
      </c>
      <c r="G272">
        <v>138738</v>
      </c>
      <c r="H272">
        <v>4265</v>
      </c>
      <c r="I272" t="str">
        <f t="shared" si="60"/>
        <v>2</v>
      </c>
      <c r="J272" t="str">
        <f t="shared" si="61"/>
        <v>PVDA</v>
      </c>
      <c r="K272">
        <v>1644</v>
      </c>
      <c r="L272">
        <v>1394</v>
      </c>
      <c r="M272">
        <v>3038</v>
      </c>
      <c r="N272">
        <v>0</v>
      </c>
      <c r="O272" t="str">
        <f>("4")</f>
        <v>4</v>
      </c>
      <c r="P272" t="str">
        <f>("Onraedt Geert")</f>
        <v>Onraedt Geert</v>
      </c>
      <c r="Q272">
        <v>218</v>
      </c>
    </row>
    <row r="273" spans="1:19" x14ac:dyDescent="0.3">
      <c r="A273" t="s">
        <v>0</v>
      </c>
      <c r="B273" s="1">
        <v>45578</v>
      </c>
      <c r="C273" t="str">
        <f t="shared" si="56"/>
        <v>31005</v>
      </c>
      <c r="D273" t="s">
        <v>3</v>
      </c>
      <c r="E273" t="str">
        <f t="shared" si="57"/>
        <v>9</v>
      </c>
      <c r="F273">
        <v>223527</v>
      </c>
      <c r="G273">
        <v>138738</v>
      </c>
      <c r="H273">
        <v>4265</v>
      </c>
      <c r="I273" t="str">
        <f t="shared" si="60"/>
        <v>2</v>
      </c>
      <c r="J273" t="str">
        <f t="shared" si="61"/>
        <v>PVDA</v>
      </c>
      <c r="K273">
        <v>1644</v>
      </c>
      <c r="L273">
        <v>1394</v>
      </c>
      <c r="M273">
        <v>3038</v>
      </c>
      <c r="N273">
        <v>0</v>
      </c>
      <c r="O273" t="str">
        <f>("5")</f>
        <v>5</v>
      </c>
      <c r="P273" t="str">
        <f>("Vandaele Babette")</f>
        <v>Vandaele Babette</v>
      </c>
      <c r="Q273">
        <v>379</v>
      </c>
    </row>
    <row r="274" spans="1:19" x14ac:dyDescent="0.3">
      <c r="A274" t="s">
        <v>0</v>
      </c>
      <c r="B274" s="1">
        <v>45578</v>
      </c>
      <c r="C274" t="str">
        <f t="shared" si="56"/>
        <v>31005</v>
      </c>
      <c r="D274" t="s">
        <v>3</v>
      </c>
      <c r="E274" t="str">
        <f t="shared" si="57"/>
        <v>9</v>
      </c>
      <c r="F274">
        <v>223527</v>
      </c>
      <c r="G274">
        <v>138738</v>
      </c>
      <c r="H274">
        <v>4265</v>
      </c>
      <c r="I274" t="str">
        <f t="shared" si="60"/>
        <v>2</v>
      </c>
      <c r="J274" t="str">
        <f t="shared" si="61"/>
        <v>PVDA</v>
      </c>
      <c r="K274">
        <v>1644</v>
      </c>
      <c r="L274">
        <v>1394</v>
      </c>
      <c r="M274">
        <v>3038</v>
      </c>
      <c r="N274">
        <v>0</v>
      </c>
      <c r="O274" t="str">
        <f>("6")</f>
        <v>6</v>
      </c>
      <c r="P274" t="str">
        <f>("Vanliefde Dimitri")</f>
        <v>Vanliefde Dimitri</v>
      </c>
      <c r="Q274">
        <v>338</v>
      </c>
    </row>
    <row r="275" spans="1:19" x14ac:dyDescent="0.3">
      <c r="A275" t="s">
        <v>0</v>
      </c>
      <c r="B275" s="1">
        <v>45578</v>
      </c>
      <c r="C275" t="str">
        <f t="shared" si="56"/>
        <v>31005</v>
      </c>
      <c r="D275" t="s">
        <v>3</v>
      </c>
      <c r="E275" t="str">
        <f t="shared" si="57"/>
        <v>9</v>
      </c>
      <c r="F275">
        <v>223527</v>
      </c>
      <c r="G275">
        <v>138738</v>
      </c>
      <c r="H275">
        <v>4265</v>
      </c>
      <c r="I275" t="str">
        <f t="shared" si="60"/>
        <v>2</v>
      </c>
      <c r="J275" t="str">
        <f t="shared" si="61"/>
        <v>PVDA</v>
      </c>
      <c r="K275">
        <v>1644</v>
      </c>
      <c r="L275">
        <v>1394</v>
      </c>
      <c r="M275">
        <v>3038</v>
      </c>
      <c r="N275">
        <v>0</v>
      </c>
      <c r="O275" t="str">
        <f>("7")</f>
        <v>7</v>
      </c>
      <c r="P275" t="str">
        <f>("Fiers Koert")</f>
        <v>Fiers Koert</v>
      </c>
      <c r="Q275">
        <v>214</v>
      </c>
    </row>
    <row r="276" spans="1:19" x14ac:dyDescent="0.3">
      <c r="A276" t="s">
        <v>0</v>
      </c>
      <c r="B276" s="1">
        <v>45578</v>
      </c>
      <c r="C276" t="str">
        <f t="shared" si="56"/>
        <v>31005</v>
      </c>
      <c r="D276" t="s">
        <v>3</v>
      </c>
      <c r="E276" t="str">
        <f t="shared" si="57"/>
        <v>9</v>
      </c>
      <c r="F276">
        <v>223527</v>
      </c>
      <c r="G276">
        <v>138738</v>
      </c>
      <c r="H276">
        <v>4265</v>
      </c>
      <c r="I276" t="str">
        <f t="shared" si="60"/>
        <v>2</v>
      </c>
      <c r="J276" t="str">
        <f t="shared" si="61"/>
        <v>PVDA</v>
      </c>
      <c r="K276">
        <v>1644</v>
      </c>
      <c r="L276">
        <v>1394</v>
      </c>
      <c r="M276">
        <v>3038</v>
      </c>
      <c r="N276">
        <v>0</v>
      </c>
      <c r="O276" t="str">
        <f>("8")</f>
        <v>8</v>
      </c>
      <c r="P276" t="str">
        <f>("Notaerts Frederik")</f>
        <v>Notaerts Frederik</v>
      </c>
      <c r="Q276">
        <v>192</v>
      </c>
    </row>
    <row r="277" spans="1:19" x14ac:dyDescent="0.3">
      <c r="A277" t="s">
        <v>0</v>
      </c>
      <c r="B277" s="1">
        <v>45578</v>
      </c>
      <c r="C277" t="str">
        <f t="shared" si="56"/>
        <v>31005</v>
      </c>
      <c r="D277" t="s">
        <v>3</v>
      </c>
      <c r="E277" t="str">
        <f t="shared" si="57"/>
        <v>9</v>
      </c>
      <c r="F277">
        <v>223527</v>
      </c>
      <c r="G277">
        <v>138738</v>
      </c>
      <c r="H277">
        <v>4265</v>
      </c>
      <c r="I277" t="str">
        <f t="shared" si="60"/>
        <v>2</v>
      </c>
      <c r="J277" t="str">
        <f t="shared" si="61"/>
        <v>PVDA</v>
      </c>
      <c r="K277">
        <v>1644</v>
      </c>
      <c r="L277">
        <v>1394</v>
      </c>
      <c r="M277">
        <v>3038</v>
      </c>
      <c r="N277">
        <v>0</v>
      </c>
      <c r="O277" t="str">
        <f>("9")</f>
        <v>9</v>
      </c>
      <c r="P277" t="str">
        <f>("Pollet Marleen")</f>
        <v>Pollet Marleen</v>
      </c>
      <c r="Q277">
        <v>381</v>
      </c>
    </row>
    <row r="278" spans="1:19" x14ac:dyDescent="0.3">
      <c r="A278" t="s">
        <v>0</v>
      </c>
      <c r="B278" s="1">
        <v>45578</v>
      </c>
      <c r="C278" t="str">
        <f t="shared" si="56"/>
        <v>31005</v>
      </c>
      <c r="D278" t="s">
        <v>3</v>
      </c>
      <c r="E278" t="str">
        <f t="shared" si="57"/>
        <v>9</v>
      </c>
      <c r="F278">
        <v>223527</v>
      </c>
      <c r="G278">
        <v>138738</v>
      </c>
      <c r="H278">
        <v>4265</v>
      </c>
      <c r="I278" t="str">
        <f t="shared" ref="I278:I286" si="62">("3")</f>
        <v>3</v>
      </c>
      <c r="J278" t="str">
        <f t="shared" ref="J278:J286" si="63">("cd&amp;v")</f>
        <v>cd&amp;v</v>
      </c>
      <c r="K278">
        <v>9556</v>
      </c>
      <c r="L278">
        <v>30070</v>
      </c>
      <c r="M278">
        <v>39626</v>
      </c>
      <c r="N278">
        <v>3</v>
      </c>
      <c r="O278" t="str">
        <f>("1")</f>
        <v>1</v>
      </c>
      <c r="P278" t="str">
        <f>("Naeyaert Bart")</f>
        <v>Naeyaert Bart</v>
      </c>
      <c r="Q278">
        <v>11274</v>
      </c>
      <c r="R278">
        <v>2</v>
      </c>
    </row>
    <row r="279" spans="1:19" x14ac:dyDescent="0.3">
      <c r="A279" t="s">
        <v>0</v>
      </c>
      <c r="B279" s="1">
        <v>45578</v>
      </c>
      <c r="C279" t="str">
        <f t="shared" si="56"/>
        <v>31005</v>
      </c>
      <c r="D279" t="s">
        <v>3</v>
      </c>
      <c r="E279" t="str">
        <f t="shared" si="57"/>
        <v>9</v>
      </c>
      <c r="F279">
        <v>223527</v>
      </c>
      <c r="G279">
        <v>138738</v>
      </c>
      <c r="H279">
        <v>4265</v>
      </c>
      <c r="I279" t="str">
        <f t="shared" si="62"/>
        <v>3</v>
      </c>
      <c r="J279" t="str">
        <f t="shared" si="63"/>
        <v>cd&amp;v</v>
      </c>
      <c r="K279">
        <v>9556</v>
      </c>
      <c r="L279">
        <v>30070</v>
      </c>
      <c r="M279">
        <v>39626</v>
      </c>
      <c r="N279">
        <v>3</v>
      </c>
      <c r="O279" t="str">
        <f>("2")</f>
        <v>2</v>
      </c>
      <c r="P279" t="str">
        <f>("Roelof Els")</f>
        <v>Roelof Els</v>
      </c>
      <c r="Q279">
        <v>6798</v>
      </c>
      <c r="S279">
        <v>1</v>
      </c>
    </row>
    <row r="280" spans="1:19" x14ac:dyDescent="0.3">
      <c r="A280" t="s">
        <v>0</v>
      </c>
      <c r="B280" s="1">
        <v>45578</v>
      </c>
      <c r="C280" t="str">
        <f t="shared" si="56"/>
        <v>31005</v>
      </c>
      <c r="D280" t="s">
        <v>3</v>
      </c>
      <c r="E280" t="str">
        <f t="shared" si="57"/>
        <v>9</v>
      </c>
      <c r="F280">
        <v>223527</v>
      </c>
      <c r="G280">
        <v>138738</v>
      </c>
      <c r="H280">
        <v>4265</v>
      </c>
      <c r="I280" t="str">
        <f t="shared" si="62"/>
        <v>3</v>
      </c>
      <c r="J280" t="str">
        <f t="shared" si="63"/>
        <v>cd&amp;v</v>
      </c>
      <c r="K280">
        <v>9556</v>
      </c>
      <c r="L280">
        <v>30070</v>
      </c>
      <c r="M280">
        <v>39626</v>
      </c>
      <c r="N280">
        <v>3</v>
      </c>
      <c r="O280" t="str">
        <f>("3")</f>
        <v>3</v>
      </c>
      <c r="P280" t="str">
        <f>("Blontrock Nico")</f>
        <v>Blontrock Nico</v>
      </c>
      <c r="Q280">
        <v>6843</v>
      </c>
      <c r="R280">
        <v>3</v>
      </c>
    </row>
    <row r="281" spans="1:19" x14ac:dyDescent="0.3">
      <c r="A281" t="s">
        <v>0</v>
      </c>
      <c r="B281" s="1">
        <v>45578</v>
      </c>
      <c r="C281" t="str">
        <f t="shared" si="56"/>
        <v>31005</v>
      </c>
      <c r="D281" t="s">
        <v>3</v>
      </c>
      <c r="E281" t="str">
        <f t="shared" si="57"/>
        <v>9</v>
      </c>
      <c r="F281">
        <v>223527</v>
      </c>
      <c r="G281">
        <v>138738</v>
      </c>
      <c r="H281">
        <v>4265</v>
      </c>
      <c r="I281" t="str">
        <f t="shared" si="62"/>
        <v>3</v>
      </c>
      <c r="J281" t="str">
        <f t="shared" si="63"/>
        <v>cd&amp;v</v>
      </c>
      <c r="K281">
        <v>9556</v>
      </c>
      <c r="L281">
        <v>30070</v>
      </c>
      <c r="M281">
        <v>39626</v>
      </c>
      <c r="N281">
        <v>3</v>
      </c>
      <c r="O281" t="str">
        <f>("4")</f>
        <v>4</v>
      </c>
      <c r="P281" t="str">
        <f>("Strobbe Ruben")</f>
        <v>Strobbe Ruben</v>
      </c>
      <c r="Q281">
        <v>2831</v>
      </c>
      <c r="S281">
        <v>3</v>
      </c>
    </row>
    <row r="282" spans="1:19" x14ac:dyDescent="0.3">
      <c r="A282" t="s">
        <v>0</v>
      </c>
      <c r="B282" s="1">
        <v>45578</v>
      </c>
      <c r="C282" t="str">
        <f t="shared" si="56"/>
        <v>31005</v>
      </c>
      <c r="D282" t="s">
        <v>3</v>
      </c>
      <c r="E282" t="str">
        <f t="shared" si="57"/>
        <v>9</v>
      </c>
      <c r="F282">
        <v>223527</v>
      </c>
      <c r="G282">
        <v>138738</v>
      </c>
      <c r="H282">
        <v>4265</v>
      </c>
      <c r="I282" t="str">
        <f t="shared" si="62"/>
        <v>3</v>
      </c>
      <c r="J282" t="str">
        <f t="shared" si="63"/>
        <v>cd&amp;v</v>
      </c>
      <c r="K282">
        <v>9556</v>
      </c>
      <c r="L282">
        <v>30070</v>
      </c>
      <c r="M282">
        <v>39626</v>
      </c>
      <c r="N282">
        <v>3</v>
      </c>
      <c r="O282" t="str">
        <f>("5")</f>
        <v>5</v>
      </c>
      <c r="P282" t="str">
        <f>("Roelants Britta")</f>
        <v>Roelants Britta</v>
      </c>
      <c r="Q282">
        <v>1978</v>
      </c>
      <c r="S282">
        <v>5</v>
      </c>
    </row>
    <row r="283" spans="1:19" x14ac:dyDescent="0.3">
      <c r="A283" t="s">
        <v>0</v>
      </c>
      <c r="B283" s="1">
        <v>45578</v>
      </c>
      <c r="C283" t="str">
        <f t="shared" si="56"/>
        <v>31005</v>
      </c>
      <c r="D283" t="s">
        <v>3</v>
      </c>
      <c r="E283" t="str">
        <f t="shared" si="57"/>
        <v>9</v>
      </c>
      <c r="F283">
        <v>223527</v>
      </c>
      <c r="G283">
        <v>138738</v>
      </c>
      <c r="H283">
        <v>4265</v>
      </c>
      <c r="I283" t="str">
        <f t="shared" si="62"/>
        <v>3</v>
      </c>
      <c r="J283" t="str">
        <f t="shared" si="63"/>
        <v>cd&amp;v</v>
      </c>
      <c r="K283">
        <v>9556</v>
      </c>
      <c r="L283">
        <v>30070</v>
      </c>
      <c r="M283">
        <v>39626</v>
      </c>
      <c r="N283">
        <v>3</v>
      </c>
      <c r="O283" t="str">
        <f>("6")</f>
        <v>6</v>
      </c>
      <c r="P283" t="str">
        <f>("Blontrock Fabienne")</f>
        <v>Blontrock Fabienne</v>
      </c>
      <c r="Q283">
        <v>1853</v>
      </c>
      <c r="S283">
        <v>6</v>
      </c>
    </row>
    <row r="284" spans="1:19" x14ac:dyDescent="0.3">
      <c r="A284" t="s">
        <v>0</v>
      </c>
      <c r="B284" s="1">
        <v>45578</v>
      </c>
      <c r="C284" t="str">
        <f t="shared" si="56"/>
        <v>31005</v>
      </c>
      <c r="D284" t="s">
        <v>3</v>
      </c>
      <c r="E284" t="str">
        <f t="shared" si="57"/>
        <v>9</v>
      </c>
      <c r="F284">
        <v>223527</v>
      </c>
      <c r="G284">
        <v>138738</v>
      </c>
      <c r="H284">
        <v>4265</v>
      </c>
      <c r="I284" t="str">
        <f t="shared" si="62"/>
        <v>3</v>
      </c>
      <c r="J284" t="str">
        <f t="shared" si="63"/>
        <v>cd&amp;v</v>
      </c>
      <c r="K284">
        <v>9556</v>
      </c>
      <c r="L284">
        <v>30070</v>
      </c>
      <c r="M284">
        <v>39626</v>
      </c>
      <c r="N284">
        <v>3</v>
      </c>
      <c r="O284" t="str">
        <f>("7")</f>
        <v>7</v>
      </c>
      <c r="P284" t="str">
        <f>("Vandamme Benny")</f>
        <v>Vandamme Benny</v>
      </c>
      <c r="Q284">
        <v>2476</v>
      </c>
      <c r="S284">
        <v>4</v>
      </c>
    </row>
    <row r="285" spans="1:19" x14ac:dyDescent="0.3">
      <c r="A285" t="s">
        <v>0</v>
      </c>
      <c r="B285" s="1">
        <v>45578</v>
      </c>
      <c r="C285" t="str">
        <f t="shared" si="56"/>
        <v>31005</v>
      </c>
      <c r="D285" t="s">
        <v>3</v>
      </c>
      <c r="E285" t="str">
        <f t="shared" si="57"/>
        <v>9</v>
      </c>
      <c r="F285">
        <v>223527</v>
      </c>
      <c r="G285">
        <v>138738</v>
      </c>
      <c r="H285">
        <v>4265</v>
      </c>
      <c r="I285" t="str">
        <f t="shared" si="62"/>
        <v>3</v>
      </c>
      <c r="J285" t="str">
        <f t="shared" si="63"/>
        <v>cd&amp;v</v>
      </c>
      <c r="K285">
        <v>9556</v>
      </c>
      <c r="L285">
        <v>30070</v>
      </c>
      <c r="M285">
        <v>39626</v>
      </c>
      <c r="N285">
        <v>3</v>
      </c>
      <c r="O285" t="str">
        <f>("8")</f>
        <v>8</v>
      </c>
      <c r="P285" t="str">
        <f>("Coudeville Claudia")</f>
        <v>Coudeville Claudia</v>
      </c>
      <c r="Q285">
        <v>3062</v>
      </c>
      <c r="S285">
        <v>2</v>
      </c>
    </row>
    <row r="286" spans="1:19" x14ac:dyDescent="0.3">
      <c r="A286" t="s">
        <v>0</v>
      </c>
      <c r="B286" s="1">
        <v>45578</v>
      </c>
      <c r="C286" t="str">
        <f t="shared" si="56"/>
        <v>31005</v>
      </c>
      <c r="D286" t="s">
        <v>3</v>
      </c>
      <c r="E286" t="str">
        <f t="shared" si="57"/>
        <v>9</v>
      </c>
      <c r="F286">
        <v>223527</v>
      </c>
      <c r="G286">
        <v>138738</v>
      </c>
      <c r="H286">
        <v>4265</v>
      </c>
      <c r="I286" t="str">
        <f t="shared" si="62"/>
        <v>3</v>
      </c>
      <c r="J286" t="str">
        <f t="shared" si="63"/>
        <v>cd&amp;v</v>
      </c>
      <c r="K286">
        <v>9556</v>
      </c>
      <c r="L286">
        <v>30070</v>
      </c>
      <c r="M286">
        <v>39626</v>
      </c>
      <c r="N286">
        <v>3</v>
      </c>
      <c r="O286" t="str">
        <f>("9")</f>
        <v>9</v>
      </c>
      <c r="P286" t="str">
        <f>("Crevits Hilde")</f>
        <v>Crevits Hilde</v>
      </c>
      <c r="Q286">
        <v>17128</v>
      </c>
      <c r="R286">
        <v>1</v>
      </c>
    </row>
    <row r="287" spans="1:19" x14ac:dyDescent="0.3">
      <c r="A287" t="s">
        <v>0</v>
      </c>
      <c r="B287" s="1">
        <v>45578</v>
      </c>
      <c r="C287" t="str">
        <f t="shared" si="56"/>
        <v>31005</v>
      </c>
      <c r="D287" t="s">
        <v>3</v>
      </c>
      <c r="E287" t="str">
        <f t="shared" si="57"/>
        <v>9</v>
      </c>
      <c r="F287">
        <v>223527</v>
      </c>
      <c r="G287">
        <v>138738</v>
      </c>
      <c r="H287">
        <v>4265</v>
      </c>
      <c r="I287" t="str">
        <f t="shared" ref="I287:I295" si="64">("4")</f>
        <v>4</v>
      </c>
      <c r="J287" t="str">
        <f t="shared" ref="J287:J295" si="65">("VLAAMS BELANG")</f>
        <v>VLAAMS BELANG</v>
      </c>
      <c r="K287">
        <v>12843</v>
      </c>
      <c r="L287">
        <v>6975</v>
      </c>
      <c r="M287">
        <v>19818</v>
      </c>
      <c r="N287">
        <v>1</v>
      </c>
      <c r="O287" t="str">
        <f>("1")</f>
        <v>1</v>
      </c>
      <c r="P287" t="str">
        <f>("Haeyaert Jonathan")</f>
        <v>Haeyaert Jonathan</v>
      </c>
      <c r="Q287">
        <v>4510</v>
      </c>
      <c r="R287">
        <v>1</v>
      </c>
    </row>
    <row r="288" spans="1:19" x14ac:dyDescent="0.3">
      <c r="A288" t="s">
        <v>0</v>
      </c>
      <c r="B288" s="1">
        <v>45578</v>
      </c>
      <c r="C288" t="str">
        <f t="shared" si="56"/>
        <v>31005</v>
      </c>
      <c r="D288" t="s">
        <v>3</v>
      </c>
      <c r="E288" t="str">
        <f t="shared" si="57"/>
        <v>9</v>
      </c>
      <c r="F288">
        <v>223527</v>
      </c>
      <c r="G288">
        <v>138738</v>
      </c>
      <c r="H288">
        <v>4265</v>
      </c>
      <c r="I288" t="str">
        <f t="shared" si="64"/>
        <v>4</v>
      </c>
      <c r="J288" t="str">
        <f t="shared" si="65"/>
        <v>VLAAMS BELANG</v>
      </c>
      <c r="K288">
        <v>12843</v>
      </c>
      <c r="L288">
        <v>6975</v>
      </c>
      <c r="M288">
        <v>19818</v>
      </c>
      <c r="N288">
        <v>1</v>
      </c>
      <c r="O288" t="str">
        <f>("2")</f>
        <v>2</v>
      </c>
      <c r="P288" t="str">
        <f>("Verbelen Kristien")</f>
        <v>Verbelen Kristien</v>
      </c>
      <c r="Q288">
        <v>2407</v>
      </c>
      <c r="S288">
        <v>1</v>
      </c>
    </row>
    <row r="289" spans="1:19" x14ac:dyDescent="0.3">
      <c r="A289" t="s">
        <v>0</v>
      </c>
      <c r="B289" s="1">
        <v>45578</v>
      </c>
      <c r="C289" t="str">
        <f t="shared" si="56"/>
        <v>31005</v>
      </c>
      <c r="D289" t="s">
        <v>3</v>
      </c>
      <c r="E289" t="str">
        <f t="shared" si="57"/>
        <v>9</v>
      </c>
      <c r="F289">
        <v>223527</v>
      </c>
      <c r="G289">
        <v>138738</v>
      </c>
      <c r="H289">
        <v>4265</v>
      </c>
      <c r="I289" t="str">
        <f t="shared" si="64"/>
        <v>4</v>
      </c>
      <c r="J289" t="str">
        <f t="shared" si="65"/>
        <v>VLAAMS BELANG</v>
      </c>
      <c r="K289">
        <v>12843</v>
      </c>
      <c r="L289">
        <v>6975</v>
      </c>
      <c r="M289">
        <v>19818</v>
      </c>
      <c r="N289">
        <v>1</v>
      </c>
      <c r="O289" t="str">
        <f>("3")</f>
        <v>3</v>
      </c>
      <c r="P289" t="str">
        <f>("Lowie Ignace")</f>
        <v>Lowie Ignace</v>
      </c>
      <c r="Q289">
        <v>1807</v>
      </c>
      <c r="S289">
        <v>4</v>
      </c>
    </row>
    <row r="290" spans="1:19" x14ac:dyDescent="0.3">
      <c r="A290" t="s">
        <v>0</v>
      </c>
      <c r="B290" s="1">
        <v>45578</v>
      </c>
      <c r="C290" t="str">
        <f t="shared" si="56"/>
        <v>31005</v>
      </c>
      <c r="D290" t="s">
        <v>3</v>
      </c>
      <c r="E290" t="str">
        <f t="shared" si="57"/>
        <v>9</v>
      </c>
      <c r="F290">
        <v>223527</v>
      </c>
      <c r="G290">
        <v>138738</v>
      </c>
      <c r="H290">
        <v>4265</v>
      </c>
      <c r="I290" t="str">
        <f t="shared" si="64"/>
        <v>4</v>
      </c>
      <c r="J290" t="str">
        <f t="shared" si="65"/>
        <v>VLAAMS BELANG</v>
      </c>
      <c r="K290">
        <v>12843</v>
      </c>
      <c r="L290">
        <v>6975</v>
      </c>
      <c r="M290">
        <v>19818</v>
      </c>
      <c r="N290">
        <v>1</v>
      </c>
      <c r="O290" t="str">
        <f>("4")</f>
        <v>4</v>
      </c>
      <c r="P290" t="str">
        <f>("Lorez Ingrid")</f>
        <v>Lorez Ingrid</v>
      </c>
      <c r="Q290">
        <v>1834</v>
      </c>
      <c r="S290">
        <v>3</v>
      </c>
    </row>
    <row r="291" spans="1:19" x14ac:dyDescent="0.3">
      <c r="A291" t="s">
        <v>0</v>
      </c>
      <c r="B291" s="1">
        <v>45578</v>
      </c>
      <c r="C291" t="str">
        <f t="shared" si="56"/>
        <v>31005</v>
      </c>
      <c r="D291" t="s">
        <v>3</v>
      </c>
      <c r="E291" t="str">
        <f t="shared" si="57"/>
        <v>9</v>
      </c>
      <c r="F291">
        <v>223527</v>
      </c>
      <c r="G291">
        <v>138738</v>
      </c>
      <c r="H291">
        <v>4265</v>
      </c>
      <c r="I291" t="str">
        <f t="shared" si="64"/>
        <v>4</v>
      </c>
      <c r="J291" t="str">
        <f t="shared" si="65"/>
        <v>VLAAMS BELANG</v>
      </c>
      <c r="K291">
        <v>12843</v>
      </c>
      <c r="L291">
        <v>6975</v>
      </c>
      <c r="M291">
        <v>19818</v>
      </c>
      <c r="N291">
        <v>1</v>
      </c>
      <c r="O291" t="str">
        <f>("5")</f>
        <v>5</v>
      </c>
      <c r="P291" t="str">
        <f>("Dereu Lieve")</f>
        <v>Dereu Lieve</v>
      </c>
      <c r="Q291">
        <v>1773</v>
      </c>
      <c r="S291">
        <v>5</v>
      </c>
    </row>
    <row r="292" spans="1:19" x14ac:dyDescent="0.3">
      <c r="A292" t="s">
        <v>0</v>
      </c>
      <c r="B292" s="1">
        <v>45578</v>
      </c>
      <c r="C292" t="str">
        <f t="shared" ref="C292:C323" si="66">("31005")</f>
        <v>31005</v>
      </c>
      <c r="D292" t="s">
        <v>3</v>
      </c>
      <c r="E292" t="str">
        <f t="shared" ref="E292:E323" si="67">("9")</f>
        <v>9</v>
      </c>
      <c r="F292">
        <v>223527</v>
      </c>
      <c r="G292">
        <v>138738</v>
      </c>
      <c r="H292">
        <v>4265</v>
      </c>
      <c r="I292" t="str">
        <f t="shared" si="64"/>
        <v>4</v>
      </c>
      <c r="J292" t="str">
        <f t="shared" si="65"/>
        <v>VLAAMS BELANG</v>
      </c>
      <c r="K292">
        <v>12843</v>
      </c>
      <c r="L292">
        <v>6975</v>
      </c>
      <c r="M292">
        <v>19818</v>
      </c>
      <c r="N292">
        <v>1</v>
      </c>
      <c r="O292" t="str">
        <f>("6")</f>
        <v>6</v>
      </c>
      <c r="P292" t="str">
        <f>("De Waele Leo")</f>
        <v>De Waele Leo</v>
      </c>
      <c r="Q292">
        <v>1678</v>
      </c>
      <c r="S292">
        <v>6</v>
      </c>
    </row>
    <row r="293" spans="1:19" x14ac:dyDescent="0.3">
      <c r="A293" t="s">
        <v>0</v>
      </c>
      <c r="B293" s="1">
        <v>45578</v>
      </c>
      <c r="C293" t="str">
        <f t="shared" si="66"/>
        <v>31005</v>
      </c>
      <c r="D293" t="s">
        <v>3</v>
      </c>
      <c r="E293" t="str">
        <f t="shared" si="67"/>
        <v>9</v>
      </c>
      <c r="F293">
        <v>223527</v>
      </c>
      <c r="G293">
        <v>138738</v>
      </c>
      <c r="H293">
        <v>4265</v>
      </c>
      <c r="I293" t="str">
        <f t="shared" si="64"/>
        <v>4</v>
      </c>
      <c r="J293" t="str">
        <f t="shared" si="65"/>
        <v>VLAAMS BELANG</v>
      </c>
      <c r="K293">
        <v>12843</v>
      </c>
      <c r="L293">
        <v>6975</v>
      </c>
      <c r="M293">
        <v>19818</v>
      </c>
      <c r="N293">
        <v>1</v>
      </c>
      <c r="O293" t="str">
        <f>("7")</f>
        <v>7</v>
      </c>
      <c r="P293" t="str">
        <f>("Vanpaeschen Inge")</f>
        <v>Vanpaeschen Inge</v>
      </c>
      <c r="Q293">
        <v>1623</v>
      </c>
      <c r="S293">
        <v>7</v>
      </c>
    </row>
    <row r="294" spans="1:19" x14ac:dyDescent="0.3">
      <c r="A294" t="s">
        <v>0</v>
      </c>
      <c r="B294" s="1">
        <v>45578</v>
      </c>
      <c r="C294" t="str">
        <f t="shared" si="66"/>
        <v>31005</v>
      </c>
      <c r="D294" t="s">
        <v>3</v>
      </c>
      <c r="E294" t="str">
        <f t="shared" si="67"/>
        <v>9</v>
      </c>
      <c r="F294">
        <v>223527</v>
      </c>
      <c r="G294">
        <v>138738</v>
      </c>
      <c r="H294">
        <v>4265</v>
      </c>
      <c r="I294" t="str">
        <f t="shared" si="64"/>
        <v>4</v>
      </c>
      <c r="J294" t="str">
        <f t="shared" si="65"/>
        <v>VLAAMS BELANG</v>
      </c>
      <c r="K294">
        <v>12843</v>
      </c>
      <c r="L294">
        <v>6975</v>
      </c>
      <c r="M294">
        <v>19818</v>
      </c>
      <c r="N294">
        <v>1</v>
      </c>
      <c r="O294" t="str">
        <f>("8")</f>
        <v>8</v>
      </c>
      <c r="P294" t="str">
        <f>("Stroobant Christophe")</f>
        <v>Stroobant Christophe</v>
      </c>
      <c r="Q294">
        <v>1596</v>
      </c>
      <c r="S294">
        <v>8</v>
      </c>
    </row>
    <row r="295" spans="1:19" x14ac:dyDescent="0.3">
      <c r="A295" t="s">
        <v>0</v>
      </c>
      <c r="B295" s="1">
        <v>45578</v>
      </c>
      <c r="C295" t="str">
        <f t="shared" si="66"/>
        <v>31005</v>
      </c>
      <c r="D295" t="s">
        <v>3</v>
      </c>
      <c r="E295" t="str">
        <f t="shared" si="67"/>
        <v>9</v>
      </c>
      <c r="F295">
        <v>223527</v>
      </c>
      <c r="G295">
        <v>138738</v>
      </c>
      <c r="H295">
        <v>4265</v>
      </c>
      <c r="I295" t="str">
        <f t="shared" si="64"/>
        <v>4</v>
      </c>
      <c r="J295" t="str">
        <f t="shared" si="65"/>
        <v>VLAAMS BELANG</v>
      </c>
      <c r="K295">
        <v>12843</v>
      </c>
      <c r="L295">
        <v>6975</v>
      </c>
      <c r="M295">
        <v>19818</v>
      </c>
      <c r="N295">
        <v>1</v>
      </c>
      <c r="O295" t="str">
        <f>("9")</f>
        <v>9</v>
      </c>
      <c r="P295" t="str">
        <f>("Spinnewyn-Sneppe Dominiek")</f>
        <v>Spinnewyn-Sneppe Dominiek</v>
      </c>
      <c r="Q295">
        <v>2213</v>
      </c>
      <c r="S295">
        <v>2</v>
      </c>
    </row>
    <row r="296" spans="1:19" x14ac:dyDescent="0.3">
      <c r="A296" t="s">
        <v>0</v>
      </c>
      <c r="B296" s="1">
        <v>45578</v>
      </c>
      <c r="C296" t="str">
        <f t="shared" si="66"/>
        <v>31005</v>
      </c>
      <c r="D296" t="s">
        <v>3</v>
      </c>
      <c r="E296" t="str">
        <f t="shared" si="67"/>
        <v>9</v>
      </c>
      <c r="F296">
        <v>223527</v>
      </c>
      <c r="G296">
        <v>138738</v>
      </c>
      <c r="H296">
        <v>4265</v>
      </c>
      <c r="I296" t="str">
        <f t="shared" ref="I296:I304" si="68">("5")</f>
        <v>5</v>
      </c>
      <c r="J296" t="str">
        <f t="shared" ref="J296:J304" si="69">("N-VA")</f>
        <v>N-VA</v>
      </c>
      <c r="K296">
        <v>15252</v>
      </c>
      <c r="L296">
        <v>13622</v>
      </c>
      <c r="M296">
        <v>28874</v>
      </c>
      <c r="N296">
        <v>2</v>
      </c>
      <c r="O296" t="str">
        <f>("1")</f>
        <v>1</v>
      </c>
      <c r="P296" t="str">
        <f>("Dumery Daphné")</f>
        <v>Dumery Daphné</v>
      </c>
      <c r="Q296">
        <v>6790</v>
      </c>
      <c r="R296">
        <v>1</v>
      </c>
    </row>
    <row r="297" spans="1:19" x14ac:dyDescent="0.3">
      <c r="A297" t="s">
        <v>0</v>
      </c>
      <c r="B297" s="1">
        <v>45578</v>
      </c>
      <c r="C297" t="str">
        <f t="shared" si="66"/>
        <v>31005</v>
      </c>
      <c r="D297" t="s">
        <v>3</v>
      </c>
      <c r="E297" t="str">
        <f t="shared" si="67"/>
        <v>9</v>
      </c>
      <c r="F297">
        <v>223527</v>
      </c>
      <c r="G297">
        <v>138738</v>
      </c>
      <c r="H297">
        <v>4265</v>
      </c>
      <c r="I297" t="str">
        <f t="shared" si="68"/>
        <v>5</v>
      </c>
      <c r="J297" t="str">
        <f t="shared" si="69"/>
        <v>N-VA</v>
      </c>
      <c r="K297">
        <v>15252</v>
      </c>
      <c r="L297">
        <v>13622</v>
      </c>
      <c r="M297">
        <v>28874</v>
      </c>
      <c r="N297">
        <v>2</v>
      </c>
      <c r="O297" t="str">
        <f>("2")</f>
        <v>2</v>
      </c>
      <c r="P297" t="str">
        <f>("Van Meirhaeghe Jan")</f>
        <v>Van Meirhaeghe Jan</v>
      </c>
      <c r="Q297">
        <v>3199</v>
      </c>
      <c r="S297">
        <v>1</v>
      </c>
    </row>
    <row r="298" spans="1:19" x14ac:dyDescent="0.3">
      <c r="A298" t="s">
        <v>0</v>
      </c>
      <c r="B298" s="1">
        <v>45578</v>
      </c>
      <c r="C298" t="str">
        <f t="shared" si="66"/>
        <v>31005</v>
      </c>
      <c r="D298" t="s">
        <v>3</v>
      </c>
      <c r="E298" t="str">
        <f t="shared" si="67"/>
        <v>9</v>
      </c>
      <c r="F298">
        <v>223527</v>
      </c>
      <c r="G298">
        <v>138738</v>
      </c>
      <c r="H298">
        <v>4265</v>
      </c>
      <c r="I298" t="str">
        <f t="shared" si="68"/>
        <v>5</v>
      </c>
      <c r="J298" t="str">
        <f t="shared" si="69"/>
        <v>N-VA</v>
      </c>
      <c r="K298">
        <v>15252</v>
      </c>
      <c r="L298">
        <v>13622</v>
      </c>
      <c r="M298">
        <v>28874</v>
      </c>
      <c r="N298">
        <v>2</v>
      </c>
      <c r="O298" t="str">
        <f>("3")</f>
        <v>3</v>
      </c>
      <c r="P298" t="str">
        <f>("Vandenbrande Isabelle")</f>
        <v>Vandenbrande Isabelle</v>
      </c>
      <c r="Q298">
        <v>2945</v>
      </c>
      <c r="S298">
        <v>2</v>
      </c>
    </row>
    <row r="299" spans="1:19" x14ac:dyDescent="0.3">
      <c r="A299" t="s">
        <v>0</v>
      </c>
      <c r="B299" s="1">
        <v>45578</v>
      </c>
      <c r="C299" t="str">
        <f t="shared" si="66"/>
        <v>31005</v>
      </c>
      <c r="D299" t="s">
        <v>3</v>
      </c>
      <c r="E299" t="str">
        <f t="shared" si="67"/>
        <v>9</v>
      </c>
      <c r="F299">
        <v>223527</v>
      </c>
      <c r="G299">
        <v>138738</v>
      </c>
      <c r="H299">
        <v>4265</v>
      </c>
      <c r="I299" t="str">
        <f t="shared" si="68"/>
        <v>5</v>
      </c>
      <c r="J299" t="str">
        <f t="shared" si="69"/>
        <v>N-VA</v>
      </c>
      <c r="K299">
        <v>15252</v>
      </c>
      <c r="L299">
        <v>13622</v>
      </c>
      <c r="M299">
        <v>28874</v>
      </c>
      <c r="N299">
        <v>2</v>
      </c>
      <c r="O299" t="str">
        <f>("4")</f>
        <v>4</v>
      </c>
      <c r="P299" t="str">
        <f>("Goeminne Isabelle")</f>
        <v>Goeminne Isabelle</v>
      </c>
      <c r="Q299">
        <v>3309</v>
      </c>
      <c r="R299">
        <v>2</v>
      </c>
    </row>
    <row r="300" spans="1:19" x14ac:dyDescent="0.3">
      <c r="A300" t="s">
        <v>0</v>
      </c>
      <c r="B300" s="1">
        <v>45578</v>
      </c>
      <c r="C300" t="str">
        <f t="shared" si="66"/>
        <v>31005</v>
      </c>
      <c r="D300" t="s">
        <v>3</v>
      </c>
      <c r="E300" t="str">
        <f t="shared" si="67"/>
        <v>9</v>
      </c>
      <c r="F300">
        <v>223527</v>
      </c>
      <c r="G300">
        <v>138738</v>
      </c>
      <c r="H300">
        <v>4265</v>
      </c>
      <c r="I300" t="str">
        <f t="shared" si="68"/>
        <v>5</v>
      </c>
      <c r="J300" t="str">
        <f t="shared" si="69"/>
        <v>N-VA</v>
      </c>
      <c r="K300">
        <v>15252</v>
      </c>
      <c r="L300">
        <v>13622</v>
      </c>
      <c r="M300">
        <v>28874</v>
      </c>
      <c r="N300">
        <v>2</v>
      </c>
      <c r="O300" t="str">
        <f>("5")</f>
        <v>5</v>
      </c>
      <c r="P300" t="str">
        <f>("Declerck Robin")</f>
        <v>Declerck Robin</v>
      </c>
      <c r="Q300">
        <v>1891</v>
      </c>
      <c r="S300">
        <v>7</v>
      </c>
    </row>
    <row r="301" spans="1:19" x14ac:dyDescent="0.3">
      <c r="A301" t="s">
        <v>0</v>
      </c>
      <c r="B301" s="1">
        <v>45578</v>
      </c>
      <c r="C301" t="str">
        <f t="shared" si="66"/>
        <v>31005</v>
      </c>
      <c r="D301" t="s">
        <v>3</v>
      </c>
      <c r="E301" t="str">
        <f t="shared" si="67"/>
        <v>9</v>
      </c>
      <c r="F301">
        <v>223527</v>
      </c>
      <c r="G301">
        <v>138738</v>
      </c>
      <c r="H301">
        <v>4265</v>
      </c>
      <c r="I301" t="str">
        <f t="shared" si="68"/>
        <v>5</v>
      </c>
      <c r="J301" t="str">
        <f t="shared" si="69"/>
        <v>N-VA</v>
      </c>
      <c r="K301">
        <v>15252</v>
      </c>
      <c r="L301">
        <v>13622</v>
      </c>
      <c r="M301">
        <v>28874</v>
      </c>
      <c r="N301">
        <v>2</v>
      </c>
      <c r="O301" t="str">
        <f>("6")</f>
        <v>6</v>
      </c>
      <c r="P301" t="str">
        <f>("Berton Piet")</f>
        <v>Berton Piet</v>
      </c>
      <c r="Q301">
        <v>1959</v>
      </c>
      <c r="S301">
        <v>6</v>
      </c>
    </row>
    <row r="302" spans="1:19" x14ac:dyDescent="0.3">
      <c r="A302" t="s">
        <v>0</v>
      </c>
      <c r="B302" s="1">
        <v>45578</v>
      </c>
      <c r="C302" t="str">
        <f t="shared" si="66"/>
        <v>31005</v>
      </c>
      <c r="D302" t="s">
        <v>3</v>
      </c>
      <c r="E302" t="str">
        <f t="shared" si="67"/>
        <v>9</v>
      </c>
      <c r="F302">
        <v>223527</v>
      </c>
      <c r="G302">
        <v>138738</v>
      </c>
      <c r="H302">
        <v>4265</v>
      </c>
      <c r="I302" t="str">
        <f t="shared" si="68"/>
        <v>5</v>
      </c>
      <c r="J302" t="str">
        <f t="shared" si="69"/>
        <v>N-VA</v>
      </c>
      <c r="K302">
        <v>15252</v>
      </c>
      <c r="L302">
        <v>13622</v>
      </c>
      <c r="M302">
        <v>28874</v>
      </c>
      <c r="N302">
        <v>2</v>
      </c>
      <c r="O302" t="str">
        <f>("7")</f>
        <v>7</v>
      </c>
      <c r="P302" t="str">
        <f>("Maes Eva")</f>
        <v>Maes Eva</v>
      </c>
      <c r="Q302">
        <v>2445</v>
      </c>
      <c r="S302">
        <v>3</v>
      </c>
    </row>
    <row r="303" spans="1:19" x14ac:dyDescent="0.3">
      <c r="A303" t="s">
        <v>0</v>
      </c>
      <c r="B303" s="1">
        <v>45578</v>
      </c>
      <c r="C303" t="str">
        <f t="shared" si="66"/>
        <v>31005</v>
      </c>
      <c r="D303" t="s">
        <v>3</v>
      </c>
      <c r="E303" t="str">
        <f t="shared" si="67"/>
        <v>9</v>
      </c>
      <c r="F303">
        <v>223527</v>
      </c>
      <c r="G303">
        <v>138738</v>
      </c>
      <c r="H303">
        <v>4265</v>
      </c>
      <c r="I303" t="str">
        <f t="shared" si="68"/>
        <v>5</v>
      </c>
      <c r="J303" t="str">
        <f t="shared" si="69"/>
        <v>N-VA</v>
      </c>
      <c r="K303">
        <v>15252</v>
      </c>
      <c r="L303">
        <v>13622</v>
      </c>
      <c r="M303">
        <v>28874</v>
      </c>
      <c r="N303">
        <v>2</v>
      </c>
      <c r="O303" t="str">
        <f>("8")</f>
        <v>8</v>
      </c>
      <c r="P303" t="str">
        <f>("Capoen An")</f>
        <v>Capoen An</v>
      </c>
      <c r="Q303">
        <v>2442</v>
      </c>
      <c r="S303">
        <v>4</v>
      </c>
    </row>
    <row r="304" spans="1:19" x14ac:dyDescent="0.3">
      <c r="A304" t="s">
        <v>0</v>
      </c>
      <c r="B304" s="1">
        <v>45578</v>
      </c>
      <c r="C304" t="str">
        <f t="shared" si="66"/>
        <v>31005</v>
      </c>
      <c r="D304" t="s">
        <v>3</v>
      </c>
      <c r="E304" t="str">
        <f t="shared" si="67"/>
        <v>9</v>
      </c>
      <c r="F304">
        <v>223527</v>
      </c>
      <c r="G304">
        <v>138738</v>
      </c>
      <c r="H304">
        <v>4265</v>
      </c>
      <c r="I304" t="str">
        <f t="shared" si="68"/>
        <v>5</v>
      </c>
      <c r="J304" t="str">
        <f t="shared" si="69"/>
        <v>N-VA</v>
      </c>
      <c r="K304">
        <v>15252</v>
      </c>
      <c r="L304">
        <v>13622</v>
      </c>
      <c r="M304">
        <v>28874</v>
      </c>
      <c r="N304">
        <v>2</v>
      </c>
      <c r="O304" t="str">
        <f>("9")</f>
        <v>9</v>
      </c>
      <c r="P304" t="str">
        <f>("Ronse Axel")</f>
        <v>Ronse Axel</v>
      </c>
      <c r="Q304">
        <v>2079</v>
      </c>
      <c r="S304">
        <v>5</v>
      </c>
    </row>
    <row r="305" spans="1:19" x14ac:dyDescent="0.3">
      <c r="A305" t="s">
        <v>0</v>
      </c>
      <c r="B305" s="1">
        <v>45578</v>
      </c>
      <c r="C305" t="str">
        <f t="shared" si="66"/>
        <v>31005</v>
      </c>
      <c r="D305" t="s">
        <v>3</v>
      </c>
      <c r="E305" t="str">
        <f t="shared" si="67"/>
        <v>9</v>
      </c>
      <c r="F305">
        <v>223527</v>
      </c>
      <c r="G305">
        <v>138738</v>
      </c>
      <c r="H305">
        <v>4265</v>
      </c>
      <c r="I305" t="str">
        <f t="shared" ref="I305:I313" si="70">("6")</f>
        <v>6</v>
      </c>
      <c r="J305" t="str">
        <f t="shared" ref="J305:J313" si="71">("Open Vld")</f>
        <v>Open Vld</v>
      </c>
      <c r="K305">
        <v>4031</v>
      </c>
      <c r="L305">
        <v>4584</v>
      </c>
      <c r="M305">
        <v>8615</v>
      </c>
      <c r="N305">
        <v>0</v>
      </c>
      <c r="O305" t="str">
        <f>("1")</f>
        <v>1</v>
      </c>
      <c r="P305" t="str">
        <f>("De Klerck Patrick")</f>
        <v>De Klerck Patrick</v>
      </c>
      <c r="Q305">
        <v>3289</v>
      </c>
    </row>
    <row r="306" spans="1:19" x14ac:dyDescent="0.3">
      <c r="A306" t="s">
        <v>0</v>
      </c>
      <c r="B306" s="1">
        <v>45578</v>
      </c>
      <c r="C306" t="str">
        <f t="shared" si="66"/>
        <v>31005</v>
      </c>
      <c r="D306" t="s">
        <v>3</v>
      </c>
      <c r="E306" t="str">
        <f t="shared" si="67"/>
        <v>9</v>
      </c>
      <c r="F306">
        <v>223527</v>
      </c>
      <c r="G306">
        <v>138738</v>
      </c>
      <c r="H306">
        <v>4265</v>
      </c>
      <c r="I306" t="str">
        <f t="shared" si="70"/>
        <v>6</v>
      </c>
      <c r="J306" t="str">
        <f t="shared" si="71"/>
        <v>Open Vld</v>
      </c>
      <c r="K306">
        <v>4031</v>
      </c>
      <c r="L306">
        <v>4584</v>
      </c>
      <c r="M306">
        <v>8615</v>
      </c>
      <c r="N306">
        <v>0</v>
      </c>
      <c r="O306" t="str">
        <f>("2")</f>
        <v>2</v>
      </c>
      <c r="P306" t="str">
        <f>("Van Laecke Rita")</f>
        <v>Van Laecke Rita</v>
      </c>
      <c r="Q306">
        <v>841</v>
      </c>
    </row>
    <row r="307" spans="1:19" x14ac:dyDescent="0.3">
      <c r="A307" t="s">
        <v>0</v>
      </c>
      <c r="B307" s="1">
        <v>45578</v>
      </c>
      <c r="C307" t="str">
        <f t="shared" si="66"/>
        <v>31005</v>
      </c>
      <c r="D307" t="s">
        <v>3</v>
      </c>
      <c r="E307" t="str">
        <f t="shared" si="67"/>
        <v>9</v>
      </c>
      <c r="F307">
        <v>223527</v>
      </c>
      <c r="G307">
        <v>138738</v>
      </c>
      <c r="H307">
        <v>4265</v>
      </c>
      <c r="I307" t="str">
        <f t="shared" si="70"/>
        <v>6</v>
      </c>
      <c r="J307" t="str">
        <f t="shared" si="71"/>
        <v>Open Vld</v>
      </c>
      <c r="K307">
        <v>4031</v>
      </c>
      <c r="L307">
        <v>4584</v>
      </c>
      <c r="M307">
        <v>8615</v>
      </c>
      <c r="N307">
        <v>0</v>
      </c>
      <c r="O307" t="str">
        <f>("3")</f>
        <v>3</v>
      </c>
      <c r="P307" t="str">
        <f>("Van Goethem Bram")</f>
        <v>Van Goethem Bram</v>
      </c>
      <c r="Q307">
        <v>721</v>
      </c>
    </row>
    <row r="308" spans="1:19" x14ac:dyDescent="0.3">
      <c r="A308" t="s">
        <v>0</v>
      </c>
      <c r="B308" s="1">
        <v>45578</v>
      </c>
      <c r="C308" t="str">
        <f t="shared" si="66"/>
        <v>31005</v>
      </c>
      <c r="D308" t="s">
        <v>3</v>
      </c>
      <c r="E308" t="str">
        <f t="shared" si="67"/>
        <v>9</v>
      </c>
      <c r="F308">
        <v>223527</v>
      </c>
      <c r="G308">
        <v>138738</v>
      </c>
      <c r="H308">
        <v>4265</v>
      </c>
      <c r="I308" t="str">
        <f t="shared" si="70"/>
        <v>6</v>
      </c>
      <c r="J308" t="str">
        <f t="shared" si="71"/>
        <v>Open Vld</v>
      </c>
      <c r="K308">
        <v>4031</v>
      </c>
      <c r="L308">
        <v>4584</v>
      </c>
      <c r="M308">
        <v>8615</v>
      </c>
      <c r="N308">
        <v>0</v>
      </c>
      <c r="O308" t="str">
        <f>("4")</f>
        <v>4</v>
      </c>
      <c r="P308" t="str">
        <f>("Van Neer Sophie")</f>
        <v>Van Neer Sophie</v>
      </c>
      <c r="Q308">
        <v>683</v>
      </c>
    </row>
    <row r="309" spans="1:19" x14ac:dyDescent="0.3">
      <c r="A309" t="s">
        <v>0</v>
      </c>
      <c r="B309" s="1">
        <v>45578</v>
      </c>
      <c r="C309" t="str">
        <f t="shared" si="66"/>
        <v>31005</v>
      </c>
      <c r="D309" t="s">
        <v>3</v>
      </c>
      <c r="E309" t="str">
        <f t="shared" si="67"/>
        <v>9</v>
      </c>
      <c r="F309">
        <v>223527</v>
      </c>
      <c r="G309">
        <v>138738</v>
      </c>
      <c r="H309">
        <v>4265</v>
      </c>
      <c r="I309" t="str">
        <f t="shared" si="70"/>
        <v>6</v>
      </c>
      <c r="J309" t="str">
        <f t="shared" si="71"/>
        <v>Open Vld</v>
      </c>
      <c r="K309">
        <v>4031</v>
      </c>
      <c r="L309">
        <v>4584</v>
      </c>
      <c r="M309">
        <v>8615</v>
      </c>
      <c r="N309">
        <v>0</v>
      </c>
      <c r="O309" t="str">
        <f>("5")</f>
        <v>5</v>
      </c>
      <c r="P309" t="str">
        <f>("Bil Matthias")</f>
        <v>Bil Matthias</v>
      </c>
      <c r="Q309">
        <v>675</v>
      </c>
    </row>
    <row r="310" spans="1:19" x14ac:dyDescent="0.3">
      <c r="A310" t="s">
        <v>0</v>
      </c>
      <c r="B310" s="1">
        <v>45578</v>
      </c>
      <c r="C310" t="str">
        <f t="shared" si="66"/>
        <v>31005</v>
      </c>
      <c r="D310" t="s">
        <v>3</v>
      </c>
      <c r="E310" t="str">
        <f t="shared" si="67"/>
        <v>9</v>
      </c>
      <c r="F310">
        <v>223527</v>
      </c>
      <c r="G310">
        <v>138738</v>
      </c>
      <c r="H310">
        <v>4265</v>
      </c>
      <c r="I310" t="str">
        <f t="shared" si="70"/>
        <v>6</v>
      </c>
      <c r="J310" t="str">
        <f t="shared" si="71"/>
        <v>Open Vld</v>
      </c>
      <c r="K310">
        <v>4031</v>
      </c>
      <c r="L310">
        <v>4584</v>
      </c>
      <c r="M310">
        <v>8615</v>
      </c>
      <c r="N310">
        <v>0</v>
      </c>
      <c r="O310" t="str">
        <f>("6")</f>
        <v>6</v>
      </c>
      <c r="P310" t="str">
        <f>("Beckenbach Christel")</f>
        <v>Beckenbach Christel</v>
      </c>
      <c r="Q310">
        <v>682</v>
      </c>
    </row>
    <row r="311" spans="1:19" x14ac:dyDescent="0.3">
      <c r="A311" t="s">
        <v>0</v>
      </c>
      <c r="B311" s="1">
        <v>45578</v>
      </c>
      <c r="C311" t="str">
        <f t="shared" si="66"/>
        <v>31005</v>
      </c>
      <c r="D311" t="s">
        <v>3</v>
      </c>
      <c r="E311" t="str">
        <f t="shared" si="67"/>
        <v>9</v>
      </c>
      <c r="F311">
        <v>223527</v>
      </c>
      <c r="G311">
        <v>138738</v>
      </c>
      <c r="H311">
        <v>4265</v>
      </c>
      <c r="I311" t="str">
        <f t="shared" si="70"/>
        <v>6</v>
      </c>
      <c r="J311" t="str">
        <f t="shared" si="71"/>
        <v>Open Vld</v>
      </c>
      <c r="K311">
        <v>4031</v>
      </c>
      <c r="L311">
        <v>4584</v>
      </c>
      <c r="M311">
        <v>8615</v>
      </c>
      <c r="N311">
        <v>0</v>
      </c>
      <c r="O311" t="str">
        <f>("7")</f>
        <v>7</v>
      </c>
      <c r="P311" t="str">
        <f>("Dhont Christophe")</f>
        <v>Dhont Christophe</v>
      </c>
      <c r="Q311">
        <v>421</v>
      </c>
    </row>
    <row r="312" spans="1:19" x14ac:dyDescent="0.3">
      <c r="A312" t="s">
        <v>0</v>
      </c>
      <c r="B312" s="1">
        <v>45578</v>
      </c>
      <c r="C312" t="str">
        <f t="shared" si="66"/>
        <v>31005</v>
      </c>
      <c r="D312" t="s">
        <v>3</v>
      </c>
      <c r="E312" t="str">
        <f t="shared" si="67"/>
        <v>9</v>
      </c>
      <c r="F312">
        <v>223527</v>
      </c>
      <c r="G312">
        <v>138738</v>
      </c>
      <c r="H312">
        <v>4265</v>
      </c>
      <c r="I312" t="str">
        <f t="shared" si="70"/>
        <v>6</v>
      </c>
      <c r="J312" t="str">
        <f t="shared" si="71"/>
        <v>Open Vld</v>
      </c>
      <c r="K312">
        <v>4031</v>
      </c>
      <c r="L312">
        <v>4584</v>
      </c>
      <c r="M312">
        <v>8615</v>
      </c>
      <c r="N312">
        <v>0</v>
      </c>
      <c r="O312" t="str">
        <f>("8")</f>
        <v>8</v>
      </c>
      <c r="P312" t="str">
        <f>("Vanbesien Evita")</f>
        <v>Vanbesien Evita</v>
      </c>
      <c r="Q312">
        <v>525</v>
      </c>
    </row>
    <row r="313" spans="1:19" x14ac:dyDescent="0.3">
      <c r="A313" t="s">
        <v>0</v>
      </c>
      <c r="B313" s="1">
        <v>45578</v>
      </c>
      <c r="C313" t="str">
        <f t="shared" si="66"/>
        <v>31005</v>
      </c>
      <c r="D313" t="s">
        <v>3</v>
      </c>
      <c r="E313" t="str">
        <f t="shared" si="67"/>
        <v>9</v>
      </c>
      <c r="F313">
        <v>223527</v>
      </c>
      <c r="G313">
        <v>138738</v>
      </c>
      <c r="H313">
        <v>4265</v>
      </c>
      <c r="I313" t="str">
        <f t="shared" si="70"/>
        <v>6</v>
      </c>
      <c r="J313" t="str">
        <f t="shared" si="71"/>
        <v>Open Vld</v>
      </c>
      <c r="K313">
        <v>4031</v>
      </c>
      <c r="L313">
        <v>4584</v>
      </c>
      <c r="M313">
        <v>8615</v>
      </c>
      <c r="N313">
        <v>0</v>
      </c>
      <c r="O313" t="str">
        <f>("9")</f>
        <v>9</v>
      </c>
      <c r="P313" t="str">
        <f>("Cleynhens Thierry")</f>
        <v>Cleynhens Thierry</v>
      </c>
      <c r="Q313">
        <v>478</v>
      </c>
    </row>
    <row r="314" spans="1:19" x14ac:dyDescent="0.3">
      <c r="A314" t="s">
        <v>0</v>
      </c>
      <c r="B314" s="1">
        <v>45578</v>
      </c>
      <c r="C314" t="str">
        <f t="shared" si="66"/>
        <v>31005</v>
      </c>
      <c r="D314" t="s">
        <v>3</v>
      </c>
      <c r="E314" t="str">
        <f t="shared" si="67"/>
        <v>9</v>
      </c>
      <c r="F314">
        <v>223527</v>
      </c>
      <c r="G314">
        <v>138738</v>
      </c>
      <c r="H314">
        <v>4265</v>
      </c>
      <c r="I314" t="str">
        <f t="shared" ref="I314:I322" si="72">("7")</f>
        <v>7</v>
      </c>
      <c r="J314" t="str">
        <f t="shared" ref="J314:J322" si="73">("GROEN")</f>
        <v>GROEN</v>
      </c>
      <c r="K314">
        <v>6722</v>
      </c>
      <c r="L314">
        <v>4982</v>
      </c>
      <c r="M314">
        <v>11704</v>
      </c>
      <c r="N314">
        <v>1</v>
      </c>
      <c r="O314" t="str">
        <f>("1")</f>
        <v>1</v>
      </c>
      <c r="P314" t="str">
        <f>("Neirynck Andries")</f>
        <v>Neirynck Andries</v>
      </c>
      <c r="Q314">
        <v>2168</v>
      </c>
      <c r="R314">
        <v>1</v>
      </c>
    </row>
    <row r="315" spans="1:19" x14ac:dyDescent="0.3">
      <c r="A315" t="s">
        <v>0</v>
      </c>
      <c r="B315" s="1">
        <v>45578</v>
      </c>
      <c r="C315" t="str">
        <f t="shared" si="66"/>
        <v>31005</v>
      </c>
      <c r="D315" t="s">
        <v>3</v>
      </c>
      <c r="E315" t="str">
        <f t="shared" si="67"/>
        <v>9</v>
      </c>
      <c r="F315">
        <v>223527</v>
      </c>
      <c r="G315">
        <v>138738</v>
      </c>
      <c r="H315">
        <v>4265</v>
      </c>
      <c r="I315" t="str">
        <f t="shared" si="72"/>
        <v>7</v>
      </c>
      <c r="J315" t="str">
        <f t="shared" si="73"/>
        <v>GROEN</v>
      </c>
      <c r="K315">
        <v>6722</v>
      </c>
      <c r="L315">
        <v>4982</v>
      </c>
      <c r="M315">
        <v>11704</v>
      </c>
      <c r="N315">
        <v>1</v>
      </c>
      <c r="O315" t="str">
        <f>("2")</f>
        <v>2</v>
      </c>
      <c r="P315" t="str">
        <f>("De Meester Martine")</f>
        <v>De Meester Martine</v>
      </c>
      <c r="Q315">
        <v>1828</v>
      </c>
      <c r="S315">
        <v>1</v>
      </c>
    </row>
    <row r="316" spans="1:19" x14ac:dyDescent="0.3">
      <c r="A316" t="s">
        <v>0</v>
      </c>
      <c r="B316" s="1">
        <v>45578</v>
      </c>
      <c r="C316" t="str">
        <f t="shared" si="66"/>
        <v>31005</v>
      </c>
      <c r="D316" t="s">
        <v>3</v>
      </c>
      <c r="E316" t="str">
        <f t="shared" si="67"/>
        <v>9</v>
      </c>
      <c r="F316">
        <v>223527</v>
      </c>
      <c r="G316">
        <v>138738</v>
      </c>
      <c r="H316">
        <v>4265</v>
      </c>
      <c r="I316" t="str">
        <f t="shared" si="72"/>
        <v>7</v>
      </c>
      <c r="J316" t="str">
        <f t="shared" si="73"/>
        <v>GROEN</v>
      </c>
      <c r="K316">
        <v>6722</v>
      </c>
      <c r="L316">
        <v>4982</v>
      </c>
      <c r="M316">
        <v>11704</v>
      </c>
      <c r="N316">
        <v>1</v>
      </c>
      <c r="O316" t="str">
        <f>("3")</f>
        <v>3</v>
      </c>
      <c r="P316" t="str">
        <f>("Vander Donckt Bertrand")</f>
        <v>Vander Donckt Bertrand</v>
      </c>
      <c r="Q316">
        <v>1144</v>
      </c>
      <c r="S316">
        <v>5</v>
      </c>
    </row>
    <row r="317" spans="1:19" x14ac:dyDescent="0.3">
      <c r="A317" t="s">
        <v>0</v>
      </c>
      <c r="B317" s="1">
        <v>45578</v>
      </c>
      <c r="C317" t="str">
        <f t="shared" si="66"/>
        <v>31005</v>
      </c>
      <c r="D317" t="s">
        <v>3</v>
      </c>
      <c r="E317" t="str">
        <f t="shared" si="67"/>
        <v>9</v>
      </c>
      <c r="F317">
        <v>223527</v>
      </c>
      <c r="G317">
        <v>138738</v>
      </c>
      <c r="H317">
        <v>4265</v>
      </c>
      <c r="I317" t="str">
        <f t="shared" si="72"/>
        <v>7</v>
      </c>
      <c r="J317" t="str">
        <f t="shared" si="73"/>
        <v>GROEN</v>
      </c>
      <c r="K317">
        <v>6722</v>
      </c>
      <c r="L317">
        <v>4982</v>
      </c>
      <c r="M317">
        <v>11704</v>
      </c>
      <c r="N317">
        <v>1</v>
      </c>
      <c r="O317" t="str">
        <f>("4")</f>
        <v>4</v>
      </c>
      <c r="P317" t="str">
        <f>("Schuermans Eva")</f>
        <v>Schuermans Eva</v>
      </c>
      <c r="Q317">
        <v>1757</v>
      </c>
      <c r="S317">
        <v>2</v>
      </c>
    </row>
    <row r="318" spans="1:19" x14ac:dyDescent="0.3">
      <c r="A318" t="s">
        <v>0</v>
      </c>
      <c r="B318" s="1">
        <v>45578</v>
      </c>
      <c r="C318" t="str">
        <f t="shared" si="66"/>
        <v>31005</v>
      </c>
      <c r="D318" t="s">
        <v>3</v>
      </c>
      <c r="E318" t="str">
        <f t="shared" si="67"/>
        <v>9</v>
      </c>
      <c r="F318">
        <v>223527</v>
      </c>
      <c r="G318">
        <v>138738</v>
      </c>
      <c r="H318">
        <v>4265</v>
      </c>
      <c r="I318" t="str">
        <f t="shared" si="72"/>
        <v>7</v>
      </c>
      <c r="J318" t="str">
        <f t="shared" si="73"/>
        <v>GROEN</v>
      </c>
      <c r="K318">
        <v>6722</v>
      </c>
      <c r="L318">
        <v>4982</v>
      </c>
      <c r="M318">
        <v>11704</v>
      </c>
      <c r="N318">
        <v>1</v>
      </c>
      <c r="O318" t="str">
        <f>("5")</f>
        <v>5</v>
      </c>
      <c r="P318" t="str">
        <f>("Van de Walle Jurgen")</f>
        <v>Van de Walle Jurgen</v>
      </c>
      <c r="Q318">
        <v>898</v>
      </c>
      <c r="S318">
        <v>6</v>
      </c>
    </row>
    <row r="319" spans="1:19" x14ac:dyDescent="0.3">
      <c r="A319" t="s">
        <v>0</v>
      </c>
      <c r="B319" s="1">
        <v>45578</v>
      </c>
      <c r="C319" t="str">
        <f t="shared" si="66"/>
        <v>31005</v>
      </c>
      <c r="D319" t="s">
        <v>3</v>
      </c>
      <c r="E319" t="str">
        <f t="shared" si="67"/>
        <v>9</v>
      </c>
      <c r="F319">
        <v>223527</v>
      </c>
      <c r="G319">
        <v>138738</v>
      </c>
      <c r="H319">
        <v>4265</v>
      </c>
      <c r="I319" t="str">
        <f t="shared" si="72"/>
        <v>7</v>
      </c>
      <c r="J319" t="str">
        <f t="shared" si="73"/>
        <v>GROEN</v>
      </c>
      <c r="K319">
        <v>6722</v>
      </c>
      <c r="L319">
        <v>4982</v>
      </c>
      <c r="M319">
        <v>11704</v>
      </c>
      <c r="N319">
        <v>1</v>
      </c>
      <c r="O319" t="str">
        <f>("6")</f>
        <v>6</v>
      </c>
      <c r="P319" t="str">
        <f>("Van Eeckhaute Veerle")</f>
        <v>Van Eeckhaute Veerle</v>
      </c>
      <c r="Q319">
        <v>1342</v>
      </c>
      <c r="S319">
        <v>4</v>
      </c>
    </row>
    <row r="320" spans="1:19" x14ac:dyDescent="0.3">
      <c r="A320" t="s">
        <v>0</v>
      </c>
      <c r="B320" s="1">
        <v>45578</v>
      </c>
      <c r="C320" t="str">
        <f t="shared" si="66"/>
        <v>31005</v>
      </c>
      <c r="D320" t="s">
        <v>3</v>
      </c>
      <c r="E320" t="str">
        <f t="shared" si="67"/>
        <v>9</v>
      </c>
      <c r="F320">
        <v>223527</v>
      </c>
      <c r="G320">
        <v>138738</v>
      </c>
      <c r="H320">
        <v>4265</v>
      </c>
      <c r="I320" t="str">
        <f t="shared" si="72"/>
        <v>7</v>
      </c>
      <c r="J320" t="str">
        <f t="shared" si="73"/>
        <v>GROEN</v>
      </c>
      <c r="K320">
        <v>6722</v>
      </c>
      <c r="L320">
        <v>4982</v>
      </c>
      <c r="M320">
        <v>11704</v>
      </c>
      <c r="N320">
        <v>1</v>
      </c>
      <c r="O320" t="str">
        <f>("7")</f>
        <v>7</v>
      </c>
      <c r="P320" t="str">
        <f>("Hallemeersch Peter-Jan")</f>
        <v>Hallemeersch Peter-Jan</v>
      </c>
      <c r="Q320">
        <v>752</v>
      </c>
      <c r="S320">
        <v>7</v>
      </c>
    </row>
    <row r="321" spans="1:19" x14ac:dyDescent="0.3">
      <c r="A321" t="s">
        <v>0</v>
      </c>
      <c r="B321" s="1">
        <v>45578</v>
      </c>
      <c r="C321" t="str">
        <f t="shared" si="66"/>
        <v>31005</v>
      </c>
      <c r="D321" t="s">
        <v>3</v>
      </c>
      <c r="E321" t="str">
        <f t="shared" si="67"/>
        <v>9</v>
      </c>
      <c r="F321">
        <v>223527</v>
      </c>
      <c r="G321">
        <v>138738</v>
      </c>
      <c r="H321">
        <v>4265</v>
      </c>
      <c r="I321" t="str">
        <f t="shared" si="72"/>
        <v>7</v>
      </c>
      <c r="J321" t="str">
        <f t="shared" si="73"/>
        <v>GROEN</v>
      </c>
      <c r="K321">
        <v>6722</v>
      </c>
      <c r="L321">
        <v>4982</v>
      </c>
      <c r="M321">
        <v>11704</v>
      </c>
      <c r="N321">
        <v>1</v>
      </c>
      <c r="O321" t="str">
        <f>("8")</f>
        <v>8</v>
      </c>
      <c r="P321" t="str">
        <f>("De Rous Rian")</f>
        <v>De Rous Rian</v>
      </c>
      <c r="Q321">
        <v>721</v>
      </c>
      <c r="S321">
        <v>8</v>
      </c>
    </row>
    <row r="322" spans="1:19" x14ac:dyDescent="0.3">
      <c r="A322" t="s">
        <v>0</v>
      </c>
      <c r="B322" s="1">
        <v>45578</v>
      </c>
      <c r="C322" t="str">
        <f t="shared" si="66"/>
        <v>31005</v>
      </c>
      <c r="D322" t="s">
        <v>3</v>
      </c>
      <c r="E322" t="str">
        <f t="shared" si="67"/>
        <v>9</v>
      </c>
      <c r="F322">
        <v>223527</v>
      </c>
      <c r="G322">
        <v>138738</v>
      </c>
      <c r="H322">
        <v>4265</v>
      </c>
      <c r="I322" t="str">
        <f t="shared" si="72"/>
        <v>7</v>
      </c>
      <c r="J322" t="str">
        <f t="shared" si="73"/>
        <v>GROEN</v>
      </c>
      <c r="K322">
        <v>6722</v>
      </c>
      <c r="L322">
        <v>4982</v>
      </c>
      <c r="M322">
        <v>11704</v>
      </c>
      <c r="N322">
        <v>1</v>
      </c>
      <c r="O322" t="str">
        <f>("9")</f>
        <v>9</v>
      </c>
      <c r="P322" t="str">
        <f>("Schotte Gerda")</f>
        <v>Schotte Gerda</v>
      </c>
      <c r="Q322">
        <v>1609</v>
      </c>
      <c r="S322">
        <v>3</v>
      </c>
    </row>
    <row r="323" spans="1:19" x14ac:dyDescent="0.3">
      <c r="A323" t="s">
        <v>0</v>
      </c>
      <c r="B323" s="1">
        <v>45578</v>
      </c>
      <c r="C323" t="str">
        <f t="shared" si="66"/>
        <v>31005</v>
      </c>
      <c r="D323" t="s">
        <v>3</v>
      </c>
      <c r="E323" t="str">
        <f t="shared" si="67"/>
        <v>9</v>
      </c>
      <c r="F323">
        <v>223527</v>
      </c>
      <c r="G323">
        <v>138738</v>
      </c>
      <c r="H323">
        <v>4265</v>
      </c>
      <c r="I323" t="str">
        <f t="shared" ref="I323:I328" si="74">("8")</f>
        <v>8</v>
      </c>
      <c r="J323" t="str">
        <f t="shared" ref="J323:J328" si="75">("DierAnimal")</f>
        <v>DierAnimal</v>
      </c>
      <c r="K323">
        <v>660</v>
      </c>
      <c r="L323">
        <v>398</v>
      </c>
      <c r="M323">
        <v>1058</v>
      </c>
      <c r="N323">
        <v>0</v>
      </c>
      <c r="O323" t="str">
        <f>("1")</f>
        <v>1</v>
      </c>
      <c r="P323" t="str">
        <f>("Elaut Anke")</f>
        <v>Elaut Anke</v>
      </c>
      <c r="Q323">
        <v>251</v>
      </c>
    </row>
    <row r="324" spans="1:19" x14ac:dyDescent="0.3">
      <c r="A324" t="s">
        <v>0</v>
      </c>
      <c r="B324" s="1">
        <v>45578</v>
      </c>
      <c r="C324" t="str">
        <f t="shared" ref="C324:C334" si="76">("31005")</f>
        <v>31005</v>
      </c>
      <c r="D324" t="s">
        <v>3</v>
      </c>
      <c r="E324" t="str">
        <f t="shared" ref="E324:E334" si="77">("9")</f>
        <v>9</v>
      </c>
      <c r="F324">
        <v>223527</v>
      </c>
      <c r="G324">
        <v>138738</v>
      </c>
      <c r="H324">
        <v>4265</v>
      </c>
      <c r="I324" t="str">
        <f t="shared" si="74"/>
        <v>8</v>
      </c>
      <c r="J324" t="str">
        <f t="shared" si="75"/>
        <v>DierAnimal</v>
      </c>
      <c r="K324">
        <v>660</v>
      </c>
      <c r="L324">
        <v>398</v>
      </c>
      <c r="M324">
        <v>1058</v>
      </c>
      <c r="N324">
        <v>0</v>
      </c>
      <c r="O324" t="str">
        <f>("2")</f>
        <v>2</v>
      </c>
      <c r="P324" t="str">
        <f>("Coussens Peter")</f>
        <v>Coussens Peter</v>
      </c>
      <c r="Q324">
        <v>70</v>
      </c>
    </row>
    <row r="325" spans="1:19" x14ac:dyDescent="0.3">
      <c r="A325" t="s">
        <v>0</v>
      </c>
      <c r="B325" s="1">
        <v>45578</v>
      </c>
      <c r="C325" t="str">
        <f t="shared" si="76"/>
        <v>31005</v>
      </c>
      <c r="D325" t="s">
        <v>3</v>
      </c>
      <c r="E325" t="str">
        <f t="shared" si="77"/>
        <v>9</v>
      </c>
      <c r="F325">
        <v>223527</v>
      </c>
      <c r="G325">
        <v>138738</v>
      </c>
      <c r="H325">
        <v>4265</v>
      </c>
      <c r="I325" t="str">
        <f t="shared" si="74"/>
        <v>8</v>
      </c>
      <c r="J325" t="str">
        <f t="shared" si="75"/>
        <v>DierAnimal</v>
      </c>
      <c r="K325">
        <v>660</v>
      </c>
      <c r="L325">
        <v>398</v>
      </c>
      <c r="M325">
        <v>1058</v>
      </c>
      <c r="N325">
        <v>0</v>
      </c>
      <c r="O325" t="str">
        <f>("3")</f>
        <v>3</v>
      </c>
      <c r="P325" t="str">
        <f>("Lema Helena")</f>
        <v>Lema Helena</v>
      </c>
      <c r="Q325">
        <v>97</v>
      </c>
    </row>
    <row r="326" spans="1:19" x14ac:dyDescent="0.3">
      <c r="A326" t="s">
        <v>0</v>
      </c>
      <c r="B326" s="1">
        <v>45578</v>
      </c>
      <c r="C326" t="str">
        <f t="shared" si="76"/>
        <v>31005</v>
      </c>
      <c r="D326" t="s">
        <v>3</v>
      </c>
      <c r="E326" t="str">
        <f t="shared" si="77"/>
        <v>9</v>
      </c>
      <c r="F326">
        <v>223527</v>
      </c>
      <c r="G326">
        <v>138738</v>
      </c>
      <c r="H326">
        <v>4265</v>
      </c>
      <c r="I326" t="str">
        <f t="shared" si="74"/>
        <v>8</v>
      </c>
      <c r="J326" t="str">
        <f t="shared" si="75"/>
        <v>DierAnimal</v>
      </c>
      <c r="K326">
        <v>660</v>
      </c>
      <c r="L326">
        <v>398</v>
      </c>
      <c r="M326">
        <v>1058</v>
      </c>
      <c r="N326">
        <v>0</v>
      </c>
      <c r="O326" t="str">
        <f>("4")</f>
        <v>4</v>
      </c>
      <c r="P326" t="str">
        <f>("Debouvry Luc")</f>
        <v>Debouvry Luc</v>
      </c>
      <c r="Q326">
        <v>60</v>
      </c>
    </row>
    <row r="327" spans="1:19" x14ac:dyDescent="0.3">
      <c r="A327" t="s">
        <v>0</v>
      </c>
      <c r="B327" s="1">
        <v>45578</v>
      </c>
      <c r="C327" t="str">
        <f t="shared" si="76"/>
        <v>31005</v>
      </c>
      <c r="D327" t="s">
        <v>3</v>
      </c>
      <c r="E327" t="str">
        <f t="shared" si="77"/>
        <v>9</v>
      </c>
      <c r="F327">
        <v>223527</v>
      </c>
      <c r="G327">
        <v>138738</v>
      </c>
      <c r="H327">
        <v>4265</v>
      </c>
      <c r="I327" t="str">
        <f t="shared" si="74"/>
        <v>8</v>
      </c>
      <c r="J327" t="str">
        <f t="shared" si="75"/>
        <v>DierAnimal</v>
      </c>
      <c r="K327">
        <v>660</v>
      </c>
      <c r="L327">
        <v>398</v>
      </c>
      <c r="M327">
        <v>1058</v>
      </c>
      <c r="N327">
        <v>0</v>
      </c>
      <c r="O327" t="str">
        <f>("5")</f>
        <v>5</v>
      </c>
      <c r="P327" t="str">
        <f>("Van Waes Anaïs")</f>
        <v>Van Waes Anaïs</v>
      </c>
      <c r="Q327">
        <v>101</v>
      </c>
    </row>
    <row r="328" spans="1:19" x14ac:dyDescent="0.3">
      <c r="A328" t="s">
        <v>0</v>
      </c>
      <c r="B328" s="1">
        <v>45578</v>
      </c>
      <c r="C328" t="str">
        <f t="shared" si="76"/>
        <v>31005</v>
      </c>
      <c r="D328" t="s">
        <v>3</v>
      </c>
      <c r="E328" t="str">
        <f t="shared" si="77"/>
        <v>9</v>
      </c>
      <c r="F328">
        <v>223527</v>
      </c>
      <c r="G328">
        <v>138738</v>
      </c>
      <c r="H328">
        <v>4265</v>
      </c>
      <c r="I328" t="str">
        <f t="shared" si="74"/>
        <v>8</v>
      </c>
      <c r="J328" t="str">
        <f t="shared" si="75"/>
        <v>DierAnimal</v>
      </c>
      <c r="K328">
        <v>660</v>
      </c>
      <c r="L328">
        <v>398</v>
      </c>
      <c r="M328">
        <v>1058</v>
      </c>
      <c r="N328">
        <v>0</v>
      </c>
      <c r="O328" t="str">
        <f>("6")</f>
        <v>6</v>
      </c>
      <c r="P328" t="str">
        <f>("Van Volcem Kevin")</f>
        <v>Van Volcem Kevin</v>
      </c>
      <c r="Q328">
        <v>104</v>
      </c>
    </row>
    <row r="329" spans="1:19" x14ac:dyDescent="0.3">
      <c r="A329" t="s">
        <v>0</v>
      </c>
      <c r="B329" s="1">
        <v>45578</v>
      </c>
      <c r="C329" t="str">
        <f t="shared" si="76"/>
        <v>31005</v>
      </c>
      <c r="D329" t="s">
        <v>3</v>
      </c>
      <c r="E329" t="str">
        <f t="shared" si="77"/>
        <v>9</v>
      </c>
      <c r="F329">
        <v>223527</v>
      </c>
      <c r="G329">
        <v>138738</v>
      </c>
      <c r="H329">
        <v>4265</v>
      </c>
      <c r="I329" t="str">
        <f>("9")</f>
        <v>9</v>
      </c>
      <c r="J329" t="str">
        <f>("B.U.B. WEST-VL")</f>
        <v>B.U.B. WEST-VL</v>
      </c>
      <c r="K329">
        <v>52</v>
      </c>
      <c r="L329">
        <v>81</v>
      </c>
      <c r="M329">
        <v>133</v>
      </c>
      <c r="N329">
        <v>0</v>
      </c>
      <c r="O329" t="str">
        <f>("1")</f>
        <v>1</v>
      </c>
      <c r="P329" t="str">
        <f>("Cottenjé Ruben")</f>
        <v>Cottenjé Ruben</v>
      </c>
      <c r="Q329">
        <v>81</v>
      </c>
    </row>
    <row r="330" spans="1:19" x14ac:dyDescent="0.3">
      <c r="A330" t="s">
        <v>0</v>
      </c>
      <c r="B330" s="1">
        <v>45578</v>
      </c>
      <c r="C330" t="str">
        <f t="shared" si="76"/>
        <v>31005</v>
      </c>
      <c r="D330" t="s">
        <v>3</v>
      </c>
      <c r="E330" t="str">
        <f t="shared" si="77"/>
        <v>9</v>
      </c>
      <c r="F330">
        <v>223527</v>
      </c>
      <c r="G330">
        <v>138738</v>
      </c>
      <c r="H330">
        <v>4265</v>
      </c>
      <c r="I330" t="str">
        <f>("10")</f>
        <v>10</v>
      </c>
      <c r="J330" t="str">
        <f>("SVD")</f>
        <v>SVD</v>
      </c>
      <c r="K330">
        <v>111</v>
      </c>
      <c r="L330">
        <v>160</v>
      </c>
      <c r="M330">
        <v>271</v>
      </c>
      <c r="N330">
        <v>0</v>
      </c>
      <c r="O330" t="str">
        <f>("1")</f>
        <v>1</v>
      </c>
      <c r="P330" t="str">
        <f>("Jonckheere Agnes")</f>
        <v>Jonckheere Agnes</v>
      </c>
      <c r="Q330">
        <v>73</v>
      </c>
    </row>
    <row r="331" spans="1:19" x14ac:dyDescent="0.3">
      <c r="A331" t="s">
        <v>0</v>
      </c>
      <c r="B331" s="1">
        <v>45578</v>
      </c>
      <c r="C331" t="str">
        <f t="shared" si="76"/>
        <v>31005</v>
      </c>
      <c r="D331" t="s">
        <v>3</v>
      </c>
      <c r="E331" t="str">
        <f t="shared" si="77"/>
        <v>9</v>
      </c>
      <c r="F331">
        <v>223527</v>
      </c>
      <c r="G331">
        <v>138738</v>
      </c>
      <c r="H331">
        <v>4265</v>
      </c>
      <c r="I331" t="str">
        <f>("10")</f>
        <v>10</v>
      </c>
      <c r="J331" t="str">
        <f>("SVD")</f>
        <v>SVD</v>
      </c>
      <c r="K331">
        <v>111</v>
      </c>
      <c r="L331">
        <v>160</v>
      </c>
      <c r="M331">
        <v>271</v>
      </c>
      <c r="N331">
        <v>0</v>
      </c>
      <c r="O331" t="str">
        <f>("2")</f>
        <v>2</v>
      </c>
      <c r="P331" t="str">
        <f>("Pearson Kevin")</f>
        <v>Pearson Kevin</v>
      </c>
      <c r="Q331">
        <v>40</v>
      </c>
    </row>
    <row r="332" spans="1:19" x14ac:dyDescent="0.3">
      <c r="A332" t="s">
        <v>0</v>
      </c>
      <c r="B332" s="1">
        <v>45578</v>
      </c>
      <c r="C332" t="str">
        <f t="shared" si="76"/>
        <v>31005</v>
      </c>
      <c r="D332" t="s">
        <v>3</v>
      </c>
      <c r="E332" t="str">
        <f t="shared" si="77"/>
        <v>9</v>
      </c>
      <c r="F332">
        <v>223527</v>
      </c>
      <c r="G332">
        <v>138738</v>
      </c>
      <c r="H332">
        <v>4265</v>
      </c>
      <c r="I332" t="str">
        <f>("10")</f>
        <v>10</v>
      </c>
      <c r="J332" t="str">
        <f>("SVD")</f>
        <v>SVD</v>
      </c>
      <c r="K332">
        <v>111</v>
      </c>
      <c r="L332">
        <v>160</v>
      </c>
      <c r="M332">
        <v>271</v>
      </c>
      <c r="N332">
        <v>0</v>
      </c>
      <c r="O332" t="str">
        <f>("3")</f>
        <v>3</v>
      </c>
      <c r="P332" t="str">
        <f>("Pyck May")</f>
        <v>Pyck May</v>
      </c>
      <c r="Q332">
        <v>56</v>
      </c>
    </row>
    <row r="333" spans="1:19" x14ac:dyDescent="0.3">
      <c r="A333" t="s">
        <v>0</v>
      </c>
      <c r="B333" s="1">
        <v>45578</v>
      </c>
      <c r="C333" t="str">
        <f t="shared" si="76"/>
        <v>31005</v>
      </c>
      <c r="D333" t="s">
        <v>3</v>
      </c>
      <c r="E333" t="str">
        <f t="shared" si="77"/>
        <v>9</v>
      </c>
      <c r="F333">
        <v>223527</v>
      </c>
      <c r="G333">
        <v>138738</v>
      </c>
      <c r="H333">
        <v>4265</v>
      </c>
      <c r="I333" t="str">
        <f>("10")</f>
        <v>10</v>
      </c>
      <c r="J333" t="str">
        <f>("SVD")</f>
        <v>SVD</v>
      </c>
      <c r="K333">
        <v>111</v>
      </c>
      <c r="L333">
        <v>160</v>
      </c>
      <c r="M333">
        <v>271</v>
      </c>
      <c r="N333">
        <v>0</v>
      </c>
      <c r="O333" t="str">
        <f>("4")</f>
        <v>4</v>
      </c>
      <c r="P333" t="str">
        <f>("Vantorre Glenn")</f>
        <v>Vantorre Glenn</v>
      </c>
      <c r="Q333">
        <v>51</v>
      </c>
    </row>
    <row r="334" spans="1:19" x14ac:dyDescent="0.3">
      <c r="A334" t="s">
        <v>0</v>
      </c>
      <c r="B334" s="1">
        <v>45578</v>
      </c>
      <c r="C334" t="str">
        <f t="shared" si="76"/>
        <v>31005</v>
      </c>
      <c r="D334" t="s">
        <v>3</v>
      </c>
      <c r="E334" t="str">
        <f t="shared" si="77"/>
        <v>9</v>
      </c>
      <c r="F334">
        <v>223527</v>
      </c>
      <c r="G334">
        <v>138738</v>
      </c>
      <c r="H334">
        <v>4265</v>
      </c>
      <c r="I334" t="str">
        <f>("11")</f>
        <v>11</v>
      </c>
      <c r="J334" t="str">
        <f>("Volt")</f>
        <v>Volt</v>
      </c>
      <c r="K334">
        <v>121</v>
      </c>
      <c r="L334">
        <v>154</v>
      </c>
      <c r="M334">
        <v>275</v>
      </c>
      <c r="N334">
        <v>0</v>
      </c>
      <c r="O334" t="str">
        <f>("1")</f>
        <v>1</v>
      </c>
      <c r="P334" t="str">
        <f>("Demeyere Bart")</f>
        <v>Demeyere Bart</v>
      </c>
      <c r="Q334">
        <v>154</v>
      </c>
    </row>
    <row r="335" spans="1:19" x14ac:dyDescent="0.3">
      <c r="A335" t="s">
        <v>0</v>
      </c>
      <c r="B335" s="1">
        <v>45578</v>
      </c>
      <c r="C335" t="str">
        <f t="shared" ref="C335:C366" si="78">("46021")</f>
        <v>46021</v>
      </c>
      <c r="D335" t="s">
        <v>4</v>
      </c>
      <c r="E335" t="str">
        <f t="shared" ref="E335:E366" si="79">("11")</f>
        <v>11</v>
      </c>
      <c r="F335">
        <v>368453</v>
      </c>
      <c r="G335">
        <v>232138</v>
      </c>
      <c r="H335">
        <v>6513</v>
      </c>
      <c r="I335" t="str">
        <f t="shared" ref="I335:I345" si="80">("1")</f>
        <v>1</v>
      </c>
      <c r="J335" t="str">
        <f t="shared" ref="J335:J345" si="81">("Vooruit")</f>
        <v>Vooruit</v>
      </c>
      <c r="K335">
        <v>9302</v>
      </c>
      <c r="L335">
        <v>25506</v>
      </c>
      <c r="M335">
        <v>34808</v>
      </c>
      <c r="N335">
        <v>2</v>
      </c>
      <c r="O335" t="str">
        <f>("1")</f>
        <v>1</v>
      </c>
      <c r="P335" t="str">
        <f>("Rousseau Conner")</f>
        <v>Rousseau Conner</v>
      </c>
      <c r="Q335">
        <v>21472</v>
      </c>
      <c r="R335">
        <v>1</v>
      </c>
    </row>
    <row r="336" spans="1:19" x14ac:dyDescent="0.3">
      <c r="A336" t="s">
        <v>0</v>
      </c>
      <c r="B336" s="1">
        <v>45578</v>
      </c>
      <c r="C336" t="str">
        <f t="shared" si="78"/>
        <v>46021</v>
      </c>
      <c r="D336" t="s">
        <v>4</v>
      </c>
      <c r="E336" t="str">
        <f t="shared" si="79"/>
        <v>11</v>
      </c>
      <c r="F336">
        <v>368453</v>
      </c>
      <c r="G336">
        <v>232138</v>
      </c>
      <c r="H336">
        <v>6513</v>
      </c>
      <c r="I336" t="str">
        <f t="shared" si="80"/>
        <v>1</v>
      </c>
      <c r="J336" t="str">
        <f t="shared" si="81"/>
        <v>Vooruit</v>
      </c>
      <c r="K336">
        <v>9302</v>
      </c>
      <c r="L336">
        <v>25506</v>
      </c>
      <c r="M336">
        <v>34808</v>
      </c>
      <c r="N336">
        <v>2</v>
      </c>
      <c r="O336" t="str">
        <f>("2")</f>
        <v>2</v>
      </c>
      <c r="P336" t="str">
        <f>("De Cock Goedele")</f>
        <v>De Cock Goedele</v>
      </c>
      <c r="Q336">
        <v>2930</v>
      </c>
      <c r="R336">
        <v>2</v>
      </c>
    </row>
    <row r="337" spans="1:19" x14ac:dyDescent="0.3">
      <c r="A337" t="s">
        <v>0</v>
      </c>
      <c r="B337" s="1">
        <v>45578</v>
      </c>
      <c r="C337" t="str">
        <f t="shared" si="78"/>
        <v>46021</v>
      </c>
      <c r="D337" t="s">
        <v>4</v>
      </c>
      <c r="E337" t="str">
        <f t="shared" si="79"/>
        <v>11</v>
      </c>
      <c r="F337">
        <v>368453</v>
      </c>
      <c r="G337">
        <v>232138</v>
      </c>
      <c r="H337">
        <v>6513</v>
      </c>
      <c r="I337" t="str">
        <f t="shared" si="80"/>
        <v>1</v>
      </c>
      <c r="J337" t="str">
        <f t="shared" si="81"/>
        <v>Vooruit</v>
      </c>
      <c r="K337">
        <v>9302</v>
      </c>
      <c r="L337">
        <v>25506</v>
      </c>
      <c r="M337">
        <v>34808</v>
      </c>
      <c r="N337">
        <v>2</v>
      </c>
      <c r="O337" t="str">
        <f>("3")</f>
        <v>3</v>
      </c>
      <c r="P337" t="str">
        <f>("Othman Nadia")</f>
        <v>Othman Nadia</v>
      </c>
      <c r="Q337">
        <v>2446</v>
      </c>
      <c r="S337">
        <v>1</v>
      </c>
    </row>
    <row r="338" spans="1:19" x14ac:dyDescent="0.3">
      <c r="A338" t="s">
        <v>0</v>
      </c>
      <c r="B338" s="1">
        <v>45578</v>
      </c>
      <c r="C338" t="str">
        <f t="shared" si="78"/>
        <v>46021</v>
      </c>
      <c r="D338" t="s">
        <v>4</v>
      </c>
      <c r="E338" t="str">
        <f t="shared" si="79"/>
        <v>11</v>
      </c>
      <c r="F338">
        <v>368453</v>
      </c>
      <c r="G338">
        <v>232138</v>
      </c>
      <c r="H338">
        <v>6513</v>
      </c>
      <c r="I338" t="str">
        <f t="shared" si="80"/>
        <v>1</v>
      </c>
      <c r="J338" t="str">
        <f t="shared" si="81"/>
        <v>Vooruit</v>
      </c>
      <c r="K338">
        <v>9302</v>
      </c>
      <c r="L338">
        <v>25506</v>
      </c>
      <c r="M338">
        <v>34808</v>
      </c>
      <c r="N338">
        <v>2</v>
      </c>
      <c r="O338" t="str">
        <f>("4")</f>
        <v>4</v>
      </c>
      <c r="P338" t="str">
        <f>("Lammens Robin")</f>
        <v>Lammens Robin</v>
      </c>
      <c r="Q338">
        <v>1378</v>
      </c>
      <c r="S338">
        <v>6</v>
      </c>
    </row>
    <row r="339" spans="1:19" x14ac:dyDescent="0.3">
      <c r="A339" t="s">
        <v>0</v>
      </c>
      <c r="B339" s="1">
        <v>45578</v>
      </c>
      <c r="C339" t="str">
        <f t="shared" si="78"/>
        <v>46021</v>
      </c>
      <c r="D339" t="s">
        <v>4</v>
      </c>
      <c r="E339" t="str">
        <f t="shared" si="79"/>
        <v>11</v>
      </c>
      <c r="F339">
        <v>368453</v>
      </c>
      <c r="G339">
        <v>232138</v>
      </c>
      <c r="H339">
        <v>6513</v>
      </c>
      <c r="I339" t="str">
        <f t="shared" si="80"/>
        <v>1</v>
      </c>
      <c r="J339" t="str">
        <f t="shared" si="81"/>
        <v>Vooruit</v>
      </c>
      <c r="K339">
        <v>9302</v>
      </c>
      <c r="L339">
        <v>25506</v>
      </c>
      <c r="M339">
        <v>34808</v>
      </c>
      <c r="N339">
        <v>2</v>
      </c>
      <c r="O339" t="str">
        <f>("5")</f>
        <v>5</v>
      </c>
      <c r="P339" t="str">
        <f>("Deferme Els")</f>
        <v>Deferme Els</v>
      </c>
      <c r="Q339">
        <v>1714</v>
      </c>
      <c r="S339">
        <v>4</v>
      </c>
    </row>
    <row r="340" spans="1:19" x14ac:dyDescent="0.3">
      <c r="A340" t="s">
        <v>0</v>
      </c>
      <c r="B340" s="1">
        <v>45578</v>
      </c>
      <c r="C340" t="str">
        <f t="shared" si="78"/>
        <v>46021</v>
      </c>
      <c r="D340" t="s">
        <v>4</v>
      </c>
      <c r="E340" t="str">
        <f t="shared" si="79"/>
        <v>11</v>
      </c>
      <c r="F340">
        <v>368453</v>
      </c>
      <c r="G340">
        <v>232138</v>
      </c>
      <c r="H340">
        <v>6513</v>
      </c>
      <c r="I340" t="str">
        <f t="shared" si="80"/>
        <v>1</v>
      </c>
      <c r="J340" t="str">
        <f t="shared" si="81"/>
        <v>Vooruit</v>
      </c>
      <c r="K340">
        <v>9302</v>
      </c>
      <c r="L340">
        <v>25506</v>
      </c>
      <c r="M340">
        <v>34808</v>
      </c>
      <c r="N340">
        <v>2</v>
      </c>
      <c r="O340" t="str">
        <f>("6")</f>
        <v>6</v>
      </c>
      <c r="P340" t="str">
        <f>("Huybrechts Koenraad")</f>
        <v>Huybrechts Koenraad</v>
      </c>
      <c r="Q340">
        <v>1231</v>
      </c>
      <c r="S340">
        <v>9</v>
      </c>
    </row>
    <row r="341" spans="1:19" x14ac:dyDescent="0.3">
      <c r="A341" t="s">
        <v>0</v>
      </c>
      <c r="B341" s="1">
        <v>45578</v>
      </c>
      <c r="C341" t="str">
        <f t="shared" si="78"/>
        <v>46021</v>
      </c>
      <c r="D341" t="s">
        <v>4</v>
      </c>
      <c r="E341" t="str">
        <f t="shared" si="79"/>
        <v>11</v>
      </c>
      <c r="F341">
        <v>368453</v>
      </c>
      <c r="G341">
        <v>232138</v>
      </c>
      <c r="H341">
        <v>6513</v>
      </c>
      <c r="I341" t="str">
        <f t="shared" si="80"/>
        <v>1</v>
      </c>
      <c r="J341" t="str">
        <f t="shared" si="81"/>
        <v>Vooruit</v>
      </c>
      <c r="K341">
        <v>9302</v>
      </c>
      <c r="L341">
        <v>25506</v>
      </c>
      <c r="M341">
        <v>34808</v>
      </c>
      <c r="N341">
        <v>2</v>
      </c>
      <c r="O341" t="str">
        <f>("7")</f>
        <v>7</v>
      </c>
      <c r="P341" t="str">
        <f>("Coppens Diana")</f>
        <v>Coppens Diana</v>
      </c>
      <c r="Q341">
        <v>1522</v>
      </c>
      <c r="S341">
        <v>5</v>
      </c>
    </row>
    <row r="342" spans="1:19" x14ac:dyDescent="0.3">
      <c r="A342" t="s">
        <v>0</v>
      </c>
      <c r="B342" s="1">
        <v>45578</v>
      </c>
      <c r="C342" t="str">
        <f t="shared" si="78"/>
        <v>46021</v>
      </c>
      <c r="D342" t="s">
        <v>4</v>
      </c>
      <c r="E342" t="str">
        <f t="shared" si="79"/>
        <v>11</v>
      </c>
      <c r="F342">
        <v>368453</v>
      </c>
      <c r="G342">
        <v>232138</v>
      </c>
      <c r="H342">
        <v>6513</v>
      </c>
      <c r="I342" t="str">
        <f t="shared" si="80"/>
        <v>1</v>
      </c>
      <c r="J342" t="str">
        <f t="shared" si="81"/>
        <v>Vooruit</v>
      </c>
      <c r="K342">
        <v>9302</v>
      </c>
      <c r="L342">
        <v>25506</v>
      </c>
      <c r="M342">
        <v>34808</v>
      </c>
      <c r="N342">
        <v>2</v>
      </c>
      <c r="O342" t="str">
        <f>("8")</f>
        <v>8</v>
      </c>
      <c r="P342" t="str">
        <f>("Reyns Axel")</f>
        <v>Reyns Axel</v>
      </c>
      <c r="Q342">
        <v>1273</v>
      </c>
      <c r="S342">
        <v>8</v>
      </c>
    </row>
    <row r="343" spans="1:19" x14ac:dyDescent="0.3">
      <c r="A343" t="s">
        <v>0</v>
      </c>
      <c r="B343" s="1">
        <v>45578</v>
      </c>
      <c r="C343" t="str">
        <f t="shared" si="78"/>
        <v>46021</v>
      </c>
      <c r="D343" t="s">
        <v>4</v>
      </c>
      <c r="E343" t="str">
        <f t="shared" si="79"/>
        <v>11</v>
      </c>
      <c r="F343">
        <v>368453</v>
      </c>
      <c r="G343">
        <v>232138</v>
      </c>
      <c r="H343">
        <v>6513</v>
      </c>
      <c r="I343" t="str">
        <f t="shared" si="80"/>
        <v>1</v>
      </c>
      <c r="J343" t="str">
        <f t="shared" si="81"/>
        <v>Vooruit</v>
      </c>
      <c r="K343">
        <v>9302</v>
      </c>
      <c r="L343">
        <v>25506</v>
      </c>
      <c r="M343">
        <v>34808</v>
      </c>
      <c r="N343">
        <v>2</v>
      </c>
      <c r="O343" t="str">
        <f>("9")</f>
        <v>9</v>
      </c>
      <c r="P343" t="str">
        <f>("Tuytschaever Esther")</f>
        <v>Tuytschaever Esther</v>
      </c>
      <c r="Q343">
        <v>1356</v>
      </c>
      <c r="S343">
        <v>7</v>
      </c>
    </row>
    <row r="344" spans="1:19" x14ac:dyDescent="0.3">
      <c r="A344" t="s">
        <v>0</v>
      </c>
      <c r="B344" s="1">
        <v>45578</v>
      </c>
      <c r="C344" t="str">
        <f t="shared" si="78"/>
        <v>46021</v>
      </c>
      <c r="D344" t="s">
        <v>4</v>
      </c>
      <c r="E344" t="str">
        <f t="shared" si="79"/>
        <v>11</v>
      </c>
      <c r="F344">
        <v>368453</v>
      </c>
      <c r="G344">
        <v>232138</v>
      </c>
      <c r="H344">
        <v>6513</v>
      </c>
      <c r="I344" t="str">
        <f t="shared" si="80"/>
        <v>1</v>
      </c>
      <c r="J344" t="str">
        <f t="shared" si="81"/>
        <v>Vooruit</v>
      </c>
      <c r="K344">
        <v>9302</v>
      </c>
      <c r="L344">
        <v>25506</v>
      </c>
      <c r="M344">
        <v>34808</v>
      </c>
      <c r="N344">
        <v>2</v>
      </c>
      <c r="O344" t="str">
        <f>("10")</f>
        <v>10</v>
      </c>
      <c r="P344" t="str">
        <f>("Nalli Burak")</f>
        <v>Nalli Burak</v>
      </c>
      <c r="Q344">
        <v>2157</v>
      </c>
      <c r="S344">
        <v>2</v>
      </c>
    </row>
    <row r="345" spans="1:19" x14ac:dyDescent="0.3">
      <c r="A345" t="s">
        <v>0</v>
      </c>
      <c r="B345" s="1">
        <v>45578</v>
      </c>
      <c r="C345" t="str">
        <f t="shared" si="78"/>
        <v>46021</v>
      </c>
      <c r="D345" t="s">
        <v>4</v>
      </c>
      <c r="E345" t="str">
        <f t="shared" si="79"/>
        <v>11</v>
      </c>
      <c r="F345">
        <v>368453</v>
      </c>
      <c r="G345">
        <v>232138</v>
      </c>
      <c r="H345">
        <v>6513</v>
      </c>
      <c r="I345" t="str">
        <f t="shared" si="80"/>
        <v>1</v>
      </c>
      <c r="J345" t="str">
        <f t="shared" si="81"/>
        <v>Vooruit</v>
      </c>
      <c r="K345">
        <v>9302</v>
      </c>
      <c r="L345">
        <v>25506</v>
      </c>
      <c r="M345">
        <v>34808</v>
      </c>
      <c r="N345">
        <v>2</v>
      </c>
      <c r="O345" t="str">
        <f>("11")</f>
        <v>11</v>
      </c>
      <c r="P345" t="str">
        <f>("De Loor Kurt")</f>
        <v>De Loor Kurt</v>
      </c>
      <c r="Q345">
        <v>1803</v>
      </c>
      <c r="S345">
        <v>3</v>
      </c>
    </row>
    <row r="346" spans="1:19" x14ac:dyDescent="0.3">
      <c r="A346" t="s">
        <v>0</v>
      </c>
      <c r="B346" s="1">
        <v>45578</v>
      </c>
      <c r="C346" t="str">
        <f t="shared" si="78"/>
        <v>46021</v>
      </c>
      <c r="D346" t="s">
        <v>4</v>
      </c>
      <c r="E346" t="str">
        <f t="shared" si="79"/>
        <v>11</v>
      </c>
      <c r="F346">
        <v>368453</v>
      </c>
      <c r="G346">
        <v>232138</v>
      </c>
      <c r="H346">
        <v>6513</v>
      </c>
      <c r="I346" t="str">
        <f t="shared" ref="I346:I356" si="82">("2")</f>
        <v>2</v>
      </c>
      <c r="J346" t="str">
        <f t="shared" ref="J346:J356" si="83">("PVDA")</f>
        <v>PVDA</v>
      </c>
      <c r="K346">
        <v>3389</v>
      </c>
      <c r="L346">
        <v>3571</v>
      </c>
      <c r="M346">
        <v>6960</v>
      </c>
      <c r="N346">
        <v>0</v>
      </c>
      <c r="O346" t="str">
        <f>("1")</f>
        <v>1</v>
      </c>
      <c r="P346" t="str">
        <f>("De Waele Sabine")</f>
        <v>De Waele Sabine</v>
      </c>
      <c r="Q346">
        <v>2071</v>
      </c>
    </row>
    <row r="347" spans="1:19" x14ac:dyDescent="0.3">
      <c r="A347" t="s">
        <v>0</v>
      </c>
      <c r="B347" s="1">
        <v>45578</v>
      </c>
      <c r="C347" t="str">
        <f t="shared" si="78"/>
        <v>46021</v>
      </c>
      <c r="D347" t="s">
        <v>4</v>
      </c>
      <c r="E347" t="str">
        <f t="shared" si="79"/>
        <v>11</v>
      </c>
      <c r="F347">
        <v>368453</v>
      </c>
      <c r="G347">
        <v>232138</v>
      </c>
      <c r="H347">
        <v>6513</v>
      </c>
      <c r="I347" t="str">
        <f t="shared" si="82"/>
        <v>2</v>
      </c>
      <c r="J347" t="str">
        <f t="shared" si="83"/>
        <v>PVDA</v>
      </c>
      <c r="K347">
        <v>3389</v>
      </c>
      <c r="L347">
        <v>3571</v>
      </c>
      <c r="M347">
        <v>6960</v>
      </c>
      <c r="N347">
        <v>0</v>
      </c>
      <c r="O347" t="str">
        <f>("2")</f>
        <v>2</v>
      </c>
      <c r="P347" t="str">
        <f>("Maes Jef")</f>
        <v>Maes Jef</v>
      </c>
      <c r="Q347">
        <v>1081</v>
      </c>
    </row>
    <row r="348" spans="1:19" x14ac:dyDescent="0.3">
      <c r="A348" t="s">
        <v>0</v>
      </c>
      <c r="B348" s="1">
        <v>45578</v>
      </c>
      <c r="C348" t="str">
        <f t="shared" si="78"/>
        <v>46021</v>
      </c>
      <c r="D348" t="s">
        <v>4</v>
      </c>
      <c r="E348" t="str">
        <f t="shared" si="79"/>
        <v>11</v>
      </c>
      <c r="F348">
        <v>368453</v>
      </c>
      <c r="G348">
        <v>232138</v>
      </c>
      <c r="H348">
        <v>6513</v>
      </c>
      <c r="I348" t="str">
        <f t="shared" si="82"/>
        <v>2</v>
      </c>
      <c r="J348" t="str">
        <f t="shared" si="83"/>
        <v>PVDA</v>
      </c>
      <c r="K348">
        <v>3389</v>
      </c>
      <c r="L348">
        <v>3571</v>
      </c>
      <c r="M348">
        <v>6960</v>
      </c>
      <c r="N348">
        <v>0</v>
      </c>
      <c r="O348" t="str">
        <f>("3")</f>
        <v>3</v>
      </c>
      <c r="P348" t="str">
        <f>("Bruggeman Lydia")</f>
        <v>Bruggeman Lydia</v>
      </c>
      <c r="Q348">
        <v>814</v>
      </c>
    </row>
    <row r="349" spans="1:19" x14ac:dyDescent="0.3">
      <c r="A349" t="s">
        <v>0</v>
      </c>
      <c r="B349" s="1">
        <v>45578</v>
      </c>
      <c r="C349" t="str">
        <f t="shared" si="78"/>
        <v>46021</v>
      </c>
      <c r="D349" t="s">
        <v>4</v>
      </c>
      <c r="E349" t="str">
        <f t="shared" si="79"/>
        <v>11</v>
      </c>
      <c r="F349">
        <v>368453</v>
      </c>
      <c r="G349">
        <v>232138</v>
      </c>
      <c r="H349">
        <v>6513</v>
      </c>
      <c r="I349" t="str">
        <f t="shared" si="82"/>
        <v>2</v>
      </c>
      <c r="J349" t="str">
        <f t="shared" si="83"/>
        <v>PVDA</v>
      </c>
      <c r="K349">
        <v>3389</v>
      </c>
      <c r="L349">
        <v>3571</v>
      </c>
      <c r="M349">
        <v>6960</v>
      </c>
      <c r="N349">
        <v>0</v>
      </c>
      <c r="O349" t="str">
        <f>("4")</f>
        <v>4</v>
      </c>
      <c r="P349" t="str">
        <f>("Neyt Dimitri")</f>
        <v>Neyt Dimitri</v>
      </c>
      <c r="Q349">
        <v>518</v>
      </c>
    </row>
    <row r="350" spans="1:19" x14ac:dyDescent="0.3">
      <c r="A350" t="s">
        <v>0</v>
      </c>
      <c r="B350" s="1">
        <v>45578</v>
      </c>
      <c r="C350" t="str">
        <f t="shared" si="78"/>
        <v>46021</v>
      </c>
      <c r="D350" t="s">
        <v>4</v>
      </c>
      <c r="E350" t="str">
        <f t="shared" si="79"/>
        <v>11</v>
      </c>
      <c r="F350">
        <v>368453</v>
      </c>
      <c r="G350">
        <v>232138</v>
      </c>
      <c r="H350">
        <v>6513</v>
      </c>
      <c r="I350" t="str">
        <f t="shared" si="82"/>
        <v>2</v>
      </c>
      <c r="J350" t="str">
        <f t="shared" si="83"/>
        <v>PVDA</v>
      </c>
      <c r="K350">
        <v>3389</v>
      </c>
      <c r="L350">
        <v>3571</v>
      </c>
      <c r="M350">
        <v>6960</v>
      </c>
      <c r="N350">
        <v>0</v>
      </c>
      <c r="O350" t="str">
        <f>("5")</f>
        <v>5</v>
      </c>
      <c r="P350" t="str">
        <f>("Leybaert Joppe")</f>
        <v>Leybaert Joppe</v>
      </c>
      <c r="Q350">
        <v>574</v>
      </c>
    </row>
    <row r="351" spans="1:19" x14ac:dyDescent="0.3">
      <c r="A351" t="s">
        <v>0</v>
      </c>
      <c r="B351" s="1">
        <v>45578</v>
      </c>
      <c r="C351" t="str">
        <f t="shared" si="78"/>
        <v>46021</v>
      </c>
      <c r="D351" t="s">
        <v>4</v>
      </c>
      <c r="E351" t="str">
        <f t="shared" si="79"/>
        <v>11</v>
      </c>
      <c r="F351">
        <v>368453</v>
      </c>
      <c r="G351">
        <v>232138</v>
      </c>
      <c r="H351">
        <v>6513</v>
      </c>
      <c r="I351" t="str">
        <f t="shared" si="82"/>
        <v>2</v>
      </c>
      <c r="J351" t="str">
        <f t="shared" si="83"/>
        <v>PVDA</v>
      </c>
      <c r="K351">
        <v>3389</v>
      </c>
      <c r="L351">
        <v>3571</v>
      </c>
      <c r="M351">
        <v>6960</v>
      </c>
      <c r="N351">
        <v>0</v>
      </c>
      <c r="O351" t="str">
        <f>("6")</f>
        <v>6</v>
      </c>
      <c r="P351" t="str">
        <f>("Van Bossuyt Klaar")</f>
        <v>Van Bossuyt Klaar</v>
      </c>
      <c r="Q351">
        <v>479</v>
      </c>
    </row>
    <row r="352" spans="1:19" x14ac:dyDescent="0.3">
      <c r="A352" t="s">
        <v>0</v>
      </c>
      <c r="B352" s="1">
        <v>45578</v>
      </c>
      <c r="C352" t="str">
        <f t="shared" si="78"/>
        <v>46021</v>
      </c>
      <c r="D352" t="s">
        <v>4</v>
      </c>
      <c r="E352" t="str">
        <f t="shared" si="79"/>
        <v>11</v>
      </c>
      <c r="F352">
        <v>368453</v>
      </c>
      <c r="G352">
        <v>232138</v>
      </c>
      <c r="H352">
        <v>6513</v>
      </c>
      <c r="I352" t="str">
        <f t="shared" si="82"/>
        <v>2</v>
      </c>
      <c r="J352" t="str">
        <f t="shared" si="83"/>
        <v>PVDA</v>
      </c>
      <c r="K352">
        <v>3389</v>
      </c>
      <c r="L352">
        <v>3571</v>
      </c>
      <c r="M352">
        <v>6960</v>
      </c>
      <c r="N352">
        <v>0</v>
      </c>
      <c r="O352" t="str">
        <f>("7")</f>
        <v>7</v>
      </c>
      <c r="P352" t="str">
        <f>("Thiam Pathé")</f>
        <v>Thiam Pathé</v>
      </c>
      <c r="Q352">
        <v>471</v>
      </c>
    </row>
    <row r="353" spans="1:19" x14ac:dyDescent="0.3">
      <c r="A353" t="s">
        <v>0</v>
      </c>
      <c r="B353" s="1">
        <v>45578</v>
      </c>
      <c r="C353" t="str">
        <f t="shared" si="78"/>
        <v>46021</v>
      </c>
      <c r="D353" t="s">
        <v>4</v>
      </c>
      <c r="E353" t="str">
        <f t="shared" si="79"/>
        <v>11</v>
      </c>
      <c r="F353">
        <v>368453</v>
      </c>
      <c r="G353">
        <v>232138</v>
      </c>
      <c r="H353">
        <v>6513</v>
      </c>
      <c r="I353" t="str">
        <f t="shared" si="82"/>
        <v>2</v>
      </c>
      <c r="J353" t="str">
        <f t="shared" si="83"/>
        <v>PVDA</v>
      </c>
      <c r="K353">
        <v>3389</v>
      </c>
      <c r="L353">
        <v>3571</v>
      </c>
      <c r="M353">
        <v>6960</v>
      </c>
      <c r="N353">
        <v>0</v>
      </c>
      <c r="O353" t="str">
        <f>("8")</f>
        <v>8</v>
      </c>
      <c r="P353" t="str">
        <f>("Verbeke Tim")</f>
        <v>Verbeke Tim</v>
      </c>
      <c r="Q353">
        <v>479</v>
      </c>
    </row>
    <row r="354" spans="1:19" x14ac:dyDescent="0.3">
      <c r="A354" t="s">
        <v>0</v>
      </c>
      <c r="B354" s="1">
        <v>45578</v>
      </c>
      <c r="C354" t="str">
        <f t="shared" si="78"/>
        <v>46021</v>
      </c>
      <c r="D354" t="s">
        <v>4</v>
      </c>
      <c r="E354" t="str">
        <f t="shared" si="79"/>
        <v>11</v>
      </c>
      <c r="F354">
        <v>368453</v>
      </c>
      <c r="G354">
        <v>232138</v>
      </c>
      <c r="H354">
        <v>6513</v>
      </c>
      <c r="I354" t="str">
        <f t="shared" si="82"/>
        <v>2</v>
      </c>
      <c r="J354" t="str">
        <f t="shared" si="83"/>
        <v>PVDA</v>
      </c>
      <c r="K354">
        <v>3389</v>
      </c>
      <c r="L354">
        <v>3571</v>
      </c>
      <c r="M354">
        <v>6960</v>
      </c>
      <c r="N354">
        <v>0</v>
      </c>
      <c r="O354" t="str">
        <f>("9")</f>
        <v>9</v>
      </c>
      <c r="P354" t="str">
        <f>("Collyn Helga")</f>
        <v>Collyn Helga</v>
      </c>
      <c r="Q354">
        <v>590</v>
      </c>
    </row>
    <row r="355" spans="1:19" x14ac:dyDescent="0.3">
      <c r="A355" t="s">
        <v>0</v>
      </c>
      <c r="B355" s="1">
        <v>45578</v>
      </c>
      <c r="C355" t="str">
        <f t="shared" si="78"/>
        <v>46021</v>
      </c>
      <c r="D355" t="s">
        <v>4</v>
      </c>
      <c r="E355" t="str">
        <f t="shared" si="79"/>
        <v>11</v>
      </c>
      <c r="F355">
        <v>368453</v>
      </c>
      <c r="G355">
        <v>232138</v>
      </c>
      <c r="H355">
        <v>6513</v>
      </c>
      <c r="I355" t="str">
        <f t="shared" si="82"/>
        <v>2</v>
      </c>
      <c r="J355" t="str">
        <f t="shared" si="83"/>
        <v>PVDA</v>
      </c>
      <c r="K355">
        <v>3389</v>
      </c>
      <c r="L355">
        <v>3571</v>
      </c>
      <c r="M355">
        <v>6960</v>
      </c>
      <c r="N355">
        <v>0</v>
      </c>
      <c r="O355" t="str">
        <f>("10")</f>
        <v>10</v>
      </c>
      <c r="P355" t="str">
        <f>("Van der Kelen Ronny")</f>
        <v>Van der Kelen Ronny</v>
      </c>
      <c r="Q355">
        <v>473</v>
      </c>
    </row>
    <row r="356" spans="1:19" x14ac:dyDescent="0.3">
      <c r="A356" t="s">
        <v>0</v>
      </c>
      <c r="B356" s="1">
        <v>45578</v>
      </c>
      <c r="C356" t="str">
        <f t="shared" si="78"/>
        <v>46021</v>
      </c>
      <c r="D356" t="s">
        <v>4</v>
      </c>
      <c r="E356" t="str">
        <f t="shared" si="79"/>
        <v>11</v>
      </c>
      <c r="F356">
        <v>368453</v>
      </c>
      <c r="G356">
        <v>232138</v>
      </c>
      <c r="H356">
        <v>6513</v>
      </c>
      <c r="I356" t="str">
        <f t="shared" si="82"/>
        <v>2</v>
      </c>
      <c r="J356" t="str">
        <f t="shared" si="83"/>
        <v>PVDA</v>
      </c>
      <c r="K356">
        <v>3389</v>
      </c>
      <c r="L356">
        <v>3571</v>
      </c>
      <c r="M356">
        <v>6960</v>
      </c>
      <c r="N356">
        <v>0</v>
      </c>
      <c r="O356" t="str">
        <f>("11")</f>
        <v>11</v>
      </c>
      <c r="P356" t="str">
        <f>("Burssens Debby")</f>
        <v>Burssens Debby</v>
      </c>
      <c r="Q356">
        <v>797</v>
      </c>
    </row>
    <row r="357" spans="1:19" x14ac:dyDescent="0.3">
      <c r="A357" t="s">
        <v>0</v>
      </c>
      <c r="B357" s="1">
        <v>45578</v>
      </c>
      <c r="C357" t="str">
        <f t="shared" si="78"/>
        <v>46021</v>
      </c>
      <c r="D357" t="s">
        <v>4</v>
      </c>
      <c r="E357" t="str">
        <f t="shared" si="79"/>
        <v>11</v>
      </c>
      <c r="F357">
        <v>368453</v>
      </c>
      <c r="G357">
        <v>232138</v>
      </c>
      <c r="H357">
        <v>6513</v>
      </c>
      <c r="I357" t="str">
        <f t="shared" ref="I357:I367" si="84">("3")</f>
        <v>3</v>
      </c>
      <c r="J357" t="str">
        <f t="shared" ref="J357:J367" si="85">("cd&amp;v")</f>
        <v>cd&amp;v</v>
      </c>
      <c r="K357">
        <v>14762</v>
      </c>
      <c r="L357">
        <v>21306</v>
      </c>
      <c r="M357">
        <v>36068</v>
      </c>
      <c r="N357">
        <v>2</v>
      </c>
      <c r="O357" t="str">
        <f>("1")</f>
        <v>1</v>
      </c>
      <c r="P357" t="str">
        <f>("Cleemput Nele")</f>
        <v>Cleemput Nele</v>
      </c>
      <c r="Q357">
        <v>8130</v>
      </c>
      <c r="R357">
        <v>1</v>
      </c>
    </row>
    <row r="358" spans="1:19" x14ac:dyDescent="0.3">
      <c r="A358" t="s">
        <v>0</v>
      </c>
      <c r="B358" s="1">
        <v>45578</v>
      </c>
      <c r="C358" t="str">
        <f t="shared" si="78"/>
        <v>46021</v>
      </c>
      <c r="D358" t="s">
        <v>4</v>
      </c>
      <c r="E358" t="str">
        <f t="shared" si="79"/>
        <v>11</v>
      </c>
      <c r="F358">
        <v>368453</v>
      </c>
      <c r="G358">
        <v>232138</v>
      </c>
      <c r="H358">
        <v>6513</v>
      </c>
      <c r="I358" t="str">
        <f t="shared" si="84"/>
        <v>3</v>
      </c>
      <c r="J358" t="str">
        <f t="shared" si="85"/>
        <v>cd&amp;v</v>
      </c>
      <c r="K358">
        <v>14762</v>
      </c>
      <c r="L358">
        <v>21306</v>
      </c>
      <c r="M358">
        <v>36068</v>
      </c>
      <c r="N358">
        <v>2</v>
      </c>
      <c r="O358" t="str">
        <f>("2")</f>
        <v>2</v>
      </c>
      <c r="P358" t="str">
        <f>("Liebaut Filip")</f>
        <v>Liebaut Filip</v>
      </c>
      <c r="Q358">
        <v>3935</v>
      </c>
      <c r="S358">
        <v>1</v>
      </c>
    </row>
    <row r="359" spans="1:19" x14ac:dyDescent="0.3">
      <c r="A359" t="s">
        <v>0</v>
      </c>
      <c r="B359" s="1">
        <v>45578</v>
      </c>
      <c r="C359" t="str">
        <f t="shared" si="78"/>
        <v>46021</v>
      </c>
      <c r="D359" t="s">
        <v>4</v>
      </c>
      <c r="E359" t="str">
        <f t="shared" si="79"/>
        <v>11</v>
      </c>
      <c r="F359">
        <v>368453</v>
      </c>
      <c r="G359">
        <v>232138</v>
      </c>
      <c r="H359">
        <v>6513</v>
      </c>
      <c r="I359" t="str">
        <f t="shared" si="84"/>
        <v>3</v>
      </c>
      <c r="J359" t="str">
        <f t="shared" si="85"/>
        <v>cd&amp;v</v>
      </c>
      <c r="K359">
        <v>14762</v>
      </c>
      <c r="L359">
        <v>21306</v>
      </c>
      <c r="M359">
        <v>36068</v>
      </c>
      <c r="N359">
        <v>2</v>
      </c>
      <c r="O359" t="str">
        <f>("3")</f>
        <v>3</v>
      </c>
      <c r="P359" t="str">
        <f>("El Moussaoui Saloua")</f>
        <v>El Moussaoui Saloua</v>
      </c>
      <c r="Q359">
        <v>2811</v>
      </c>
      <c r="S359">
        <v>3</v>
      </c>
    </row>
    <row r="360" spans="1:19" x14ac:dyDescent="0.3">
      <c r="A360" t="s">
        <v>0</v>
      </c>
      <c r="B360" s="1">
        <v>45578</v>
      </c>
      <c r="C360" t="str">
        <f t="shared" si="78"/>
        <v>46021</v>
      </c>
      <c r="D360" t="s">
        <v>4</v>
      </c>
      <c r="E360" t="str">
        <f t="shared" si="79"/>
        <v>11</v>
      </c>
      <c r="F360">
        <v>368453</v>
      </c>
      <c r="G360">
        <v>232138</v>
      </c>
      <c r="H360">
        <v>6513</v>
      </c>
      <c r="I360" t="str">
        <f t="shared" si="84"/>
        <v>3</v>
      </c>
      <c r="J360" t="str">
        <f t="shared" si="85"/>
        <v>cd&amp;v</v>
      </c>
      <c r="K360">
        <v>14762</v>
      </c>
      <c r="L360">
        <v>21306</v>
      </c>
      <c r="M360">
        <v>36068</v>
      </c>
      <c r="N360">
        <v>2</v>
      </c>
      <c r="O360" t="str">
        <f>("4")</f>
        <v>4</v>
      </c>
      <c r="P360" t="str">
        <f>("Certyn Pieter-Jan")</f>
        <v>Certyn Pieter-Jan</v>
      </c>
      <c r="Q360">
        <v>1983</v>
      </c>
      <c r="S360">
        <v>5</v>
      </c>
    </row>
    <row r="361" spans="1:19" x14ac:dyDescent="0.3">
      <c r="A361" t="s">
        <v>0</v>
      </c>
      <c r="B361" s="1">
        <v>45578</v>
      </c>
      <c r="C361" t="str">
        <f t="shared" si="78"/>
        <v>46021</v>
      </c>
      <c r="D361" t="s">
        <v>4</v>
      </c>
      <c r="E361" t="str">
        <f t="shared" si="79"/>
        <v>11</v>
      </c>
      <c r="F361">
        <v>368453</v>
      </c>
      <c r="G361">
        <v>232138</v>
      </c>
      <c r="H361">
        <v>6513</v>
      </c>
      <c r="I361" t="str">
        <f t="shared" si="84"/>
        <v>3</v>
      </c>
      <c r="J361" t="str">
        <f t="shared" si="85"/>
        <v>cd&amp;v</v>
      </c>
      <c r="K361">
        <v>14762</v>
      </c>
      <c r="L361">
        <v>21306</v>
      </c>
      <c r="M361">
        <v>36068</v>
      </c>
      <c r="N361">
        <v>2</v>
      </c>
      <c r="O361" t="str">
        <f>("5")</f>
        <v>5</v>
      </c>
      <c r="P361" t="str">
        <f>("Bauwens Thomas")</f>
        <v>Bauwens Thomas</v>
      </c>
      <c r="Q361">
        <v>2436</v>
      </c>
      <c r="S361">
        <v>4</v>
      </c>
    </row>
    <row r="362" spans="1:19" x14ac:dyDescent="0.3">
      <c r="A362" t="s">
        <v>0</v>
      </c>
      <c r="B362" s="1">
        <v>45578</v>
      </c>
      <c r="C362" t="str">
        <f t="shared" si="78"/>
        <v>46021</v>
      </c>
      <c r="D362" t="s">
        <v>4</v>
      </c>
      <c r="E362" t="str">
        <f t="shared" si="79"/>
        <v>11</v>
      </c>
      <c r="F362">
        <v>368453</v>
      </c>
      <c r="G362">
        <v>232138</v>
      </c>
      <c r="H362">
        <v>6513</v>
      </c>
      <c r="I362" t="str">
        <f t="shared" si="84"/>
        <v>3</v>
      </c>
      <c r="J362" t="str">
        <f t="shared" si="85"/>
        <v>cd&amp;v</v>
      </c>
      <c r="K362">
        <v>14762</v>
      </c>
      <c r="L362">
        <v>21306</v>
      </c>
      <c r="M362">
        <v>36068</v>
      </c>
      <c r="N362">
        <v>2</v>
      </c>
      <c r="O362" t="str">
        <f>("6")</f>
        <v>6</v>
      </c>
      <c r="P362" t="str">
        <f>("Rollier Thomas")</f>
        <v>Rollier Thomas</v>
      </c>
      <c r="Q362">
        <v>1390</v>
      </c>
      <c r="S362">
        <v>9</v>
      </c>
    </row>
    <row r="363" spans="1:19" x14ac:dyDescent="0.3">
      <c r="A363" t="s">
        <v>0</v>
      </c>
      <c r="B363" s="1">
        <v>45578</v>
      </c>
      <c r="C363" t="str">
        <f t="shared" si="78"/>
        <v>46021</v>
      </c>
      <c r="D363" t="s">
        <v>4</v>
      </c>
      <c r="E363" t="str">
        <f t="shared" si="79"/>
        <v>11</v>
      </c>
      <c r="F363">
        <v>368453</v>
      </c>
      <c r="G363">
        <v>232138</v>
      </c>
      <c r="H363">
        <v>6513</v>
      </c>
      <c r="I363" t="str">
        <f t="shared" si="84"/>
        <v>3</v>
      </c>
      <c r="J363" t="str">
        <f t="shared" si="85"/>
        <v>cd&amp;v</v>
      </c>
      <c r="K363">
        <v>14762</v>
      </c>
      <c r="L363">
        <v>21306</v>
      </c>
      <c r="M363">
        <v>36068</v>
      </c>
      <c r="N363">
        <v>2</v>
      </c>
      <c r="O363" t="str">
        <f>("7")</f>
        <v>7</v>
      </c>
      <c r="P363" t="str">
        <f>("Vervaet Chris")</f>
        <v>Vervaet Chris</v>
      </c>
      <c r="Q363">
        <v>1757</v>
      </c>
      <c r="S363">
        <v>8</v>
      </c>
    </row>
    <row r="364" spans="1:19" x14ac:dyDescent="0.3">
      <c r="A364" t="s">
        <v>0</v>
      </c>
      <c r="B364" s="1">
        <v>45578</v>
      </c>
      <c r="C364" t="str">
        <f t="shared" si="78"/>
        <v>46021</v>
      </c>
      <c r="D364" t="s">
        <v>4</v>
      </c>
      <c r="E364" t="str">
        <f t="shared" si="79"/>
        <v>11</v>
      </c>
      <c r="F364">
        <v>368453</v>
      </c>
      <c r="G364">
        <v>232138</v>
      </c>
      <c r="H364">
        <v>6513</v>
      </c>
      <c r="I364" t="str">
        <f t="shared" si="84"/>
        <v>3</v>
      </c>
      <c r="J364" t="str">
        <f t="shared" si="85"/>
        <v>cd&amp;v</v>
      </c>
      <c r="K364">
        <v>14762</v>
      </c>
      <c r="L364">
        <v>21306</v>
      </c>
      <c r="M364">
        <v>36068</v>
      </c>
      <c r="N364">
        <v>2</v>
      </c>
      <c r="O364" t="str">
        <f>("8")</f>
        <v>8</v>
      </c>
      <c r="P364" t="str">
        <f>("Poppe Yves")</f>
        <v>Poppe Yves</v>
      </c>
      <c r="Q364">
        <v>1902</v>
      </c>
      <c r="S364">
        <v>6</v>
      </c>
    </row>
    <row r="365" spans="1:19" x14ac:dyDescent="0.3">
      <c r="A365" t="s">
        <v>0</v>
      </c>
      <c r="B365" s="1">
        <v>45578</v>
      </c>
      <c r="C365" t="str">
        <f t="shared" si="78"/>
        <v>46021</v>
      </c>
      <c r="D365" t="s">
        <v>4</v>
      </c>
      <c r="E365" t="str">
        <f t="shared" si="79"/>
        <v>11</v>
      </c>
      <c r="F365">
        <v>368453</v>
      </c>
      <c r="G365">
        <v>232138</v>
      </c>
      <c r="H365">
        <v>6513</v>
      </c>
      <c r="I365" t="str">
        <f t="shared" si="84"/>
        <v>3</v>
      </c>
      <c r="J365" t="str">
        <f t="shared" si="85"/>
        <v>cd&amp;v</v>
      </c>
      <c r="K365">
        <v>14762</v>
      </c>
      <c r="L365">
        <v>21306</v>
      </c>
      <c r="M365">
        <v>36068</v>
      </c>
      <c r="N365">
        <v>2</v>
      </c>
      <c r="O365" t="str">
        <f>("9")</f>
        <v>9</v>
      </c>
      <c r="P365" t="str">
        <f>("Coens Isolde")</f>
        <v>Coens Isolde</v>
      </c>
      <c r="Q365">
        <v>1902</v>
      </c>
      <c r="S365">
        <v>7</v>
      </c>
    </row>
    <row r="366" spans="1:19" x14ac:dyDescent="0.3">
      <c r="A366" t="s">
        <v>0</v>
      </c>
      <c r="B366" s="1">
        <v>45578</v>
      </c>
      <c r="C366" t="str">
        <f t="shared" si="78"/>
        <v>46021</v>
      </c>
      <c r="D366" t="s">
        <v>4</v>
      </c>
      <c r="E366" t="str">
        <f t="shared" si="79"/>
        <v>11</v>
      </c>
      <c r="F366">
        <v>368453</v>
      </c>
      <c r="G366">
        <v>232138</v>
      </c>
      <c r="H366">
        <v>6513</v>
      </c>
      <c r="I366" t="str">
        <f t="shared" si="84"/>
        <v>3</v>
      </c>
      <c r="J366" t="str">
        <f t="shared" si="85"/>
        <v>cd&amp;v</v>
      </c>
      <c r="K366">
        <v>14762</v>
      </c>
      <c r="L366">
        <v>21306</v>
      </c>
      <c r="M366">
        <v>36068</v>
      </c>
      <c r="N366">
        <v>2</v>
      </c>
      <c r="O366" t="str">
        <f>("10")</f>
        <v>10</v>
      </c>
      <c r="P366" t="str">
        <f>("Grillaert Leentje")</f>
        <v>Grillaert Leentje</v>
      </c>
      <c r="Q366">
        <v>3780</v>
      </c>
      <c r="S366">
        <v>2</v>
      </c>
    </row>
    <row r="367" spans="1:19" x14ac:dyDescent="0.3">
      <c r="A367" t="s">
        <v>0</v>
      </c>
      <c r="B367" s="1">
        <v>45578</v>
      </c>
      <c r="C367" t="str">
        <f t="shared" ref="C367:C398" si="86">("46021")</f>
        <v>46021</v>
      </c>
      <c r="D367" t="s">
        <v>4</v>
      </c>
      <c r="E367" t="str">
        <f t="shared" ref="E367:E398" si="87">("11")</f>
        <v>11</v>
      </c>
      <c r="F367">
        <v>368453</v>
      </c>
      <c r="G367">
        <v>232138</v>
      </c>
      <c r="H367">
        <v>6513</v>
      </c>
      <c r="I367" t="str">
        <f t="shared" si="84"/>
        <v>3</v>
      </c>
      <c r="J367" t="str">
        <f t="shared" si="85"/>
        <v>cd&amp;v</v>
      </c>
      <c r="K367">
        <v>14762</v>
      </c>
      <c r="L367">
        <v>21306</v>
      </c>
      <c r="M367">
        <v>36068</v>
      </c>
      <c r="N367">
        <v>2</v>
      </c>
      <c r="O367" t="str">
        <f>("11")</f>
        <v>11</v>
      </c>
      <c r="P367" t="str">
        <f>("de Moor Nicole")</f>
        <v>de Moor Nicole</v>
      </c>
      <c r="Q367">
        <v>6468</v>
      </c>
      <c r="R367">
        <v>2</v>
      </c>
    </row>
    <row r="368" spans="1:19" x14ac:dyDescent="0.3">
      <c r="A368" t="s">
        <v>0</v>
      </c>
      <c r="B368" s="1">
        <v>45578</v>
      </c>
      <c r="C368" t="str">
        <f t="shared" si="86"/>
        <v>46021</v>
      </c>
      <c r="D368" t="s">
        <v>4</v>
      </c>
      <c r="E368" t="str">
        <f t="shared" si="87"/>
        <v>11</v>
      </c>
      <c r="F368">
        <v>368453</v>
      </c>
      <c r="G368">
        <v>232138</v>
      </c>
      <c r="H368">
        <v>6513</v>
      </c>
      <c r="I368" t="str">
        <f t="shared" ref="I368:I378" si="88">("4")</f>
        <v>4</v>
      </c>
      <c r="J368" t="str">
        <f t="shared" ref="J368:J378" si="89">("VLAAMS BELANG")</f>
        <v>VLAAMS BELANG</v>
      </c>
      <c r="K368">
        <v>25994</v>
      </c>
      <c r="L368">
        <v>22401</v>
      </c>
      <c r="M368">
        <v>48395</v>
      </c>
      <c r="N368">
        <v>2</v>
      </c>
      <c r="O368" t="str">
        <f>("1")</f>
        <v>1</v>
      </c>
      <c r="P368" t="str">
        <f>("Bekaert Delphine")</f>
        <v>Bekaert Delphine</v>
      </c>
      <c r="Q368">
        <v>9791</v>
      </c>
      <c r="R368">
        <v>2</v>
      </c>
    </row>
    <row r="369" spans="1:19" x14ac:dyDescent="0.3">
      <c r="A369" t="s">
        <v>0</v>
      </c>
      <c r="B369" s="1">
        <v>45578</v>
      </c>
      <c r="C369" t="str">
        <f t="shared" si="86"/>
        <v>46021</v>
      </c>
      <c r="D369" t="s">
        <v>4</v>
      </c>
      <c r="E369" t="str">
        <f t="shared" si="87"/>
        <v>11</v>
      </c>
      <c r="F369">
        <v>368453</v>
      </c>
      <c r="G369">
        <v>232138</v>
      </c>
      <c r="H369">
        <v>6513</v>
      </c>
      <c r="I369" t="str">
        <f t="shared" si="88"/>
        <v>4</v>
      </c>
      <c r="J369" t="str">
        <f t="shared" si="89"/>
        <v>VLAAMS BELANG</v>
      </c>
      <c r="K369">
        <v>25994</v>
      </c>
      <c r="L369">
        <v>22401</v>
      </c>
      <c r="M369">
        <v>48395</v>
      </c>
      <c r="N369">
        <v>2</v>
      </c>
      <c r="O369" t="str">
        <f>("2")</f>
        <v>2</v>
      </c>
      <c r="P369" t="str">
        <f>("Van Gucht Stefaan")</f>
        <v>Van Gucht Stefaan</v>
      </c>
      <c r="Q369">
        <v>5643</v>
      </c>
      <c r="S369">
        <v>1</v>
      </c>
    </row>
    <row r="370" spans="1:19" x14ac:dyDescent="0.3">
      <c r="A370" t="s">
        <v>0</v>
      </c>
      <c r="B370" s="1">
        <v>45578</v>
      </c>
      <c r="C370" t="str">
        <f t="shared" si="86"/>
        <v>46021</v>
      </c>
      <c r="D370" t="s">
        <v>4</v>
      </c>
      <c r="E370" t="str">
        <f t="shared" si="87"/>
        <v>11</v>
      </c>
      <c r="F370">
        <v>368453</v>
      </c>
      <c r="G370">
        <v>232138</v>
      </c>
      <c r="H370">
        <v>6513</v>
      </c>
      <c r="I370" t="str">
        <f t="shared" si="88"/>
        <v>4</v>
      </c>
      <c r="J370" t="str">
        <f t="shared" si="89"/>
        <v>VLAAMS BELANG</v>
      </c>
      <c r="K370">
        <v>25994</v>
      </c>
      <c r="L370">
        <v>22401</v>
      </c>
      <c r="M370">
        <v>48395</v>
      </c>
      <c r="N370">
        <v>2</v>
      </c>
      <c r="O370" t="str">
        <f>("3")</f>
        <v>3</v>
      </c>
      <c r="P370" t="str">
        <f>("Behiels Nathalie")</f>
        <v>Behiels Nathalie</v>
      </c>
      <c r="Q370">
        <v>3877</v>
      </c>
      <c r="S370">
        <v>2</v>
      </c>
    </row>
    <row r="371" spans="1:19" x14ac:dyDescent="0.3">
      <c r="A371" t="s">
        <v>0</v>
      </c>
      <c r="B371" s="1">
        <v>45578</v>
      </c>
      <c r="C371" t="str">
        <f t="shared" si="86"/>
        <v>46021</v>
      </c>
      <c r="D371" t="s">
        <v>4</v>
      </c>
      <c r="E371" t="str">
        <f t="shared" si="87"/>
        <v>11</v>
      </c>
      <c r="F371">
        <v>368453</v>
      </c>
      <c r="G371">
        <v>232138</v>
      </c>
      <c r="H371">
        <v>6513</v>
      </c>
      <c r="I371" t="str">
        <f t="shared" si="88"/>
        <v>4</v>
      </c>
      <c r="J371" t="str">
        <f t="shared" si="89"/>
        <v>VLAAMS BELANG</v>
      </c>
      <c r="K371">
        <v>25994</v>
      </c>
      <c r="L371">
        <v>22401</v>
      </c>
      <c r="M371">
        <v>48395</v>
      </c>
      <c r="N371">
        <v>2</v>
      </c>
      <c r="O371" t="str">
        <f>("4")</f>
        <v>4</v>
      </c>
      <c r="P371" t="str">
        <f>("Boel David")</f>
        <v>Boel David</v>
      </c>
      <c r="Q371">
        <v>3725</v>
      </c>
      <c r="S371">
        <v>3</v>
      </c>
    </row>
    <row r="372" spans="1:19" x14ac:dyDescent="0.3">
      <c r="A372" t="s">
        <v>0</v>
      </c>
      <c r="B372" s="1">
        <v>45578</v>
      </c>
      <c r="C372" t="str">
        <f t="shared" si="86"/>
        <v>46021</v>
      </c>
      <c r="D372" t="s">
        <v>4</v>
      </c>
      <c r="E372" t="str">
        <f t="shared" si="87"/>
        <v>11</v>
      </c>
      <c r="F372">
        <v>368453</v>
      </c>
      <c r="G372">
        <v>232138</v>
      </c>
      <c r="H372">
        <v>6513</v>
      </c>
      <c r="I372" t="str">
        <f t="shared" si="88"/>
        <v>4</v>
      </c>
      <c r="J372" t="str">
        <f t="shared" si="89"/>
        <v>VLAAMS BELANG</v>
      </c>
      <c r="K372">
        <v>25994</v>
      </c>
      <c r="L372">
        <v>22401</v>
      </c>
      <c r="M372">
        <v>48395</v>
      </c>
      <c r="N372">
        <v>2</v>
      </c>
      <c r="O372" t="str">
        <f>("5")</f>
        <v>5</v>
      </c>
      <c r="P372" t="str">
        <f>("De Cleen Berlinda")</f>
        <v>De Cleen Berlinda</v>
      </c>
      <c r="Q372">
        <v>3453</v>
      </c>
      <c r="S372">
        <v>4</v>
      </c>
    </row>
    <row r="373" spans="1:19" x14ac:dyDescent="0.3">
      <c r="A373" t="s">
        <v>0</v>
      </c>
      <c r="B373" s="1">
        <v>45578</v>
      </c>
      <c r="C373" t="str">
        <f t="shared" si="86"/>
        <v>46021</v>
      </c>
      <c r="D373" t="s">
        <v>4</v>
      </c>
      <c r="E373" t="str">
        <f t="shared" si="87"/>
        <v>11</v>
      </c>
      <c r="F373">
        <v>368453</v>
      </c>
      <c r="G373">
        <v>232138</v>
      </c>
      <c r="H373">
        <v>6513</v>
      </c>
      <c r="I373" t="str">
        <f t="shared" si="88"/>
        <v>4</v>
      </c>
      <c r="J373" t="str">
        <f t="shared" si="89"/>
        <v>VLAAMS BELANG</v>
      </c>
      <c r="K373">
        <v>25994</v>
      </c>
      <c r="L373">
        <v>22401</v>
      </c>
      <c r="M373">
        <v>48395</v>
      </c>
      <c r="N373">
        <v>2</v>
      </c>
      <c r="O373" t="str">
        <f>("6")</f>
        <v>6</v>
      </c>
      <c r="P373" t="str">
        <f>("Oste Paul")</f>
        <v>Oste Paul</v>
      </c>
      <c r="Q373">
        <v>2923</v>
      </c>
      <c r="S373">
        <v>7</v>
      </c>
    </row>
    <row r="374" spans="1:19" x14ac:dyDescent="0.3">
      <c r="A374" t="s">
        <v>0</v>
      </c>
      <c r="B374" s="1">
        <v>45578</v>
      </c>
      <c r="C374" t="str">
        <f t="shared" si="86"/>
        <v>46021</v>
      </c>
      <c r="D374" t="s">
        <v>4</v>
      </c>
      <c r="E374" t="str">
        <f t="shared" si="87"/>
        <v>11</v>
      </c>
      <c r="F374">
        <v>368453</v>
      </c>
      <c r="G374">
        <v>232138</v>
      </c>
      <c r="H374">
        <v>6513</v>
      </c>
      <c r="I374" t="str">
        <f t="shared" si="88"/>
        <v>4</v>
      </c>
      <c r="J374" t="str">
        <f t="shared" si="89"/>
        <v>VLAAMS BELANG</v>
      </c>
      <c r="K374">
        <v>25994</v>
      </c>
      <c r="L374">
        <v>22401</v>
      </c>
      <c r="M374">
        <v>48395</v>
      </c>
      <c r="N374">
        <v>2</v>
      </c>
      <c r="O374" t="str">
        <f>("7")</f>
        <v>7</v>
      </c>
      <c r="P374" t="str">
        <f>("Herssens Evie")</f>
        <v>Herssens Evie</v>
      </c>
      <c r="Q374">
        <v>3009</v>
      </c>
      <c r="S374">
        <v>6</v>
      </c>
    </row>
    <row r="375" spans="1:19" x14ac:dyDescent="0.3">
      <c r="A375" t="s">
        <v>0</v>
      </c>
      <c r="B375" s="1">
        <v>45578</v>
      </c>
      <c r="C375" t="str">
        <f t="shared" si="86"/>
        <v>46021</v>
      </c>
      <c r="D375" t="s">
        <v>4</v>
      </c>
      <c r="E375" t="str">
        <f t="shared" si="87"/>
        <v>11</v>
      </c>
      <c r="F375">
        <v>368453</v>
      </c>
      <c r="G375">
        <v>232138</v>
      </c>
      <c r="H375">
        <v>6513</v>
      </c>
      <c r="I375" t="str">
        <f t="shared" si="88"/>
        <v>4</v>
      </c>
      <c r="J375" t="str">
        <f t="shared" si="89"/>
        <v>VLAAMS BELANG</v>
      </c>
      <c r="K375">
        <v>25994</v>
      </c>
      <c r="L375">
        <v>22401</v>
      </c>
      <c r="M375">
        <v>48395</v>
      </c>
      <c r="N375">
        <v>2</v>
      </c>
      <c r="O375" t="str">
        <f>("8")</f>
        <v>8</v>
      </c>
      <c r="P375" t="str">
        <f>("Hendrikx Rudi")</f>
        <v>Hendrikx Rudi</v>
      </c>
      <c r="Q375">
        <v>2819</v>
      </c>
      <c r="S375">
        <v>8</v>
      </c>
    </row>
    <row r="376" spans="1:19" x14ac:dyDescent="0.3">
      <c r="A376" t="s">
        <v>0</v>
      </c>
      <c r="B376" s="1">
        <v>45578</v>
      </c>
      <c r="C376" t="str">
        <f t="shared" si="86"/>
        <v>46021</v>
      </c>
      <c r="D376" t="s">
        <v>4</v>
      </c>
      <c r="E376" t="str">
        <f t="shared" si="87"/>
        <v>11</v>
      </c>
      <c r="F376">
        <v>368453</v>
      </c>
      <c r="G376">
        <v>232138</v>
      </c>
      <c r="H376">
        <v>6513</v>
      </c>
      <c r="I376" t="str">
        <f t="shared" si="88"/>
        <v>4</v>
      </c>
      <c r="J376" t="str">
        <f t="shared" si="89"/>
        <v>VLAAMS BELANG</v>
      </c>
      <c r="K376">
        <v>25994</v>
      </c>
      <c r="L376">
        <v>22401</v>
      </c>
      <c r="M376">
        <v>48395</v>
      </c>
      <c r="N376">
        <v>2</v>
      </c>
      <c r="O376" t="str">
        <f>("9")</f>
        <v>9</v>
      </c>
      <c r="P376" t="str">
        <f>("Linthout Hendrik")</f>
        <v>Linthout Hendrik</v>
      </c>
      <c r="Q376">
        <v>2551</v>
      </c>
      <c r="S376">
        <v>9</v>
      </c>
    </row>
    <row r="377" spans="1:19" x14ac:dyDescent="0.3">
      <c r="A377" t="s">
        <v>0</v>
      </c>
      <c r="B377" s="1">
        <v>45578</v>
      </c>
      <c r="C377" t="str">
        <f t="shared" si="86"/>
        <v>46021</v>
      </c>
      <c r="D377" t="s">
        <v>4</v>
      </c>
      <c r="E377" t="str">
        <f t="shared" si="87"/>
        <v>11</v>
      </c>
      <c r="F377">
        <v>368453</v>
      </c>
      <c r="G377">
        <v>232138</v>
      </c>
      <c r="H377">
        <v>6513</v>
      </c>
      <c r="I377" t="str">
        <f t="shared" si="88"/>
        <v>4</v>
      </c>
      <c r="J377" t="str">
        <f t="shared" si="89"/>
        <v>VLAAMS BELANG</v>
      </c>
      <c r="K377">
        <v>25994</v>
      </c>
      <c r="L377">
        <v>22401</v>
      </c>
      <c r="M377">
        <v>48395</v>
      </c>
      <c r="N377">
        <v>2</v>
      </c>
      <c r="O377" t="str">
        <f>("10")</f>
        <v>10</v>
      </c>
      <c r="P377" t="str">
        <f>("Van Boven Lena")</f>
        <v>Van Boven Lena</v>
      </c>
      <c r="Q377">
        <v>3362</v>
      </c>
      <c r="S377">
        <v>5</v>
      </c>
    </row>
    <row r="378" spans="1:19" x14ac:dyDescent="0.3">
      <c r="A378" t="s">
        <v>0</v>
      </c>
      <c r="B378" s="1">
        <v>45578</v>
      </c>
      <c r="C378" t="str">
        <f t="shared" si="86"/>
        <v>46021</v>
      </c>
      <c r="D378" t="s">
        <v>4</v>
      </c>
      <c r="E378" t="str">
        <f t="shared" si="87"/>
        <v>11</v>
      </c>
      <c r="F378">
        <v>368453</v>
      </c>
      <c r="G378">
        <v>232138</v>
      </c>
      <c r="H378">
        <v>6513</v>
      </c>
      <c r="I378" t="str">
        <f t="shared" si="88"/>
        <v>4</v>
      </c>
      <c r="J378" t="str">
        <f t="shared" si="89"/>
        <v>VLAAMS BELANG</v>
      </c>
      <c r="K378">
        <v>25994</v>
      </c>
      <c r="L378">
        <v>22401</v>
      </c>
      <c r="M378">
        <v>48395</v>
      </c>
      <c r="N378">
        <v>2</v>
      </c>
      <c r="O378" t="str">
        <f>("11")</f>
        <v>11</v>
      </c>
      <c r="P378" t="str">
        <f>("Pas Barbara")</f>
        <v>Pas Barbara</v>
      </c>
      <c r="Q378">
        <v>11637</v>
      </c>
      <c r="R378">
        <v>1</v>
      </c>
    </row>
    <row r="379" spans="1:19" x14ac:dyDescent="0.3">
      <c r="A379" t="s">
        <v>0</v>
      </c>
      <c r="B379" s="1">
        <v>45578</v>
      </c>
      <c r="C379" t="str">
        <f t="shared" si="86"/>
        <v>46021</v>
      </c>
      <c r="D379" t="s">
        <v>4</v>
      </c>
      <c r="E379" t="str">
        <f t="shared" si="87"/>
        <v>11</v>
      </c>
      <c r="F379">
        <v>368453</v>
      </c>
      <c r="G379">
        <v>232138</v>
      </c>
      <c r="H379">
        <v>6513</v>
      </c>
      <c r="I379" t="str">
        <f t="shared" ref="I379:I389" si="90">("5")</f>
        <v>5</v>
      </c>
      <c r="J379" t="str">
        <f t="shared" ref="J379:J389" si="91">("N-VA")</f>
        <v>N-VA</v>
      </c>
      <c r="K379">
        <v>35335</v>
      </c>
      <c r="L379">
        <v>20206</v>
      </c>
      <c r="M379">
        <v>55541</v>
      </c>
      <c r="N379">
        <v>3</v>
      </c>
      <c r="O379" t="str">
        <f>("1")</f>
        <v>1</v>
      </c>
      <c r="P379" t="str">
        <f>("Vervliet An")</f>
        <v>Vervliet An</v>
      </c>
      <c r="Q379">
        <v>11634</v>
      </c>
      <c r="R379">
        <v>1</v>
      </c>
    </row>
    <row r="380" spans="1:19" x14ac:dyDescent="0.3">
      <c r="A380" t="s">
        <v>0</v>
      </c>
      <c r="B380" s="1">
        <v>45578</v>
      </c>
      <c r="C380" t="str">
        <f t="shared" si="86"/>
        <v>46021</v>
      </c>
      <c r="D380" t="s">
        <v>4</v>
      </c>
      <c r="E380" t="str">
        <f t="shared" si="87"/>
        <v>11</v>
      </c>
      <c r="F380">
        <v>368453</v>
      </c>
      <c r="G380">
        <v>232138</v>
      </c>
      <c r="H380">
        <v>6513</v>
      </c>
      <c r="I380" t="str">
        <f t="shared" si="90"/>
        <v>5</v>
      </c>
      <c r="J380" t="str">
        <f t="shared" si="91"/>
        <v>N-VA</v>
      </c>
      <c r="K380">
        <v>35335</v>
      </c>
      <c r="L380">
        <v>20206</v>
      </c>
      <c r="M380">
        <v>55541</v>
      </c>
      <c r="N380">
        <v>3</v>
      </c>
      <c r="O380" t="str">
        <f>("2")</f>
        <v>2</v>
      </c>
      <c r="P380" t="str">
        <f>("Verhelst Giel")</f>
        <v>Verhelst Giel</v>
      </c>
      <c r="Q380">
        <v>3762</v>
      </c>
      <c r="R380">
        <v>3</v>
      </c>
    </row>
    <row r="381" spans="1:19" x14ac:dyDescent="0.3">
      <c r="A381" t="s">
        <v>0</v>
      </c>
      <c r="B381" s="1">
        <v>45578</v>
      </c>
      <c r="C381" t="str">
        <f t="shared" si="86"/>
        <v>46021</v>
      </c>
      <c r="D381" t="s">
        <v>4</v>
      </c>
      <c r="E381" t="str">
        <f t="shared" si="87"/>
        <v>11</v>
      </c>
      <c r="F381">
        <v>368453</v>
      </c>
      <c r="G381">
        <v>232138</v>
      </c>
      <c r="H381">
        <v>6513</v>
      </c>
      <c r="I381" t="str">
        <f t="shared" si="90"/>
        <v>5</v>
      </c>
      <c r="J381" t="str">
        <f t="shared" si="91"/>
        <v>N-VA</v>
      </c>
      <c r="K381">
        <v>35335</v>
      </c>
      <c r="L381">
        <v>20206</v>
      </c>
      <c r="M381">
        <v>55541</v>
      </c>
      <c r="N381">
        <v>3</v>
      </c>
      <c r="O381" t="str">
        <f>("3")</f>
        <v>3</v>
      </c>
      <c r="P381" t="str">
        <f>("Dehandschutter Steven")</f>
        <v>Dehandschutter Steven</v>
      </c>
      <c r="Q381">
        <v>6367</v>
      </c>
      <c r="R381">
        <v>2</v>
      </c>
    </row>
    <row r="382" spans="1:19" x14ac:dyDescent="0.3">
      <c r="A382" t="s">
        <v>0</v>
      </c>
      <c r="B382" s="1">
        <v>45578</v>
      </c>
      <c r="C382" t="str">
        <f t="shared" si="86"/>
        <v>46021</v>
      </c>
      <c r="D382" t="s">
        <v>4</v>
      </c>
      <c r="E382" t="str">
        <f t="shared" si="87"/>
        <v>11</v>
      </c>
      <c r="F382">
        <v>368453</v>
      </c>
      <c r="G382">
        <v>232138</v>
      </c>
      <c r="H382">
        <v>6513</v>
      </c>
      <c r="I382" t="str">
        <f t="shared" si="90"/>
        <v>5</v>
      </c>
      <c r="J382" t="str">
        <f t="shared" si="91"/>
        <v>N-VA</v>
      </c>
      <c r="K382">
        <v>35335</v>
      </c>
      <c r="L382">
        <v>20206</v>
      </c>
      <c r="M382">
        <v>55541</v>
      </c>
      <c r="N382">
        <v>3</v>
      </c>
      <c r="O382" t="str">
        <f>("4")</f>
        <v>4</v>
      </c>
      <c r="P382" t="str">
        <f>("Goeman Tom")</f>
        <v>Goeman Tom</v>
      </c>
      <c r="Q382">
        <v>2898</v>
      </c>
      <c r="S382">
        <v>5</v>
      </c>
    </row>
    <row r="383" spans="1:19" x14ac:dyDescent="0.3">
      <c r="A383" t="s">
        <v>0</v>
      </c>
      <c r="B383" s="1">
        <v>45578</v>
      </c>
      <c r="C383" t="str">
        <f t="shared" si="86"/>
        <v>46021</v>
      </c>
      <c r="D383" t="s">
        <v>4</v>
      </c>
      <c r="E383" t="str">
        <f t="shared" si="87"/>
        <v>11</v>
      </c>
      <c r="F383">
        <v>368453</v>
      </c>
      <c r="G383">
        <v>232138</v>
      </c>
      <c r="H383">
        <v>6513</v>
      </c>
      <c r="I383" t="str">
        <f t="shared" si="90"/>
        <v>5</v>
      </c>
      <c r="J383" t="str">
        <f t="shared" si="91"/>
        <v>N-VA</v>
      </c>
      <c r="K383">
        <v>35335</v>
      </c>
      <c r="L383">
        <v>20206</v>
      </c>
      <c r="M383">
        <v>55541</v>
      </c>
      <c r="N383">
        <v>3</v>
      </c>
      <c r="O383" t="str">
        <f>("5")</f>
        <v>5</v>
      </c>
      <c r="P383" t="str">
        <f>("Snoeck Greg")</f>
        <v>Snoeck Greg</v>
      </c>
      <c r="Q383">
        <v>2696</v>
      </c>
      <c r="S383">
        <v>7</v>
      </c>
    </row>
    <row r="384" spans="1:19" x14ac:dyDescent="0.3">
      <c r="A384" t="s">
        <v>0</v>
      </c>
      <c r="B384" s="1">
        <v>45578</v>
      </c>
      <c r="C384" t="str">
        <f t="shared" si="86"/>
        <v>46021</v>
      </c>
      <c r="D384" t="s">
        <v>4</v>
      </c>
      <c r="E384" t="str">
        <f t="shared" si="87"/>
        <v>11</v>
      </c>
      <c r="F384">
        <v>368453</v>
      </c>
      <c r="G384">
        <v>232138</v>
      </c>
      <c r="H384">
        <v>6513</v>
      </c>
      <c r="I384" t="str">
        <f t="shared" si="90"/>
        <v>5</v>
      </c>
      <c r="J384" t="str">
        <f t="shared" si="91"/>
        <v>N-VA</v>
      </c>
      <c r="K384">
        <v>35335</v>
      </c>
      <c r="L384">
        <v>20206</v>
      </c>
      <c r="M384">
        <v>55541</v>
      </c>
      <c r="N384">
        <v>3</v>
      </c>
      <c r="O384" t="str">
        <f>("6")</f>
        <v>6</v>
      </c>
      <c r="P384" t="str">
        <f>("Van Acker Sylvie")</f>
        <v>Van Acker Sylvie</v>
      </c>
      <c r="Q384">
        <v>3431</v>
      </c>
      <c r="S384">
        <v>1</v>
      </c>
    </row>
    <row r="385" spans="1:19" x14ac:dyDescent="0.3">
      <c r="A385" t="s">
        <v>0</v>
      </c>
      <c r="B385" s="1">
        <v>45578</v>
      </c>
      <c r="C385" t="str">
        <f t="shared" si="86"/>
        <v>46021</v>
      </c>
      <c r="D385" t="s">
        <v>4</v>
      </c>
      <c r="E385" t="str">
        <f t="shared" si="87"/>
        <v>11</v>
      </c>
      <c r="F385">
        <v>368453</v>
      </c>
      <c r="G385">
        <v>232138</v>
      </c>
      <c r="H385">
        <v>6513</v>
      </c>
      <c r="I385" t="str">
        <f t="shared" si="90"/>
        <v>5</v>
      </c>
      <c r="J385" t="str">
        <f t="shared" si="91"/>
        <v>N-VA</v>
      </c>
      <c r="K385">
        <v>35335</v>
      </c>
      <c r="L385">
        <v>20206</v>
      </c>
      <c r="M385">
        <v>55541</v>
      </c>
      <c r="N385">
        <v>3</v>
      </c>
      <c r="O385" t="str">
        <f>("7")</f>
        <v>7</v>
      </c>
      <c r="P385" t="str">
        <f>("Moereels Oliver")</f>
        <v>Moereels Oliver</v>
      </c>
      <c r="Q385">
        <v>2250</v>
      </c>
      <c r="S385">
        <v>8</v>
      </c>
    </row>
    <row r="386" spans="1:19" x14ac:dyDescent="0.3">
      <c r="A386" t="s">
        <v>0</v>
      </c>
      <c r="B386" s="1">
        <v>45578</v>
      </c>
      <c r="C386" t="str">
        <f t="shared" si="86"/>
        <v>46021</v>
      </c>
      <c r="D386" t="s">
        <v>4</v>
      </c>
      <c r="E386" t="str">
        <f t="shared" si="87"/>
        <v>11</v>
      </c>
      <c r="F386">
        <v>368453</v>
      </c>
      <c r="G386">
        <v>232138</v>
      </c>
      <c r="H386">
        <v>6513</v>
      </c>
      <c r="I386" t="str">
        <f t="shared" si="90"/>
        <v>5</v>
      </c>
      <c r="J386" t="str">
        <f t="shared" si="91"/>
        <v>N-VA</v>
      </c>
      <c r="K386">
        <v>35335</v>
      </c>
      <c r="L386">
        <v>20206</v>
      </c>
      <c r="M386">
        <v>55541</v>
      </c>
      <c r="N386">
        <v>3</v>
      </c>
      <c r="O386" t="str">
        <f>("8")</f>
        <v>8</v>
      </c>
      <c r="P386" t="str">
        <f>("Van Landeghem Lotte")</f>
        <v>Van Landeghem Lotte</v>
      </c>
      <c r="Q386">
        <v>3392</v>
      </c>
      <c r="S386">
        <v>2</v>
      </c>
    </row>
    <row r="387" spans="1:19" x14ac:dyDescent="0.3">
      <c r="A387" t="s">
        <v>0</v>
      </c>
      <c r="B387" s="1">
        <v>45578</v>
      </c>
      <c r="C387" t="str">
        <f t="shared" si="86"/>
        <v>46021</v>
      </c>
      <c r="D387" t="s">
        <v>4</v>
      </c>
      <c r="E387" t="str">
        <f t="shared" si="87"/>
        <v>11</v>
      </c>
      <c r="F387">
        <v>368453</v>
      </c>
      <c r="G387">
        <v>232138</v>
      </c>
      <c r="H387">
        <v>6513</v>
      </c>
      <c r="I387" t="str">
        <f t="shared" si="90"/>
        <v>5</v>
      </c>
      <c r="J387" t="str">
        <f t="shared" si="91"/>
        <v>N-VA</v>
      </c>
      <c r="K387">
        <v>35335</v>
      </c>
      <c r="L387">
        <v>20206</v>
      </c>
      <c r="M387">
        <v>55541</v>
      </c>
      <c r="N387">
        <v>3</v>
      </c>
      <c r="O387" t="str">
        <f>("9")</f>
        <v>9</v>
      </c>
      <c r="P387" t="str">
        <f>("Bogaerts Tamara")</f>
        <v>Bogaerts Tamara</v>
      </c>
      <c r="Q387">
        <v>3290</v>
      </c>
      <c r="S387">
        <v>3</v>
      </c>
    </row>
    <row r="388" spans="1:19" x14ac:dyDescent="0.3">
      <c r="A388" t="s">
        <v>0</v>
      </c>
      <c r="B388" s="1">
        <v>45578</v>
      </c>
      <c r="C388" t="str">
        <f t="shared" si="86"/>
        <v>46021</v>
      </c>
      <c r="D388" t="s">
        <v>4</v>
      </c>
      <c r="E388" t="str">
        <f t="shared" si="87"/>
        <v>11</v>
      </c>
      <c r="F388">
        <v>368453</v>
      </c>
      <c r="G388">
        <v>232138</v>
      </c>
      <c r="H388">
        <v>6513</v>
      </c>
      <c r="I388" t="str">
        <f t="shared" si="90"/>
        <v>5</v>
      </c>
      <c r="J388" t="str">
        <f t="shared" si="91"/>
        <v>N-VA</v>
      </c>
      <c r="K388">
        <v>35335</v>
      </c>
      <c r="L388">
        <v>20206</v>
      </c>
      <c r="M388">
        <v>55541</v>
      </c>
      <c r="N388">
        <v>3</v>
      </c>
      <c r="O388" t="str">
        <f>("10")</f>
        <v>10</v>
      </c>
      <c r="P388" t="str">
        <f>("Aluwé Kim")</f>
        <v>Aluwé Kim</v>
      </c>
      <c r="Q388">
        <v>2755</v>
      </c>
      <c r="S388">
        <v>6</v>
      </c>
    </row>
    <row r="389" spans="1:19" x14ac:dyDescent="0.3">
      <c r="A389" t="s">
        <v>0</v>
      </c>
      <c r="B389" s="1">
        <v>45578</v>
      </c>
      <c r="C389" t="str">
        <f t="shared" si="86"/>
        <v>46021</v>
      </c>
      <c r="D389" t="s">
        <v>4</v>
      </c>
      <c r="E389" t="str">
        <f t="shared" si="87"/>
        <v>11</v>
      </c>
      <c r="F389">
        <v>368453</v>
      </c>
      <c r="G389">
        <v>232138</v>
      </c>
      <c r="H389">
        <v>6513</v>
      </c>
      <c r="I389" t="str">
        <f t="shared" si="90"/>
        <v>5</v>
      </c>
      <c r="J389" t="str">
        <f t="shared" si="91"/>
        <v>N-VA</v>
      </c>
      <c r="K389">
        <v>35335</v>
      </c>
      <c r="L389">
        <v>20206</v>
      </c>
      <c r="M389">
        <v>55541</v>
      </c>
      <c r="N389">
        <v>3</v>
      </c>
      <c r="O389" t="str">
        <f>("11")</f>
        <v>11</v>
      </c>
      <c r="P389" t="str">
        <f>("Janssens Vincent")</f>
        <v>Janssens Vincent</v>
      </c>
      <c r="Q389">
        <v>3020</v>
      </c>
      <c r="S389">
        <v>4</v>
      </c>
    </row>
    <row r="390" spans="1:19" x14ac:dyDescent="0.3">
      <c r="A390" t="s">
        <v>0</v>
      </c>
      <c r="B390" s="1">
        <v>45578</v>
      </c>
      <c r="C390" t="str">
        <f t="shared" si="86"/>
        <v>46021</v>
      </c>
      <c r="D390" t="s">
        <v>4</v>
      </c>
      <c r="E390" t="str">
        <f t="shared" si="87"/>
        <v>11</v>
      </c>
      <c r="F390">
        <v>368453</v>
      </c>
      <c r="G390">
        <v>232138</v>
      </c>
      <c r="H390">
        <v>6513</v>
      </c>
      <c r="I390" t="str">
        <f t="shared" ref="I390:I400" si="92">("6")</f>
        <v>6</v>
      </c>
      <c r="J390" t="str">
        <f t="shared" ref="J390:J400" si="93">("Open Vld")</f>
        <v>Open Vld</v>
      </c>
      <c r="K390">
        <v>7314</v>
      </c>
      <c r="L390">
        <v>12296</v>
      </c>
      <c r="M390">
        <v>19610</v>
      </c>
      <c r="N390">
        <v>1</v>
      </c>
      <c r="O390" t="str">
        <f>("1")</f>
        <v>1</v>
      </c>
      <c r="P390" t="str">
        <f>("Taylor Kenneth")</f>
        <v>Taylor Kenneth</v>
      </c>
      <c r="Q390">
        <v>5688</v>
      </c>
      <c r="R390">
        <v>1</v>
      </c>
    </row>
    <row r="391" spans="1:19" x14ac:dyDescent="0.3">
      <c r="A391" t="s">
        <v>0</v>
      </c>
      <c r="B391" s="1">
        <v>45578</v>
      </c>
      <c r="C391" t="str">
        <f t="shared" si="86"/>
        <v>46021</v>
      </c>
      <c r="D391" t="s">
        <v>4</v>
      </c>
      <c r="E391" t="str">
        <f t="shared" si="87"/>
        <v>11</v>
      </c>
      <c r="F391">
        <v>368453</v>
      </c>
      <c r="G391">
        <v>232138</v>
      </c>
      <c r="H391">
        <v>6513</v>
      </c>
      <c r="I391" t="str">
        <f t="shared" si="92"/>
        <v>6</v>
      </c>
      <c r="J391" t="str">
        <f t="shared" si="93"/>
        <v>Open Vld</v>
      </c>
      <c r="K391">
        <v>7314</v>
      </c>
      <c r="L391">
        <v>12296</v>
      </c>
      <c r="M391">
        <v>19610</v>
      </c>
      <c r="N391">
        <v>1</v>
      </c>
      <c r="O391" t="str">
        <f>("2")</f>
        <v>2</v>
      </c>
      <c r="P391" t="str">
        <f>("Somers Ine")</f>
        <v>Somers Ine</v>
      </c>
      <c r="Q391">
        <v>2226</v>
      </c>
      <c r="S391">
        <v>2</v>
      </c>
    </row>
    <row r="392" spans="1:19" x14ac:dyDescent="0.3">
      <c r="A392" t="s">
        <v>0</v>
      </c>
      <c r="B392" s="1">
        <v>45578</v>
      </c>
      <c r="C392" t="str">
        <f t="shared" si="86"/>
        <v>46021</v>
      </c>
      <c r="D392" t="s">
        <v>4</v>
      </c>
      <c r="E392" t="str">
        <f t="shared" si="87"/>
        <v>11</v>
      </c>
      <c r="F392">
        <v>368453</v>
      </c>
      <c r="G392">
        <v>232138</v>
      </c>
      <c r="H392">
        <v>6513</v>
      </c>
      <c r="I392" t="str">
        <f t="shared" si="92"/>
        <v>6</v>
      </c>
      <c r="J392" t="str">
        <f t="shared" si="93"/>
        <v>Open Vld</v>
      </c>
      <c r="K392">
        <v>7314</v>
      </c>
      <c r="L392">
        <v>12296</v>
      </c>
      <c r="M392">
        <v>19610</v>
      </c>
      <c r="N392">
        <v>1</v>
      </c>
      <c r="O392" t="str">
        <f>("3")</f>
        <v>3</v>
      </c>
      <c r="P392" t="str">
        <f>("Deschepper Stijn")</f>
        <v>Deschepper Stijn</v>
      </c>
      <c r="Q392">
        <v>2133</v>
      </c>
      <c r="S392">
        <v>4</v>
      </c>
    </row>
    <row r="393" spans="1:19" x14ac:dyDescent="0.3">
      <c r="A393" t="s">
        <v>0</v>
      </c>
      <c r="B393" s="1">
        <v>45578</v>
      </c>
      <c r="C393" t="str">
        <f t="shared" si="86"/>
        <v>46021</v>
      </c>
      <c r="D393" t="s">
        <v>4</v>
      </c>
      <c r="E393" t="str">
        <f t="shared" si="87"/>
        <v>11</v>
      </c>
      <c r="F393">
        <v>368453</v>
      </c>
      <c r="G393">
        <v>232138</v>
      </c>
      <c r="H393">
        <v>6513</v>
      </c>
      <c r="I393" t="str">
        <f t="shared" si="92"/>
        <v>6</v>
      </c>
      <c r="J393" t="str">
        <f t="shared" si="93"/>
        <v>Open Vld</v>
      </c>
      <c r="K393">
        <v>7314</v>
      </c>
      <c r="L393">
        <v>12296</v>
      </c>
      <c r="M393">
        <v>19610</v>
      </c>
      <c r="N393">
        <v>1</v>
      </c>
      <c r="O393" t="str">
        <f>("4")</f>
        <v>4</v>
      </c>
      <c r="P393" t="str">
        <f>("Schelfhout Kitty")</f>
        <v>Schelfhout Kitty</v>
      </c>
      <c r="Q393">
        <v>1067</v>
      </c>
      <c r="S393">
        <v>9</v>
      </c>
    </row>
    <row r="394" spans="1:19" x14ac:dyDescent="0.3">
      <c r="A394" t="s">
        <v>0</v>
      </c>
      <c r="B394" s="1">
        <v>45578</v>
      </c>
      <c r="C394" t="str">
        <f t="shared" si="86"/>
        <v>46021</v>
      </c>
      <c r="D394" t="s">
        <v>4</v>
      </c>
      <c r="E394" t="str">
        <f t="shared" si="87"/>
        <v>11</v>
      </c>
      <c r="F394">
        <v>368453</v>
      </c>
      <c r="G394">
        <v>232138</v>
      </c>
      <c r="H394">
        <v>6513</v>
      </c>
      <c r="I394" t="str">
        <f t="shared" si="92"/>
        <v>6</v>
      </c>
      <c r="J394" t="str">
        <f t="shared" si="93"/>
        <v>Open Vld</v>
      </c>
      <c r="K394">
        <v>7314</v>
      </c>
      <c r="L394">
        <v>12296</v>
      </c>
      <c r="M394">
        <v>19610</v>
      </c>
      <c r="N394">
        <v>1</v>
      </c>
      <c r="O394" t="str">
        <f>("5")</f>
        <v>5</v>
      </c>
      <c r="P394" t="str">
        <f>("Mestdagh An-Sofie")</f>
        <v>Mestdagh An-Sofie</v>
      </c>
      <c r="Q394">
        <v>1252</v>
      </c>
      <c r="S394">
        <v>6</v>
      </c>
    </row>
    <row r="395" spans="1:19" x14ac:dyDescent="0.3">
      <c r="A395" t="s">
        <v>0</v>
      </c>
      <c r="B395" s="1">
        <v>45578</v>
      </c>
      <c r="C395" t="str">
        <f t="shared" si="86"/>
        <v>46021</v>
      </c>
      <c r="D395" t="s">
        <v>4</v>
      </c>
      <c r="E395" t="str">
        <f t="shared" si="87"/>
        <v>11</v>
      </c>
      <c r="F395">
        <v>368453</v>
      </c>
      <c r="G395">
        <v>232138</v>
      </c>
      <c r="H395">
        <v>6513</v>
      </c>
      <c r="I395" t="str">
        <f t="shared" si="92"/>
        <v>6</v>
      </c>
      <c r="J395" t="str">
        <f t="shared" si="93"/>
        <v>Open Vld</v>
      </c>
      <c r="K395">
        <v>7314</v>
      </c>
      <c r="L395">
        <v>12296</v>
      </c>
      <c r="M395">
        <v>19610</v>
      </c>
      <c r="N395">
        <v>1</v>
      </c>
      <c r="O395" t="str">
        <f>("6")</f>
        <v>6</v>
      </c>
      <c r="P395" t="str">
        <f>("Merckx Louis")</f>
        <v>Merckx Louis</v>
      </c>
      <c r="Q395">
        <v>875</v>
      </c>
      <c r="S395">
        <v>10</v>
      </c>
    </row>
    <row r="396" spans="1:19" x14ac:dyDescent="0.3">
      <c r="A396" t="s">
        <v>0</v>
      </c>
      <c r="B396" s="1">
        <v>45578</v>
      </c>
      <c r="C396" t="str">
        <f t="shared" si="86"/>
        <v>46021</v>
      </c>
      <c r="D396" t="s">
        <v>4</v>
      </c>
      <c r="E396" t="str">
        <f t="shared" si="87"/>
        <v>11</v>
      </c>
      <c r="F396">
        <v>368453</v>
      </c>
      <c r="G396">
        <v>232138</v>
      </c>
      <c r="H396">
        <v>6513</v>
      </c>
      <c r="I396" t="str">
        <f t="shared" si="92"/>
        <v>6</v>
      </c>
      <c r="J396" t="str">
        <f t="shared" si="93"/>
        <v>Open Vld</v>
      </c>
      <c r="K396">
        <v>7314</v>
      </c>
      <c r="L396">
        <v>12296</v>
      </c>
      <c r="M396">
        <v>19610</v>
      </c>
      <c r="N396">
        <v>1</v>
      </c>
      <c r="O396" t="str">
        <f>("7")</f>
        <v>7</v>
      </c>
      <c r="P396" t="str">
        <f>("Colman Kaatje")</f>
        <v>Colman Kaatje</v>
      </c>
      <c r="Q396">
        <v>1187</v>
      </c>
      <c r="S396">
        <v>7</v>
      </c>
    </row>
    <row r="397" spans="1:19" x14ac:dyDescent="0.3">
      <c r="A397" t="s">
        <v>0</v>
      </c>
      <c r="B397" s="1">
        <v>45578</v>
      </c>
      <c r="C397" t="str">
        <f t="shared" si="86"/>
        <v>46021</v>
      </c>
      <c r="D397" t="s">
        <v>4</v>
      </c>
      <c r="E397" t="str">
        <f t="shared" si="87"/>
        <v>11</v>
      </c>
      <c r="F397">
        <v>368453</v>
      </c>
      <c r="G397">
        <v>232138</v>
      </c>
      <c r="H397">
        <v>6513</v>
      </c>
      <c r="I397" t="str">
        <f t="shared" si="92"/>
        <v>6</v>
      </c>
      <c r="J397" t="str">
        <f t="shared" si="93"/>
        <v>Open Vld</v>
      </c>
      <c r="K397">
        <v>7314</v>
      </c>
      <c r="L397">
        <v>12296</v>
      </c>
      <c r="M397">
        <v>19610</v>
      </c>
      <c r="N397">
        <v>1</v>
      </c>
      <c r="O397" t="str">
        <f>("8")</f>
        <v>8</v>
      </c>
      <c r="P397" t="str">
        <f>("Bruggeman Hilde")</f>
        <v>Bruggeman Hilde</v>
      </c>
      <c r="Q397">
        <v>1982</v>
      </c>
      <c r="S397">
        <v>5</v>
      </c>
    </row>
    <row r="398" spans="1:19" x14ac:dyDescent="0.3">
      <c r="A398" t="s">
        <v>0</v>
      </c>
      <c r="B398" s="1">
        <v>45578</v>
      </c>
      <c r="C398" t="str">
        <f t="shared" si="86"/>
        <v>46021</v>
      </c>
      <c r="D398" t="s">
        <v>4</v>
      </c>
      <c r="E398" t="str">
        <f t="shared" si="87"/>
        <v>11</v>
      </c>
      <c r="F398">
        <v>368453</v>
      </c>
      <c r="G398">
        <v>232138</v>
      </c>
      <c r="H398">
        <v>6513</v>
      </c>
      <c r="I398" t="str">
        <f t="shared" si="92"/>
        <v>6</v>
      </c>
      <c r="J398" t="str">
        <f t="shared" si="93"/>
        <v>Open Vld</v>
      </c>
      <c r="K398">
        <v>7314</v>
      </c>
      <c r="L398">
        <v>12296</v>
      </c>
      <c r="M398">
        <v>19610</v>
      </c>
      <c r="N398">
        <v>1</v>
      </c>
      <c r="O398" t="str">
        <f>("9")</f>
        <v>9</v>
      </c>
      <c r="P398" t="str">
        <f>("Pluym Stijn")</f>
        <v>Pluym Stijn</v>
      </c>
      <c r="Q398">
        <v>1111</v>
      </c>
      <c r="S398">
        <v>8</v>
      </c>
    </row>
    <row r="399" spans="1:19" x14ac:dyDescent="0.3">
      <c r="A399" t="s">
        <v>0</v>
      </c>
      <c r="B399" s="1">
        <v>45578</v>
      </c>
      <c r="C399" t="str">
        <f t="shared" ref="C399:C426" si="94">("46021")</f>
        <v>46021</v>
      </c>
      <c r="D399" t="s">
        <v>4</v>
      </c>
      <c r="E399" t="str">
        <f t="shared" ref="E399:E426" si="95">("11")</f>
        <v>11</v>
      </c>
      <c r="F399">
        <v>368453</v>
      </c>
      <c r="G399">
        <v>232138</v>
      </c>
      <c r="H399">
        <v>6513</v>
      </c>
      <c r="I399" t="str">
        <f t="shared" si="92"/>
        <v>6</v>
      </c>
      <c r="J399" t="str">
        <f t="shared" si="93"/>
        <v>Open Vld</v>
      </c>
      <c r="K399">
        <v>7314</v>
      </c>
      <c r="L399">
        <v>12296</v>
      </c>
      <c r="M399">
        <v>19610</v>
      </c>
      <c r="N399">
        <v>1</v>
      </c>
      <c r="O399" t="str">
        <f>("10")</f>
        <v>10</v>
      </c>
      <c r="P399" t="str">
        <f>("Gabriëls Katja")</f>
        <v>Gabriëls Katja</v>
      </c>
      <c r="Q399">
        <v>3107</v>
      </c>
      <c r="S399">
        <v>1</v>
      </c>
    </row>
    <row r="400" spans="1:19" x14ac:dyDescent="0.3">
      <c r="A400" t="s">
        <v>0</v>
      </c>
      <c r="B400" s="1">
        <v>45578</v>
      </c>
      <c r="C400" t="str">
        <f t="shared" si="94"/>
        <v>46021</v>
      </c>
      <c r="D400" t="s">
        <v>4</v>
      </c>
      <c r="E400" t="str">
        <f t="shared" si="95"/>
        <v>11</v>
      </c>
      <c r="F400">
        <v>368453</v>
      </c>
      <c r="G400">
        <v>232138</v>
      </c>
      <c r="H400">
        <v>6513</v>
      </c>
      <c r="I400" t="str">
        <f t="shared" si="92"/>
        <v>6</v>
      </c>
      <c r="J400" t="str">
        <f t="shared" si="93"/>
        <v>Open Vld</v>
      </c>
      <c r="K400">
        <v>7314</v>
      </c>
      <c r="L400">
        <v>12296</v>
      </c>
      <c r="M400">
        <v>19610</v>
      </c>
      <c r="N400">
        <v>1</v>
      </c>
      <c r="O400" t="str">
        <f>("11")</f>
        <v>11</v>
      </c>
      <c r="P400" t="str">
        <f>("Devalck Marijn")</f>
        <v>Devalck Marijn</v>
      </c>
      <c r="Q400">
        <v>2142</v>
      </c>
      <c r="S400">
        <v>3</v>
      </c>
    </row>
    <row r="401" spans="1:19" x14ac:dyDescent="0.3">
      <c r="A401" t="s">
        <v>0</v>
      </c>
      <c r="B401" s="1">
        <v>45578</v>
      </c>
      <c r="C401" t="str">
        <f t="shared" si="94"/>
        <v>46021</v>
      </c>
      <c r="D401" t="s">
        <v>4</v>
      </c>
      <c r="E401" t="str">
        <f t="shared" si="95"/>
        <v>11</v>
      </c>
      <c r="F401">
        <v>368453</v>
      </c>
      <c r="G401">
        <v>232138</v>
      </c>
      <c r="H401">
        <v>6513</v>
      </c>
      <c r="I401" t="str">
        <f t="shared" ref="I401:I411" si="96">("7")</f>
        <v>7</v>
      </c>
      <c r="J401" t="str">
        <f t="shared" ref="J401:J411" si="97">("GROEN")</f>
        <v>GROEN</v>
      </c>
      <c r="K401">
        <v>8649</v>
      </c>
      <c r="L401">
        <v>12145</v>
      </c>
      <c r="M401">
        <v>20794</v>
      </c>
      <c r="N401">
        <v>1</v>
      </c>
      <c r="O401" t="str">
        <f>("1")</f>
        <v>1</v>
      </c>
      <c r="P401" t="str">
        <f>("Gillis Riet")</f>
        <v>Gillis Riet</v>
      </c>
      <c r="Q401">
        <v>4612</v>
      </c>
      <c r="S401">
        <v>1</v>
      </c>
    </row>
    <row r="402" spans="1:19" x14ac:dyDescent="0.3">
      <c r="A402" t="s">
        <v>0</v>
      </c>
      <c r="B402" s="1">
        <v>45578</v>
      </c>
      <c r="C402" t="str">
        <f t="shared" si="94"/>
        <v>46021</v>
      </c>
      <c r="D402" t="s">
        <v>4</v>
      </c>
      <c r="E402" t="str">
        <f t="shared" si="95"/>
        <v>11</v>
      </c>
      <c r="F402">
        <v>368453</v>
      </c>
      <c r="G402">
        <v>232138</v>
      </c>
      <c r="H402">
        <v>6513</v>
      </c>
      <c r="I402" t="str">
        <f t="shared" si="96"/>
        <v>7</v>
      </c>
      <c r="J402" t="str">
        <f t="shared" si="97"/>
        <v>GROEN</v>
      </c>
      <c r="K402">
        <v>8649</v>
      </c>
      <c r="L402">
        <v>12145</v>
      </c>
      <c r="M402">
        <v>20794</v>
      </c>
      <c r="N402">
        <v>1</v>
      </c>
      <c r="O402" t="str">
        <f>("2")</f>
        <v>2</v>
      </c>
      <c r="P402" t="str">
        <f>("Blomme Niels")</f>
        <v>Blomme Niels</v>
      </c>
      <c r="Q402">
        <v>1974</v>
      </c>
      <c r="S402">
        <v>2</v>
      </c>
    </row>
    <row r="403" spans="1:19" x14ac:dyDescent="0.3">
      <c r="A403" t="s">
        <v>0</v>
      </c>
      <c r="B403" s="1">
        <v>45578</v>
      </c>
      <c r="C403" t="str">
        <f t="shared" si="94"/>
        <v>46021</v>
      </c>
      <c r="D403" t="s">
        <v>4</v>
      </c>
      <c r="E403" t="str">
        <f t="shared" si="95"/>
        <v>11</v>
      </c>
      <c r="F403">
        <v>368453</v>
      </c>
      <c r="G403">
        <v>232138</v>
      </c>
      <c r="H403">
        <v>6513</v>
      </c>
      <c r="I403" t="str">
        <f t="shared" si="96"/>
        <v>7</v>
      </c>
      <c r="J403" t="str">
        <f t="shared" si="97"/>
        <v>GROEN</v>
      </c>
      <c r="K403">
        <v>8649</v>
      </c>
      <c r="L403">
        <v>12145</v>
      </c>
      <c r="M403">
        <v>20794</v>
      </c>
      <c r="N403">
        <v>1</v>
      </c>
      <c r="O403" t="str">
        <f>("3")</f>
        <v>3</v>
      </c>
      <c r="P403" t="str">
        <f>("Jacobs Benjamin")</f>
        <v>Jacobs Benjamin</v>
      </c>
      <c r="Q403">
        <v>1475</v>
      </c>
      <c r="S403">
        <v>7</v>
      </c>
    </row>
    <row r="404" spans="1:19" x14ac:dyDescent="0.3">
      <c r="A404" t="s">
        <v>0</v>
      </c>
      <c r="B404" s="1">
        <v>45578</v>
      </c>
      <c r="C404" t="str">
        <f t="shared" si="94"/>
        <v>46021</v>
      </c>
      <c r="D404" t="s">
        <v>4</v>
      </c>
      <c r="E404" t="str">
        <f t="shared" si="95"/>
        <v>11</v>
      </c>
      <c r="F404">
        <v>368453</v>
      </c>
      <c r="G404">
        <v>232138</v>
      </c>
      <c r="H404">
        <v>6513</v>
      </c>
      <c r="I404" t="str">
        <f t="shared" si="96"/>
        <v>7</v>
      </c>
      <c r="J404" t="str">
        <f t="shared" si="97"/>
        <v>GROEN</v>
      </c>
      <c r="K404">
        <v>8649</v>
      </c>
      <c r="L404">
        <v>12145</v>
      </c>
      <c r="M404">
        <v>20794</v>
      </c>
      <c r="N404">
        <v>1</v>
      </c>
      <c r="O404" t="str">
        <f>("4")</f>
        <v>4</v>
      </c>
      <c r="P404" t="str">
        <f>("Staelens Nadine")</f>
        <v>Staelens Nadine</v>
      </c>
      <c r="Q404">
        <v>1716</v>
      </c>
      <c r="S404">
        <v>6</v>
      </c>
    </row>
    <row r="405" spans="1:19" x14ac:dyDescent="0.3">
      <c r="A405" t="s">
        <v>0</v>
      </c>
      <c r="B405" s="1">
        <v>45578</v>
      </c>
      <c r="C405" t="str">
        <f t="shared" si="94"/>
        <v>46021</v>
      </c>
      <c r="D405" t="s">
        <v>4</v>
      </c>
      <c r="E405" t="str">
        <f t="shared" si="95"/>
        <v>11</v>
      </c>
      <c r="F405">
        <v>368453</v>
      </c>
      <c r="G405">
        <v>232138</v>
      </c>
      <c r="H405">
        <v>6513</v>
      </c>
      <c r="I405" t="str">
        <f t="shared" si="96"/>
        <v>7</v>
      </c>
      <c r="J405" t="str">
        <f t="shared" si="97"/>
        <v>GROEN</v>
      </c>
      <c r="K405">
        <v>8649</v>
      </c>
      <c r="L405">
        <v>12145</v>
      </c>
      <c r="M405">
        <v>20794</v>
      </c>
      <c r="N405">
        <v>1</v>
      </c>
      <c r="O405" t="str">
        <f>("5")</f>
        <v>5</v>
      </c>
      <c r="P405" t="str">
        <f>("Almaci Ummü")</f>
        <v>Almaci Ummü</v>
      </c>
      <c r="Q405">
        <v>1801</v>
      </c>
      <c r="S405">
        <v>4</v>
      </c>
    </row>
    <row r="406" spans="1:19" x14ac:dyDescent="0.3">
      <c r="A406" t="s">
        <v>0</v>
      </c>
      <c r="B406" s="1">
        <v>45578</v>
      </c>
      <c r="C406" t="str">
        <f t="shared" si="94"/>
        <v>46021</v>
      </c>
      <c r="D406" t="s">
        <v>4</v>
      </c>
      <c r="E406" t="str">
        <f t="shared" si="95"/>
        <v>11</v>
      </c>
      <c r="F406">
        <v>368453</v>
      </c>
      <c r="G406">
        <v>232138</v>
      </c>
      <c r="H406">
        <v>6513</v>
      </c>
      <c r="I406" t="str">
        <f t="shared" si="96"/>
        <v>7</v>
      </c>
      <c r="J406" t="str">
        <f t="shared" si="97"/>
        <v>GROEN</v>
      </c>
      <c r="K406">
        <v>8649</v>
      </c>
      <c r="L406">
        <v>12145</v>
      </c>
      <c r="M406">
        <v>20794</v>
      </c>
      <c r="N406">
        <v>1</v>
      </c>
      <c r="O406" t="str">
        <f>("6")</f>
        <v>6</v>
      </c>
      <c r="P406" t="str">
        <f>("Van der Vekens Jurgen")</f>
        <v>Van der Vekens Jurgen</v>
      </c>
      <c r="Q406">
        <v>1041</v>
      </c>
      <c r="S406">
        <v>10</v>
      </c>
    </row>
    <row r="407" spans="1:19" x14ac:dyDescent="0.3">
      <c r="A407" t="s">
        <v>0</v>
      </c>
      <c r="B407" s="1">
        <v>45578</v>
      </c>
      <c r="C407" t="str">
        <f t="shared" si="94"/>
        <v>46021</v>
      </c>
      <c r="D407" t="s">
        <v>4</v>
      </c>
      <c r="E407" t="str">
        <f t="shared" si="95"/>
        <v>11</v>
      </c>
      <c r="F407">
        <v>368453</v>
      </c>
      <c r="G407">
        <v>232138</v>
      </c>
      <c r="H407">
        <v>6513</v>
      </c>
      <c r="I407" t="str">
        <f t="shared" si="96"/>
        <v>7</v>
      </c>
      <c r="J407" t="str">
        <f t="shared" si="97"/>
        <v>GROEN</v>
      </c>
      <c r="K407">
        <v>8649</v>
      </c>
      <c r="L407">
        <v>12145</v>
      </c>
      <c r="M407">
        <v>20794</v>
      </c>
      <c r="N407">
        <v>1</v>
      </c>
      <c r="O407" t="str">
        <f>("7")</f>
        <v>7</v>
      </c>
      <c r="P407" t="str">
        <f>("Hiel Indyra")</f>
        <v>Hiel Indyra</v>
      </c>
      <c r="Q407">
        <v>1724</v>
      </c>
      <c r="S407">
        <v>5</v>
      </c>
    </row>
    <row r="408" spans="1:19" x14ac:dyDescent="0.3">
      <c r="A408" t="s">
        <v>0</v>
      </c>
      <c r="B408" s="1">
        <v>45578</v>
      </c>
      <c r="C408" t="str">
        <f t="shared" si="94"/>
        <v>46021</v>
      </c>
      <c r="D408" t="s">
        <v>4</v>
      </c>
      <c r="E408" t="str">
        <f t="shared" si="95"/>
        <v>11</v>
      </c>
      <c r="F408">
        <v>368453</v>
      </c>
      <c r="G408">
        <v>232138</v>
      </c>
      <c r="H408">
        <v>6513</v>
      </c>
      <c r="I408" t="str">
        <f t="shared" si="96"/>
        <v>7</v>
      </c>
      <c r="J408" t="str">
        <f t="shared" si="97"/>
        <v>GROEN</v>
      </c>
      <c r="K408">
        <v>8649</v>
      </c>
      <c r="L408">
        <v>12145</v>
      </c>
      <c r="M408">
        <v>20794</v>
      </c>
      <c r="N408">
        <v>1</v>
      </c>
      <c r="O408" t="str">
        <f>("8")</f>
        <v>8</v>
      </c>
      <c r="P408" t="str">
        <f>("Panckoucke Sam")</f>
        <v>Panckoucke Sam</v>
      </c>
      <c r="Q408">
        <v>1051</v>
      </c>
      <c r="S408">
        <v>9</v>
      </c>
    </row>
    <row r="409" spans="1:19" x14ac:dyDescent="0.3">
      <c r="A409" t="s">
        <v>0</v>
      </c>
      <c r="B409" s="1">
        <v>45578</v>
      </c>
      <c r="C409" t="str">
        <f t="shared" si="94"/>
        <v>46021</v>
      </c>
      <c r="D409" t="s">
        <v>4</v>
      </c>
      <c r="E409" t="str">
        <f t="shared" si="95"/>
        <v>11</v>
      </c>
      <c r="F409">
        <v>368453</v>
      </c>
      <c r="G409">
        <v>232138</v>
      </c>
      <c r="H409">
        <v>6513</v>
      </c>
      <c r="I409" t="str">
        <f t="shared" si="96"/>
        <v>7</v>
      </c>
      <c r="J409" t="str">
        <f t="shared" si="97"/>
        <v>GROEN</v>
      </c>
      <c r="K409">
        <v>8649</v>
      </c>
      <c r="L409">
        <v>12145</v>
      </c>
      <c r="M409">
        <v>20794</v>
      </c>
      <c r="N409">
        <v>1</v>
      </c>
      <c r="O409" t="str">
        <f>("9")</f>
        <v>9</v>
      </c>
      <c r="P409" t="str">
        <f>("Hylebos Alexis")</f>
        <v>Hylebos Alexis</v>
      </c>
      <c r="Q409">
        <v>1329</v>
      </c>
      <c r="S409">
        <v>8</v>
      </c>
    </row>
    <row r="410" spans="1:19" x14ac:dyDescent="0.3">
      <c r="A410" t="s">
        <v>0</v>
      </c>
      <c r="B410" s="1">
        <v>45578</v>
      </c>
      <c r="C410" t="str">
        <f t="shared" si="94"/>
        <v>46021</v>
      </c>
      <c r="D410" t="s">
        <v>4</v>
      </c>
      <c r="E410" t="str">
        <f t="shared" si="95"/>
        <v>11</v>
      </c>
      <c r="F410">
        <v>368453</v>
      </c>
      <c r="G410">
        <v>232138</v>
      </c>
      <c r="H410">
        <v>6513</v>
      </c>
      <c r="I410" t="str">
        <f t="shared" si="96"/>
        <v>7</v>
      </c>
      <c r="J410" t="str">
        <f t="shared" si="97"/>
        <v>GROEN</v>
      </c>
      <c r="K410">
        <v>8649</v>
      </c>
      <c r="L410">
        <v>12145</v>
      </c>
      <c r="M410">
        <v>20794</v>
      </c>
      <c r="N410">
        <v>1</v>
      </c>
      <c r="O410" t="str">
        <f>("10")</f>
        <v>10</v>
      </c>
      <c r="P410" t="str">
        <f>("De Meester Wout")</f>
        <v>De Meester Wout</v>
      </c>
      <c r="Q410">
        <v>1835</v>
      </c>
      <c r="S410">
        <v>3</v>
      </c>
    </row>
    <row r="411" spans="1:19" x14ac:dyDescent="0.3">
      <c r="A411" t="s">
        <v>0</v>
      </c>
      <c r="B411" s="1">
        <v>45578</v>
      </c>
      <c r="C411" t="str">
        <f t="shared" si="94"/>
        <v>46021</v>
      </c>
      <c r="D411" t="s">
        <v>4</v>
      </c>
      <c r="E411" t="str">
        <f t="shared" si="95"/>
        <v>11</v>
      </c>
      <c r="F411">
        <v>368453</v>
      </c>
      <c r="G411">
        <v>232138</v>
      </c>
      <c r="H411">
        <v>6513</v>
      </c>
      <c r="I411" t="str">
        <f t="shared" si="96"/>
        <v>7</v>
      </c>
      <c r="J411" t="str">
        <f t="shared" si="97"/>
        <v>GROEN</v>
      </c>
      <c r="K411">
        <v>8649</v>
      </c>
      <c r="L411">
        <v>12145</v>
      </c>
      <c r="M411">
        <v>20794</v>
      </c>
      <c r="N411">
        <v>1</v>
      </c>
      <c r="O411" t="str">
        <f>("11")</f>
        <v>11</v>
      </c>
      <c r="P411" t="str">
        <f>("De Sutter Petra")</f>
        <v>De Sutter Petra</v>
      </c>
      <c r="Q411">
        <v>7891</v>
      </c>
      <c r="R411">
        <v>1</v>
      </c>
    </row>
    <row r="412" spans="1:19" x14ac:dyDescent="0.3">
      <c r="A412" t="s">
        <v>0</v>
      </c>
      <c r="B412" s="1">
        <v>45578</v>
      </c>
      <c r="C412" t="str">
        <f t="shared" si="94"/>
        <v>46021</v>
      </c>
      <c r="D412" t="s">
        <v>4</v>
      </c>
      <c r="E412" t="str">
        <f t="shared" si="95"/>
        <v>11</v>
      </c>
      <c r="F412">
        <v>368453</v>
      </c>
      <c r="G412">
        <v>232138</v>
      </c>
      <c r="H412">
        <v>6513</v>
      </c>
      <c r="I412" t="str">
        <f t="shared" ref="I412:I422" si="98">("8")</f>
        <v>8</v>
      </c>
      <c r="J412" t="str">
        <f t="shared" ref="J412:J422" si="99">("GV-Gezond Verstand")</f>
        <v>GV-Gezond Verstand</v>
      </c>
      <c r="K412">
        <v>605</v>
      </c>
      <c r="L412">
        <v>1344</v>
      </c>
      <c r="M412">
        <v>1949</v>
      </c>
      <c r="N412">
        <v>0</v>
      </c>
      <c r="O412" t="str">
        <f>("1")</f>
        <v>1</v>
      </c>
      <c r="P412" t="str">
        <f>("Govaert Walter")</f>
        <v>Govaert Walter</v>
      </c>
      <c r="Q412">
        <v>895</v>
      </c>
    </row>
    <row r="413" spans="1:19" x14ac:dyDescent="0.3">
      <c r="A413" t="s">
        <v>0</v>
      </c>
      <c r="B413" s="1">
        <v>45578</v>
      </c>
      <c r="C413" t="str">
        <f t="shared" si="94"/>
        <v>46021</v>
      </c>
      <c r="D413" t="s">
        <v>4</v>
      </c>
      <c r="E413" t="str">
        <f t="shared" si="95"/>
        <v>11</v>
      </c>
      <c r="F413">
        <v>368453</v>
      </c>
      <c r="G413">
        <v>232138</v>
      </c>
      <c r="H413">
        <v>6513</v>
      </c>
      <c r="I413" t="str">
        <f t="shared" si="98"/>
        <v>8</v>
      </c>
      <c r="J413" t="str">
        <f t="shared" si="99"/>
        <v>GV-Gezond Verstand</v>
      </c>
      <c r="K413">
        <v>605</v>
      </c>
      <c r="L413">
        <v>1344</v>
      </c>
      <c r="M413">
        <v>1949</v>
      </c>
      <c r="N413">
        <v>0</v>
      </c>
      <c r="O413" t="str">
        <f>("2")</f>
        <v>2</v>
      </c>
      <c r="P413" t="str">
        <f>("Van Hecke Hilde")</f>
        <v>Van Hecke Hilde</v>
      </c>
      <c r="Q413">
        <v>265</v>
      </c>
    </row>
    <row r="414" spans="1:19" x14ac:dyDescent="0.3">
      <c r="A414" t="s">
        <v>0</v>
      </c>
      <c r="B414" s="1">
        <v>45578</v>
      </c>
      <c r="C414" t="str">
        <f t="shared" si="94"/>
        <v>46021</v>
      </c>
      <c r="D414" t="s">
        <v>4</v>
      </c>
      <c r="E414" t="str">
        <f t="shared" si="95"/>
        <v>11</v>
      </c>
      <c r="F414">
        <v>368453</v>
      </c>
      <c r="G414">
        <v>232138</v>
      </c>
      <c r="H414">
        <v>6513</v>
      </c>
      <c r="I414" t="str">
        <f t="shared" si="98"/>
        <v>8</v>
      </c>
      <c r="J414" t="str">
        <f t="shared" si="99"/>
        <v>GV-Gezond Verstand</v>
      </c>
      <c r="K414">
        <v>605</v>
      </c>
      <c r="L414">
        <v>1344</v>
      </c>
      <c r="M414">
        <v>1949</v>
      </c>
      <c r="N414">
        <v>0</v>
      </c>
      <c r="O414" t="str">
        <f>("3")</f>
        <v>3</v>
      </c>
      <c r="P414" t="str">
        <f>("Van Heuverswyn Tony")</f>
        <v>Van Heuverswyn Tony</v>
      </c>
      <c r="Q414">
        <v>249</v>
      </c>
    </row>
    <row r="415" spans="1:19" x14ac:dyDescent="0.3">
      <c r="A415" t="s">
        <v>0</v>
      </c>
      <c r="B415" s="1">
        <v>45578</v>
      </c>
      <c r="C415" t="str">
        <f t="shared" si="94"/>
        <v>46021</v>
      </c>
      <c r="D415" t="s">
        <v>4</v>
      </c>
      <c r="E415" t="str">
        <f t="shared" si="95"/>
        <v>11</v>
      </c>
      <c r="F415">
        <v>368453</v>
      </c>
      <c r="G415">
        <v>232138</v>
      </c>
      <c r="H415">
        <v>6513</v>
      </c>
      <c r="I415" t="str">
        <f t="shared" si="98"/>
        <v>8</v>
      </c>
      <c r="J415" t="str">
        <f t="shared" si="99"/>
        <v>GV-Gezond Verstand</v>
      </c>
      <c r="K415">
        <v>605</v>
      </c>
      <c r="L415">
        <v>1344</v>
      </c>
      <c r="M415">
        <v>1949</v>
      </c>
      <c r="N415">
        <v>0</v>
      </c>
      <c r="O415" t="str">
        <f>("4")</f>
        <v>4</v>
      </c>
      <c r="P415" t="str">
        <f>("Schampheleer Dirk")</f>
        <v>Schampheleer Dirk</v>
      </c>
      <c r="Q415">
        <v>210</v>
      </c>
    </row>
    <row r="416" spans="1:19" x14ac:dyDescent="0.3">
      <c r="A416" t="s">
        <v>0</v>
      </c>
      <c r="B416" s="1">
        <v>45578</v>
      </c>
      <c r="C416" t="str">
        <f t="shared" si="94"/>
        <v>46021</v>
      </c>
      <c r="D416" t="s">
        <v>4</v>
      </c>
      <c r="E416" t="str">
        <f t="shared" si="95"/>
        <v>11</v>
      </c>
      <c r="F416">
        <v>368453</v>
      </c>
      <c r="G416">
        <v>232138</v>
      </c>
      <c r="H416">
        <v>6513</v>
      </c>
      <c r="I416" t="str">
        <f t="shared" si="98"/>
        <v>8</v>
      </c>
      <c r="J416" t="str">
        <f t="shared" si="99"/>
        <v>GV-Gezond Verstand</v>
      </c>
      <c r="K416">
        <v>605</v>
      </c>
      <c r="L416">
        <v>1344</v>
      </c>
      <c r="M416">
        <v>1949</v>
      </c>
      <c r="N416">
        <v>0</v>
      </c>
      <c r="O416" t="str">
        <f>("5")</f>
        <v>5</v>
      </c>
      <c r="P416" t="str">
        <f>("De Bachere Eric")</f>
        <v>De Bachere Eric</v>
      </c>
      <c r="Q416">
        <v>127</v>
      </c>
    </row>
    <row r="417" spans="1:19" x14ac:dyDescent="0.3">
      <c r="A417" t="s">
        <v>0</v>
      </c>
      <c r="B417" s="1">
        <v>45578</v>
      </c>
      <c r="C417" t="str">
        <f t="shared" si="94"/>
        <v>46021</v>
      </c>
      <c r="D417" t="s">
        <v>4</v>
      </c>
      <c r="E417" t="str">
        <f t="shared" si="95"/>
        <v>11</v>
      </c>
      <c r="F417">
        <v>368453</v>
      </c>
      <c r="G417">
        <v>232138</v>
      </c>
      <c r="H417">
        <v>6513</v>
      </c>
      <c r="I417" t="str">
        <f t="shared" si="98"/>
        <v>8</v>
      </c>
      <c r="J417" t="str">
        <f t="shared" si="99"/>
        <v>GV-Gezond Verstand</v>
      </c>
      <c r="K417">
        <v>605</v>
      </c>
      <c r="L417">
        <v>1344</v>
      </c>
      <c r="M417">
        <v>1949</v>
      </c>
      <c r="N417">
        <v>0</v>
      </c>
      <c r="O417" t="str">
        <f>("6")</f>
        <v>6</v>
      </c>
      <c r="P417" t="str">
        <f>("Bosman Santi")</f>
        <v>Bosman Santi</v>
      </c>
      <c r="Q417">
        <v>161</v>
      </c>
    </row>
    <row r="418" spans="1:19" x14ac:dyDescent="0.3">
      <c r="A418" t="s">
        <v>0</v>
      </c>
      <c r="B418" s="1">
        <v>45578</v>
      </c>
      <c r="C418" t="str">
        <f t="shared" si="94"/>
        <v>46021</v>
      </c>
      <c r="D418" t="s">
        <v>4</v>
      </c>
      <c r="E418" t="str">
        <f t="shared" si="95"/>
        <v>11</v>
      </c>
      <c r="F418">
        <v>368453</v>
      </c>
      <c r="G418">
        <v>232138</v>
      </c>
      <c r="H418">
        <v>6513</v>
      </c>
      <c r="I418" t="str">
        <f t="shared" si="98"/>
        <v>8</v>
      </c>
      <c r="J418" t="str">
        <f t="shared" si="99"/>
        <v>GV-Gezond Verstand</v>
      </c>
      <c r="K418">
        <v>605</v>
      </c>
      <c r="L418">
        <v>1344</v>
      </c>
      <c r="M418">
        <v>1949</v>
      </c>
      <c r="N418">
        <v>0</v>
      </c>
      <c r="O418" t="str">
        <f>("7")</f>
        <v>7</v>
      </c>
      <c r="P418" t="str">
        <f>("Buysse Clara")</f>
        <v>Buysse Clara</v>
      </c>
      <c r="Q418">
        <v>169</v>
      </c>
    </row>
    <row r="419" spans="1:19" x14ac:dyDescent="0.3">
      <c r="A419" t="s">
        <v>0</v>
      </c>
      <c r="B419" s="1">
        <v>45578</v>
      </c>
      <c r="C419" t="str">
        <f t="shared" si="94"/>
        <v>46021</v>
      </c>
      <c r="D419" t="s">
        <v>4</v>
      </c>
      <c r="E419" t="str">
        <f t="shared" si="95"/>
        <v>11</v>
      </c>
      <c r="F419">
        <v>368453</v>
      </c>
      <c r="G419">
        <v>232138</v>
      </c>
      <c r="H419">
        <v>6513</v>
      </c>
      <c r="I419" t="str">
        <f t="shared" si="98"/>
        <v>8</v>
      </c>
      <c r="J419" t="str">
        <f t="shared" si="99"/>
        <v>GV-Gezond Verstand</v>
      </c>
      <c r="K419">
        <v>605</v>
      </c>
      <c r="L419">
        <v>1344</v>
      </c>
      <c r="M419">
        <v>1949</v>
      </c>
      <c r="N419">
        <v>0</v>
      </c>
      <c r="O419" t="str">
        <f>("8")</f>
        <v>8</v>
      </c>
      <c r="P419" t="str">
        <f>("Bogaert Christine")</f>
        <v>Bogaert Christine</v>
      </c>
      <c r="Q419">
        <v>163</v>
      </c>
    </row>
    <row r="420" spans="1:19" x14ac:dyDescent="0.3">
      <c r="A420" t="s">
        <v>0</v>
      </c>
      <c r="B420" s="1">
        <v>45578</v>
      </c>
      <c r="C420" t="str">
        <f t="shared" si="94"/>
        <v>46021</v>
      </c>
      <c r="D420" t="s">
        <v>4</v>
      </c>
      <c r="E420" t="str">
        <f t="shared" si="95"/>
        <v>11</v>
      </c>
      <c r="F420">
        <v>368453</v>
      </c>
      <c r="G420">
        <v>232138</v>
      </c>
      <c r="H420">
        <v>6513</v>
      </c>
      <c r="I420" t="str">
        <f t="shared" si="98"/>
        <v>8</v>
      </c>
      <c r="J420" t="str">
        <f t="shared" si="99"/>
        <v>GV-Gezond Verstand</v>
      </c>
      <c r="K420">
        <v>605</v>
      </c>
      <c r="L420">
        <v>1344</v>
      </c>
      <c r="M420">
        <v>1949</v>
      </c>
      <c r="N420">
        <v>0</v>
      </c>
      <c r="O420" t="str">
        <f>("9")</f>
        <v>9</v>
      </c>
      <c r="P420" t="str">
        <f>("De Wilde Laurette")</f>
        <v>De Wilde Laurette</v>
      </c>
      <c r="Q420">
        <v>148</v>
      </c>
    </row>
    <row r="421" spans="1:19" x14ac:dyDescent="0.3">
      <c r="A421" t="s">
        <v>0</v>
      </c>
      <c r="B421" s="1">
        <v>45578</v>
      </c>
      <c r="C421" t="str">
        <f t="shared" si="94"/>
        <v>46021</v>
      </c>
      <c r="D421" t="s">
        <v>4</v>
      </c>
      <c r="E421" t="str">
        <f t="shared" si="95"/>
        <v>11</v>
      </c>
      <c r="F421">
        <v>368453</v>
      </c>
      <c r="G421">
        <v>232138</v>
      </c>
      <c r="H421">
        <v>6513</v>
      </c>
      <c r="I421" t="str">
        <f t="shared" si="98"/>
        <v>8</v>
      </c>
      <c r="J421" t="str">
        <f t="shared" si="99"/>
        <v>GV-Gezond Verstand</v>
      </c>
      <c r="K421">
        <v>605</v>
      </c>
      <c r="L421">
        <v>1344</v>
      </c>
      <c r="M421">
        <v>1949</v>
      </c>
      <c r="N421">
        <v>0</v>
      </c>
      <c r="O421" t="str">
        <f>("10")</f>
        <v>10</v>
      </c>
      <c r="P421" t="str">
        <f>("De Ridder Jonas")</f>
        <v>De Ridder Jonas</v>
      </c>
      <c r="Q421">
        <v>149</v>
      </c>
    </row>
    <row r="422" spans="1:19" x14ac:dyDescent="0.3">
      <c r="A422" t="s">
        <v>0</v>
      </c>
      <c r="B422" s="1">
        <v>45578</v>
      </c>
      <c r="C422" t="str">
        <f t="shared" si="94"/>
        <v>46021</v>
      </c>
      <c r="D422" t="s">
        <v>4</v>
      </c>
      <c r="E422" t="str">
        <f t="shared" si="95"/>
        <v>11</v>
      </c>
      <c r="F422">
        <v>368453</v>
      </c>
      <c r="G422">
        <v>232138</v>
      </c>
      <c r="H422">
        <v>6513</v>
      </c>
      <c r="I422" t="str">
        <f t="shared" si="98"/>
        <v>8</v>
      </c>
      <c r="J422" t="str">
        <f t="shared" si="99"/>
        <v>GV-Gezond Verstand</v>
      </c>
      <c r="K422">
        <v>605</v>
      </c>
      <c r="L422">
        <v>1344</v>
      </c>
      <c r="M422">
        <v>1949</v>
      </c>
      <c r="N422">
        <v>0</v>
      </c>
      <c r="O422" t="str">
        <f>("11")</f>
        <v>11</v>
      </c>
      <c r="P422" t="str">
        <f>("De Winter Daniël")</f>
        <v>De Winter Daniël</v>
      </c>
      <c r="Q422">
        <v>204</v>
      </c>
    </row>
    <row r="423" spans="1:19" x14ac:dyDescent="0.3">
      <c r="A423" t="s">
        <v>0</v>
      </c>
      <c r="B423" s="1">
        <v>45578</v>
      </c>
      <c r="C423" t="str">
        <f t="shared" si="94"/>
        <v>46021</v>
      </c>
      <c r="D423" t="s">
        <v>4</v>
      </c>
      <c r="E423" t="str">
        <f t="shared" si="95"/>
        <v>11</v>
      </c>
      <c r="F423">
        <v>368453</v>
      </c>
      <c r="G423">
        <v>232138</v>
      </c>
      <c r="H423">
        <v>6513</v>
      </c>
      <c r="I423" t="str">
        <f>("9")</f>
        <v>9</v>
      </c>
      <c r="J423" t="str">
        <f>("Volt")</f>
        <v>Volt</v>
      </c>
      <c r="K423">
        <v>295</v>
      </c>
      <c r="L423">
        <v>261</v>
      </c>
      <c r="M423">
        <v>556</v>
      </c>
      <c r="N423">
        <v>0</v>
      </c>
      <c r="O423" t="str">
        <f>("1")</f>
        <v>1</v>
      </c>
      <c r="P423" t="str">
        <f>("Van Criekinge Kim")</f>
        <v>Van Criekinge Kim</v>
      </c>
      <c r="Q423">
        <v>156</v>
      </c>
    </row>
    <row r="424" spans="1:19" x14ac:dyDescent="0.3">
      <c r="A424" t="s">
        <v>0</v>
      </c>
      <c r="B424" s="1">
        <v>45578</v>
      </c>
      <c r="C424" t="str">
        <f t="shared" si="94"/>
        <v>46021</v>
      </c>
      <c r="D424" t="s">
        <v>4</v>
      </c>
      <c r="E424" t="str">
        <f t="shared" si="95"/>
        <v>11</v>
      </c>
      <c r="F424">
        <v>368453</v>
      </c>
      <c r="G424">
        <v>232138</v>
      </c>
      <c r="H424">
        <v>6513</v>
      </c>
      <c r="I424" t="str">
        <f>("9")</f>
        <v>9</v>
      </c>
      <c r="J424" t="str">
        <f>("Volt")</f>
        <v>Volt</v>
      </c>
      <c r="K424">
        <v>295</v>
      </c>
      <c r="L424">
        <v>261</v>
      </c>
      <c r="M424">
        <v>556</v>
      </c>
      <c r="N424">
        <v>0</v>
      </c>
      <c r="O424" t="str">
        <f>("2")</f>
        <v>2</v>
      </c>
      <c r="P424" t="str">
        <f>("Pollet Tim")</f>
        <v>Pollet Tim</v>
      </c>
      <c r="Q424">
        <v>123</v>
      </c>
    </row>
    <row r="425" spans="1:19" x14ac:dyDescent="0.3">
      <c r="A425" t="s">
        <v>0</v>
      </c>
      <c r="B425" s="1">
        <v>45578</v>
      </c>
      <c r="C425" t="str">
        <f t="shared" si="94"/>
        <v>46021</v>
      </c>
      <c r="D425" t="s">
        <v>4</v>
      </c>
      <c r="E425" t="str">
        <f t="shared" si="95"/>
        <v>11</v>
      </c>
      <c r="F425">
        <v>368453</v>
      </c>
      <c r="G425">
        <v>232138</v>
      </c>
      <c r="H425">
        <v>6513</v>
      </c>
      <c r="I425" t="str">
        <f>("9")</f>
        <v>9</v>
      </c>
      <c r="J425" t="str">
        <f>("Volt")</f>
        <v>Volt</v>
      </c>
      <c r="K425">
        <v>295</v>
      </c>
      <c r="L425">
        <v>261</v>
      </c>
      <c r="M425">
        <v>556</v>
      </c>
      <c r="N425">
        <v>0</v>
      </c>
      <c r="O425" t="str">
        <f>("3")</f>
        <v>3</v>
      </c>
      <c r="P425" t="str">
        <f>("Hofman Niels")</f>
        <v>Hofman Niels</v>
      </c>
      <c r="Q425">
        <v>104</v>
      </c>
    </row>
    <row r="426" spans="1:19" x14ac:dyDescent="0.3">
      <c r="A426" t="s">
        <v>0</v>
      </c>
      <c r="B426" s="1">
        <v>45578</v>
      </c>
      <c r="C426" t="str">
        <f t="shared" si="94"/>
        <v>46021</v>
      </c>
      <c r="D426" t="s">
        <v>4</v>
      </c>
      <c r="E426" t="str">
        <f t="shared" si="95"/>
        <v>11</v>
      </c>
      <c r="F426">
        <v>368453</v>
      </c>
      <c r="G426">
        <v>232138</v>
      </c>
      <c r="H426">
        <v>6513</v>
      </c>
      <c r="I426" t="str">
        <f>("10")</f>
        <v>10</v>
      </c>
      <c r="J426" t="str">
        <f>("Zwakke Weggebruiker")</f>
        <v>Zwakke Weggebruiker</v>
      </c>
      <c r="K426">
        <v>426</v>
      </c>
      <c r="L426">
        <v>518</v>
      </c>
      <c r="M426">
        <v>944</v>
      </c>
      <c r="N426">
        <v>0</v>
      </c>
      <c r="O426" t="str">
        <f>("1")</f>
        <v>1</v>
      </c>
      <c r="P426" t="str">
        <f>("Boeykens Walther")</f>
        <v>Boeykens Walther</v>
      </c>
      <c r="Q426">
        <v>518</v>
      </c>
    </row>
    <row r="427" spans="1:19" x14ac:dyDescent="0.3">
      <c r="A427" t="s">
        <v>0</v>
      </c>
      <c r="B427" s="1">
        <v>45578</v>
      </c>
      <c r="C427" t="str">
        <f t="shared" ref="C427:C458" si="100">("44021")</f>
        <v>44021</v>
      </c>
      <c r="D427" t="s">
        <v>5</v>
      </c>
      <c r="E427" t="str">
        <f t="shared" ref="E427:E458" si="101">("15")</f>
        <v>15</v>
      </c>
      <c r="F427">
        <v>481110</v>
      </c>
      <c r="G427">
        <v>309317</v>
      </c>
      <c r="H427">
        <v>9918</v>
      </c>
      <c r="I427" t="str">
        <f t="shared" ref="I427:I441" si="102">("1")</f>
        <v>1</v>
      </c>
      <c r="J427" t="str">
        <f t="shared" ref="J427:J441" si="103">("Vooruit")</f>
        <v>Vooruit</v>
      </c>
      <c r="K427">
        <v>25504</v>
      </c>
      <c r="L427">
        <v>14902</v>
      </c>
      <c r="M427">
        <v>40406</v>
      </c>
      <c r="N427">
        <v>2</v>
      </c>
      <c r="O427" t="str">
        <f>("1")</f>
        <v>1</v>
      </c>
      <c r="P427" t="str">
        <f>("Matthys Bruno")</f>
        <v>Matthys Bruno</v>
      </c>
      <c r="Q427">
        <v>6130</v>
      </c>
      <c r="R427">
        <v>1</v>
      </c>
    </row>
    <row r="428" spans="1:19" x14ac:dyDescent="0.3">
      <c r="A428" t="s">
        <v>0</v>
      </c>
      <c r="B428" s="1">
        <v>45578</v>
      </c>
      <c r="C428" t="str">
        <f t="shared" si="100"/>
        <v>44021</v>
      </c>
      <c r="D428" t="s">
        <v>5</v>
      </c>
      <c r="E428" t="str">
        <f t="shared" si="101"/>
        <v>15</v>
      </c>
      <c r="F428">
        <v>481110</v>
      </c>
      <c r="G428">
        <v>309317</v>
      </c>
      <c r="H428">
        <v>9918</v>
      </c>
      <c r="I428" t="str">
        <f t="shared" si="102"/>
        <v>1</v>
      </c>
      <c r="J428" t="str">
        <f t="shared" si="103"/>
        <v>Vooruit</v>
      </c>
      <c r="K428">
        <v>25504</v>
      </c>
      <c r="L428">
        <v>14902</v>
      </c>
      <c r="M428">
        <v>40406</v>
      </c>
      <c r="N428">
        <v>2</v>
      </c>
      <c r="O428" t="str">
        <f>("2")</f>
        <v>2</v>
      </c>
      <c r="P428" t="str">
        <f>("Dullemont Nathalie")</f>
        <v>Dullemont Nathalie</v>
      </c>
      <c r="Q428">
        <v>3624</v>
      </c>
      <c r="S428">
        <v>1</v>
      </c>
    </row>
    <row r="429" spans="1:19" x14ac:dyDescent="0.3">
      <c r="A429" t="s">
        <v>0</v>
      </c>
      <c r="B429" s="1">
        <v>45578</v>
      </c>
      <c r="C429" t="str">
        <f t="shared" si="100"/>
        <v>44021</v>
      </c>
      <c r="D429" t="s">
        <v>5</v>
      </c>
      <c r="E429" t="str">
        <f t="shared" si="101"/>
        <v>15</v>
      </c>
      <c r="F429">
        <v>481110</v>
      </c>
      <c r="G429">
        <v>309317</v>
      </c>
      <c r="H429">
        <v>9918</v>
      </c>
      <c r="I429" t="str">
        <f t="shared" si="102"/>
        <v>1</v>
      </c>
      <c r="J429" t="str">
        <f t="shared" si="103"/>
        <v>Vooruit</v>
      </c>
      <c r="K429">
        <v>25504</v>
      </c>
      <c r="L429">
        <v>14902</v>
      </c>
      <c r="M429">
        <v>40406</v>
      </c>
      <c r="N429">
        <v>2</v>
      </c>
      <c r="O429" t="str">
        <f>("3")</f>
        <v>3</v>
      </c>
      <c r="P429" t="str">
        <f>("Van Hoecke Lieselotte")</f>
        <v>Van Hoecke Lieselotte</v>
      </c>
      <c r="Q429">
        <v>4185</v>
      </c>
      <c r="R429">
        <v>2</v>
      </c>
    </row>
    <row r="430" spans="1:19" x14ac:dyDescent="0.3">
      <c r="A430" t="s">
        <v>0</v>
      </c>
      <c r="B430" s="1">
        <v>45578</v>
      </c>
      <c r="C430" t="str">
        <f t="shared" si="100"/>
        <v>44021</v>
      </c>
      <c r="D430" t="s">
        <v>5</v>
      </c>
      <c r="E430" t="str">
        <f t="shared" si="101"/>
        <v>15</v>
      </c>
      <c r="F430">
        <v>481110</v>
      </c>
      <c r="G430">
        <v>309317</v>
      </c>
      <c r="H430">
        <v>9918</v>
      </c>
      <c r="I430" t="str">
        <f t="shared" si="102"/>
        <v>1</v>
      </c>
      <c r="J430" t="str">
        <f t="shared" si="103"/>
        <v>Vooruit</v>
      </c>
      <c r="K430">
        <v>25504</v>
      </c>
      <c r="L430">
        <v>14902</v>
      </c>
      <c r="M430">
        <v>40406</v>
      </c>
      <c r="N430">
        <v>2</v>
      </c>
      <c r="O430" t="str">
        <f>("4")</f>
        <v>4</v>
      </c>
      <c r="P430" t="str">
        <f>("Uytterhaegher Kevin")</f>
        <v>Uytterhaegher Kevin</v>
      </c>
      <c r="Q430">
        <v>1667</v>
      </c>
      <c r="S430">
        <v>10</v>
      </c>
    </row>
    <row r="431" spans="1:19" x14ac:dyDescent="0.3">
      <c r="A431" t="s">
        <v>0</v>
      </c>
      <c r="B431" s="1">
        <v>45578</v>
      </c>
      <c r="C431" t="str">
        <f t="shared" si="100"/>
        <v>44021</v>
      </c>
      <c r="D431" t="s">
        <v>5</v>
      </c>
      <c r="E431" t="str">
        <f t="shared" si="101"/>
        <v>15</v>
      </c>
      <c r="F431">
        <v>481110</v>
      </c>
      <c r="G431">
        <v>309317</v>
      </c>
      <c r="H431">
        <v>9918</v>
      </c>
      <c r="I431" t="str">
        <f t="shared" si="102"/>
        <v>1</v>
      </c>
      <c r="J431" t="str">
        <f t="shared" si="103"/>
        <v>Vooruit</v>
      </c>
      <c r="K431">
        <v>25504</v>
      </c>
      <c r="L431">
        <v>14902</v>
      </c>
      <c r="M431">
        <v>40406</v>
      </c>
      <c r="N431">
        <v>2</v>
      </c>
      <c r="O431" t="str">
        <f>("5")</f>
        <v>5</v>
      </c>
      <c r="P431" t="str">
        <f>("Demoor Peggy")</f>
        <v>Demoor Peggy</v>
      </c>
      <c r="Q431">
        <v>2425</v>
      </c>
      <c r="S431">
        <v>3</v>
      </c>
    </row>
    <row r="432" spans="1:19" x14ac:dyDescent="0.3">
      <c r="A432" t="s">
        <v>0</v>
      </c>
      <c r="B432" s="1">
        <v>45578</v>
      </c>
      <c r="C432" t="str">
        <f t="shared" si="100"/>
        <v>44021</v>
      </c>
      <c r="D432" t="s">
        <v>5</v>
      </c>
      <c r="E432" t="str">
        <f t="shared" si="101"/>
        <v>15</v>
      </c>
      <c r="F432">
        <v>481110</v>
      </c>
      <c r="G432">
        <v>309317</v>
      </c>
      <c r="H432">
        <v>9918</v>
      </c>
      <c r="I432" t="str">
        <f t="shared" si="102"/>
        <v>1</v>
      </c>
      <c r="J432" t="str">
        <f t="shared" si="103"/>
        <v>Vooruit</v>
      </c>
      <c r="K432">
        <v>25504</v>
      </c>
      <c r="L432">
        <v>14902</v>
      </c>
      <c r="M432">
        <v>40406</v>
      </c>
      <c r="N432">
        <v>2</v>
      </c>
      <c r="O432" t="str">
        <f>("6")</f>
        <v>6</v>
      </c>
      <c r="P432" t="str">
        <f>("Boderé Joachim")</f>
        <v>Boderé Joachim</v>
      </c>
      <c r="Q432">
        <v>1579</v>
      </c>
      <c r="S432">
        <v>11</v>
      </c>
    </row>
    <row r="433" spans="1:19" x14ac:dyDescent="0.3">
      <c r="A433" t="s">
        <v>0</v>
      </c>
      <c r="B433" s="1">
        <v>45578</v>
      </c>
      <c r="C433" t="str">
        <f t="shared" si="100"/>
        <v>44021</v>
      </c>
      <c r="D433" t="s">
        <v>5</v>
      </c>
      <c r="E433" t="str">
        <f t="shared" si="101"/>
        <v>15</v>
      </c>
      <c r="F433">
        <v>481110</v>
      </c>
      <c r="G433">
        <v>309317</v>
      </c>
      <c r="H433">
        <v>9918</v>
      </c>
      <c r="I433" t="str">
        <f t="shared" si="102"/>
        <v>1</v>
      </c>
      <c r="J433" t="str">
        <f t="shared" si="103"/>
        <v>Vooruit</v>
      </c>
      <c r="K433">
        <v>25504</v>
      </c>
      <c r="L433">
        <v>14902</v>
      </c>
      <c r="M433">
        <v>40406</v>
      </c>
      <c r="N433">
        <v>2</v>
      </c>
      <c r="O433" t="str">
        <f>("7")</f>
        <v>7</v>
      </c>
      <c r="P433" t="str">
        <f>("Van Damme Hanne")</f>
        <v>Van Damme Hanne</v>
      </c>
      <c r="Q433">
        <v>1941</v>
      </c>
      <c r="S433">
        <v>7</v>
      </c>
    </row>
    <row r="434" spans="1:19" x14ac:dyDescent="0.3">
      <c r="A434" t="s">
        <v>0</v>
      </c>
      <c r="B434" s="1">
        <v>45578</v>
      </c>
      <c r="C434" t="str">
        <f t="shared" si="100"/>
        <v>44021</v>
      </c>
      <c r="D434" t="s">
        <v>5</v>
      </c>
      <c r="E434" t="str">
        <f t="shared" si="101"/>
        <v>15</v>
      </c>
      <c r="F434">
        <v>481110</v>
      </c>
      <c r="G434">
        <v>309317</v>
      </c>
      <c r="H434">
        <v>9918</v>
      </c>
      <c r="I434" t="str">
        <f t="shared" si="102"/>
        <v>1</v>
      </c>
      <c r="J434" t="str">
        <f t="shared" si="103"/>
        <v>Vooruit</v>
      </c>
      <c r="K434">
        <v>25504</v>
      </c>
      <c r="L434">
        <v>14902</v>
      </c>
      <c r="M434">
        <v>40406</v>
      </c>
      <c r="N434">
        <v>2</v>
      </c>
      <c r="O434" t="str">
        <f>("8")</f>
        <v>8</v>
      </c>
      <c r="P434" t="str">
        <f>("Vlerick Mario")</f>
        <v>Vlerick Mario</v>
      </c>
      <c r="Q434">
        <v>1311</v>
      </c>
      <c r="S434">
        <v>12</v>
      </c>
    </row>
    <row r="435" spans="1:19" x14ac:dyDescent="0.3">
      <c r="A435" t="s">
        <v>0</v>
      </c>
      <c r="B435" s="1">
        <v>45578</v>
      </c>
      <c r="C435" t="str">
        <f t="shared" si="100"/>
        <v>44021</v>
      </c>
      <c r="D435" t="s">
        <v>5</v>
      </c>
      <c r="E435" t="str">
        <f t="shared" si="101"/>
        <v>15</v>
      </c>
      <c r="F435">
        <v>481110</v>
      </c>
      <c r="G435">
        <v>309317</v>
      </c>
      <c r="H435">
        <v>9918</v>
      </c>
      <c r="I435" t="str">
        <f t="shared" si="102"/>
        <v>1</v>
      </c>
      <c r="J435" t="str">
        <f t="shared" si="103"/>
        <v>Vooruit</v>
      </c>
      <c r="K435">
        <v>25504</v>
      </c>
      <c r="L435">
        <v>14902</v>
      </c>
      <c r="M435">
        <v>40406</v>
      </c>
      <c r="N435">
        <v>2</v>
      </c>
      <c r="O435" t="str">
        <f>("9")</f>
        <v>9</v>
      </c>
      <c r="P435" t="str">
        <f>("Vrijens Bertrand")</f>
        <v>Vrijens Bertrand</v>
      </c>
      <c r="Q435">
        <v>2172</v>
      </c>
      <c r="S435">
        <v>4</v>
      </c>
    </row>
    <row r="436" spans="1:19" x14ac:dyDescent="0.3">
      <c r="A436" t="s">
        <v>0</v>
      </c>
      <c r="B436" s="1">
        <v>45578</v>
      </c>
      <c r="C436" t="str">
        <f t="shared" si="100"/>
        <v>44021</v>
      </c>
      <c r="D436" t="s">
        <v>5</v>
      </c>
      <c r="E436" t="str">
        <f t="shared" si="101"/>
        <v>15</v>
      </c>
      <c r="F436">
        <v>481110</v>
      </c>
      <c r="G436">
        <v>309317</v>
      </c>
      <c r="H436">
        <v>9918</v>
      </c>
      <c r="I436" t="str">
        <f t="shared" si="102"/>
        <v>1</v>
      </c>
      <c r="J436" t="str">
        <f t="shared" si="103"/>
        <v>Vooruit</v>
      </c>
      <c r="K436">
        <v>25504</v>
      </c>
      <c r="L436">
        <v>14902</v>
      </c>
      <c r="M436">
        <v>40406</v>
      </c>
      <c r="N436">
        <v>2</v>
      </c>
      <c r="O436" t="str">
        <f>("10")</f>
        <v>10</v>
      </c>
      <c r="P436" t="str">
        <f>("Dom Sabrina")</f>
        <v>Dom Sabrina</v>
      </c>
      <c r="Q436">
        <v>1698</v>
      </c>
      <c r="S436">
        <v>9</v>
      </c>
    </row>
    <row r="437" spans="1:19" x14ac:dyDescent="0.3">
      <c r="A437" t="s">
        <v>0</v>
      </c>
      <c r="B437" s="1">
        <v>45578</v>
      </c>
      <c r="C437" t="str">
        <f t="shared" si="100"/>
        <v>44021</v>
      </c>
      <c r="D437" t="s">
        <v>5</v>
      </c>
      <c r="E437" t="str">
        <f t="shared" si="101"/>
        <v>15</v>
      </c>
      <c r="F437">
        <v>481110</v>
      </c>
      <c r="G437">
        <v>309317</v>
      </c>
      <c r="H437">
        <v>9918</v>
      </c>
      <c r="I437" t="str">
        <f t="shared" si="102"/>
        <v>1</v>
      </c>
      <c r="J437" t="str">
        <f t="shared" si="103"/>
        <v>Vooruit</v>
      </c>
      <c r="K437">
        <v>25504</v>
      </c>
      <c r="L437">
        <v>14902</v>
      </c>
      <c r="M437">
        <v>40406</v>
      </c>
      <c r="N437">
        <v>2</v>
      </c>
      <c r="O437" t="str">
        <f>("11")</f>
        <v>11</v>
      </c>
      <c r="P437" t="str">
        <f>("Blomme Sara")</f>
        <v>Blomme Sara</v>
      </c>
      <c r="Q437">
        <v>2072</v>
      </c>
      <c r="S437">
        <v>5</v>
      </c>
    </row>
    <row r="438" spans="1:19" x14ac:dyDescent="0.3">
      <c r="A438" t="s">
        <v>0</v>
      </c>
      <c r="B438" s="1">
        <v>45578</v>
      </c>
      <c r="C438" t="str">
        <f t="shared" si="100"/>
        <v>44021</v>
      </c>
      <c r="D438" t="s">
        <v>5</v>
      </c>
      <c r="E438" t="str">
        <f t="shared" si="101"/>
        <v>15</v>
      </c>
      <c r="F438">
        <v>481110</v>
      </c>
      <c r="G438">
        <v>309317</v>
      </c>
      <c r="H438">
        <v>9918</v>
      </c>
      <c r="I438" t="str">
        <f t="shared" si="102"/>
        <v>1</v>
      </c>
      <c r="J438" t="str">
        <f t="shared" si="103"/>
        <v>Vooruit</v>
      </c>
      <c r="K438">
        <v>25504</v>
      </c>
      <c r="L438">
        <v>14902</v>
      </c>
      <c r="M438">
        <v>40406</v>
      </c>
      <c r="N438">
        <v>2</v>
      </c>
      <c r="O438" t="str">
        <f>("12")</f>
        <v>12</v>
      </c>
      <c r="P438" t="str">
        <f>("Schelstraete Jo")</f>
        <v>Schelstraete Jo</v>
      </c>
      <c r="Q438">
        <v>1793</v>
      </c>
      <c r="S438">
        <v>8</v>
      </c>
    </row>
    <row r="439" spans="1:19" x14ac:dyDescent="0.3">
      <c r="A439" t="s">
        <v>0</v>
      </c>
      <c r="B439" s="1">
        <v>45578</v>
      </c>
      <c r="C439" t="str">
        <f t="shared" si="100"/>
        <v>44021</v>
      </c>
      <c r="D439" t="s">
        <v>5</v>
      </c>
      <c r="E439" t="str">
        <f t="shared" si="101"/>
        <v>15</v>
      </c>
      <c r="F439">
        <v>481110</v>
      </c>
      <c r="G439">
        <v>309317</v>
      </c>
      <c r="H439">
        <v>9918</v>
      </c>
      <c r="I439" t="str">
        <f t="shared" si="102"/>
        <v>1</v>
      </c>
      <c r="J439" t="str">
        <f t="shared" si="103"/>
        <v>Vooruit</v>
      </c>
      <c r="K439">
        <v>25504</v>
      </c>
      <c r="L439">
        <v>14902</v>
      </c>
      <c r="M439">
        <v>40406</v>
      </c>
      <c r="N439">
        <v>2</v>
      </c>
      <c r="O439" t="str">
        <f>("13")</f>
        <v>13</v>
      </c>
      <c r="P439" t="str">
        <f>("Bauwens William")</f>
        <v>Bauwens William</v>
      </c>
      <c r="Q439">
        <v>1184</v>
      </c>
      <c r="S439">
        <v>13</v>
      </c>
    </row>
    <row r="440" spans="1:19" x14ac:dyDescent="0.3">
      <c r="A440" t="s">
        <v>0</v>
      </c>
      <c r="B440" s="1">
        <v>45578</v>
      </c>
      <c r="C440" t="str">
        <f t="shared" si="100"/>
        <v>44021</v>
      </c>
      <c r="D440" t="s">
        <v>5</v>
      </c>
      <c r="E440" t="str">
        <f t="shared" si="101"/>
        <v>15</v>
      </c>
      <c r="F440">
        <v>481110</v>
      </c>
      <c r="G440">
        <v>309317</v>
      </c>
      <c r="H440">
        <v>9918</v>
      </c>
      <c r="I440" t="str">
        <f t="shared" si="102"/>
        <v>1</v>
      </c>
      <c r="J440" t="str">
        <f t="shared" si="103"/>
        <v>Vooruit</v>
      </c>
      <c r="K440">
        <v>25504</v>
      </c>
      <c r="L440">
        <v>14902</v>
      </c>
      <c r="M440">
        <v>40406</v>
      </c>
      <c r="N440">
        <v>2</v>
      </c>
      <c r="O440" t="str">
        <f>("14")</f>
        <v>14</v>
      </c>
      <c r="P440" t="str">
        <f>("Van Cronenburg Rudy")</f>
        <v>Van Cronenburg Rudy</v>
      </c>
      <c r="Q440">
        <v>1944</v>
      </c>
      <c r="S440">
        <v>6</v>
      </c>
    </row>
    <row r="441" spans="1:19" x14ac:dyDescent="0.3">
      <c r="A441" t="s">
        <v>0</v>
      </c>
      <c r="B441" s="1">
        <v>45578</v>
      </c>
      <c r="C441" t="str">
        <f t="shared" si="100"/>
        <v>44021</v>
      </c>
      <c r="D441" t="s">
        <v>5</v>
      </c>
      <c r="E441" t="str">
        <f t="shared" si="101"/>
        <v>15</v>
      </c>
      <c r="F441">
        <v>481110</v>
      </c>
      <c r="G441">
        <v>309317</v>
      </c>
      <c r="H441">
        <v>9918</v>
      </c>
      <c r="I441" t="str">
        <f t="shared" si="102"/>
        <v>1</v>
      </c>
      <c r="J441" t="str">
        <f t="shared" si="103"/>
        <v>Vooruit</v>
      </c>
      <c r="K441">
        <v>25504</v>
      </c>
      <c r="L441">
        <v>14902</v>
      </c>
      <c r="M441">
        <v>40406</v>
      </c>
      <c r="N441">
        <v>2</v>
      </c>
      <c r="O441" t="str">
        <f>("15")</f>
        <v>15</v>
      </c>
      <c r="P441" t="str">
        <f>("Isci Emine Gül")</f>
        <v>Isci Emine Gül</v>
      </c>
      <c r="Q441">
        <v>2826</v>
      </c>
      <c r="S441">
        <v>2</v>
      </c>
    </row>
    <row r="442" spans="1:19" x14ac:dyDescent="0.3">
      <c r="A442" t="s">
        <v>0</v>
      </c>
      <c r="B442" s="1">
        <v>45578</v>
      </c>
      <c r="C442" t="str">
        <f t="shared" si="100"/>
        <v>44021</v>
      </c>
      <c r="D442" t="s">
        <v>5</v>
      </c>
      <c r="E442" t="str">
        <f t="shared" si="101"/>
        <v>15</v>
      </c>
      <c r="F442">
        <v>481110</v>
      </c>
      <c r="G442">
        <v>309317</v>
      </c>
      <c r="H442">
        <v>9918</v>
      </c>
      <c r="I442" t="str">
        <f t="shared" ref="I442:I456" si="104">("2")</f>
        <v>2</v>
      </c>
      <c r="J442" t="str">
        <f t="shared" ref="J442:J456" si="105">("PVDA")</f>
        <v>PVDA</v>
      </c>
      <c r="K442">
        <v>9532</v>
      </c>
      <c r="L442">
        <v>6445</v>
      </c>
      <c r="M442">
        <v>15977</v>
      </c>
      <c r="N442">
        <v>0</v>
      </c>
      <c r="O442" t="str">
        <f>("1")</f>
        <v>1</v>
      </c>
      <c r="P442" t="str">
        <f>("De Bruyne Patricia")</f>
        <v>De Bruyne Patricia</v>
      </c>
      <c r="Q442">
        <v>2627</v>
      </c>
    </row>
    <row r="443" spans="1:19" x14ac:dyDescent="0.3">
      <c r="A443" t="s">
        <v>0</v>
      </c>
      <c r="B443" s="1">
        <v>45578</v>
      </c>
      <c r="C443" t="str">
        <f t="shared" si="100"/>
        <v>44021</v>
      </c>
      <c r="D443" t="s">
        <v>5</v>
      </c>
      <c r="E443" t="str">
        <f t="shared" si="101"/>
        <v>15</v>
      </c>
      <c r="F443">
        <v>481110</v>
      </c>
      <c r="G443">
        <v>309317</v>
      </c>
      <c r="H443">
        <v>9918</v>
      </c>
      <c r="I443" t="str">
        <f t="shared" si="104"/>
        <v>2</v>
      </c>
      <c r="J443" t="str">
        <f t="shared" si="105"/>
        <v>PVDA</v>
      </c>
      <c r="K443">
        <v>9532</v>
      </c>
      <c r="L443">
        <v>6445</v>
      </c>
      <c r="M443">
        <v>15977</v>
      </c>
      <c r="N443">
        <v>0</v>
      </c>
      <c r="O443" t="str">
        <f>("2")</f>
        <v>2</v>
      </c>
      <c r="P443" t="str">
        <f>("Claisse Michael")</f>
        <v>Claisse Michael</v>
      </c>
      <c r="Q443">
        <v>929</v>
      </c>
    </row>
    <row r="444" spans="1:19" x14ac:dyDescent="0.3">
      <c r="A444" t="s">
        <v>0</v>
      </c>
      <c r="B444" s="1">
        <v>45578</v>
      </c>
      <c r="C444" t="str">
        <f t="shared" si="100"/>
        <v>44021</v>
      </c>
      <c r="D444" t="s">
        <v>5</v>
      </c>
      <c r="E444" t="str">
        <f t="shared" si="101"/>
        <v>15</v>
      </c>
      <c r="F444">
        <v>481110</v>
      </c>
      <c r="G444">
        <v>309317</v>
      </c>
      <c r="H444">
        <v>9918</v>
      </c>
      <c r="I444" t="str">
        <f t="shared" si="104"/>
        <v>2</v>
      </c>
      <c r="J444" t="str">
        <f t="shared" si="105"/>
        <v>PVDA</v>
      </c>
      <c r="K444">
        <v>9532</v>
      </c>
      <c r="L444">
        <v>6445</v>
      </c>
      <c r="M444">
        <v>15977</v>
      </c>
      <c r="N444">
        <v>0</v>
      </c>
      <c r="O444" t="str">
        <f>("3")</f>
        <v>3</v>
      </c>
      <c r="P444" t="str">
        <f>("Azahaf Fatiha")</f>
        <v>Azahaf Fatiha</v>
      </c>
      <c r="Q444">
        <v>1882</v>
      </c>
    </row>
    <row r="445" spans="1:19" x14ac:dyDescent="0.3">
      <c r="A445" t="s">
        <v>0</v>
      </c>
      <c r="B445" s="1">
        <v>45578</v>
      </c>
      <c r="C445" t="str">
        <f t="shared" si="100"/>
        <v>44021</v>
      </c>
      <c r="D445" t="s">
        <v>5</v>
      </c>
      <c r="E445" t="str">
        <f t="shared" si="101"/>
        <v>15</v>
      </c>
      <c r="F445">
        <v>481110</v>
      </c>
      <c r="G445">
        <v>309317</v>
      </c>
      <c r="H445">
        <v>9918</v>
      </c>
      <c r="I445" t="str">
        <f t="shared" si="104"/>
        <v>2</v>
      </c>
      <c r="J445" t="str">
        <f t="shared" si="105"/>
        <v>PVDA</v>
      </c>
      <c r="K445">
        <v>9532</v>
      </c>
      <c r="L445">
        <v>6445</v>
      </c>
      <c r="M445">
        <v>15977</v>
      </c>
      <c r="N445">
        <v>0</v>
      </c>
      <c r="O445" t="str">
        <f>("4")</f>
        <v>4</v>
      </c>
      <c r="P445" t="str">
        <f>("Vandenhouwe Alain")</f>
        <v>Vandenhouwe Alain</v>
      </c>
      <c r="Q445">
        <v>848</v>
      </c>
    </row>
    <row r="446" spans="1:19" x14ac:dyDescent="0.3">
      <c r="A446" t="s">
        <v>0</v>
      </c>
      <c r="B446" s="1">
        <v>45578</v>
      </c>
      <c r="C446" t="str">
        <f t="shared" si="100"/>
        <v>44021</v>
      </c>
      <c r="D446" t="s">
        <v>5</v>
      </c>
      <c r="E446" t="str">
        <f t="shared" si="101"/>
        <v>15</v>
      </c>
      <c r="F446">
        <v>481110</v>
      </c>
      <c r="G446">
        <v>309317</v>
      </c>
      <c r="H446">
        <v>9918</v>
      </c>
      <c r="I446" t="str">
        <f t="shared" si="104"/>
        <v>2</v>
      </c>
      <c r="J446" t="str">
        <f t="shared" si="105"/>
        <v>PVDA</v>
      </c>
      <c r="K446">
        <v>9532</v>
      </c>
      <c r="L446">
        <v>6445</v>
      </c>
      <c r="M446">
        <v>15977</v>
      </c>
      <c r="N446">
        <v>0</v>
      </c>
      <c r="O446" t="str">
        <f>("5")</f>
        <v>5</v>
      </c>
      <c r="P446" t="str">
        <f>("Paz Vidal Rosa")</f>
        <v>Paz Vidal Rosa</v>
      </c>
      <c r="Q446">
        <v>1049</v>
      </c>
    </row>
    <row r="447" spans="1:19" x14ac:dyDescent="0.3">
      <c r="A447" t="s">
        <v>0</v>
      </c>
      <c r="B447" s="1">
        <v>45578</v>
      </c>
      <c r="C447" t="str">
        <f t="shared" si="100"/>
        <v>44021</v>
      </c>
      <c r="D447" t="s">
        <v>5</v>
      </c>
      <c r="E447" t="str">
        <f t="shared" si="101"/>
        <v>15</v>
      </c>
      <c r="F447">
        <v>481110</v>
      </c>
      <c r="G447">
        <v>309317</v>
      </c>
      <c r="H447">
        <v>9918</v>
      </c>
      <c r="I447" t="str">
        <f t="shared" si="104"/>
        <v>2</v>
      </c>
      <c r="J447" t="str">
        <f t="shared" si="105"/>
        <v>PVDA</v>
      </c>
      <c r="K447">
        <v>9532</v>
      </c>
      <c r="L447">
        <v>6445</v>
      </c>
      <c r="M447">
        <v>15977</v>
      </c>
      <c r="N447">
        <v>0</v>
      </c>
      <c r="O447" t="str">
        <f>("6")</f>
        <v>6</v>
      </c>
      <c r="P447" t="str">
        <f>("van Huygevoort Steve")</f>
        <v>van Huygevoort Steve</v>
      </c>
      <c r="Q447">
        <v>716</v>
      </c>
    </row>
    <row r="448" spans="1:19" x14ac:dyDescent="0.3">
      <c r="A448" t="s">
        <v>0</v>
      </c>
      <c r="B448" s="1">
        <v>45578</v>
      </c>
      <c r="C448" t="str">
        <f t="shared" si="100"/>
        <v>44021</v>
      </c>
      <c r="D448" t="s">
        <v>5</v>
      </c>
      <c r="E448" t="str">
        <f t="shared" si="101"/>
        <v>15</v>
      </c>
      <c r="F448">
        <v>481110</v>
      </c>
      <c r="G448">
        <v>309317</v>
      </c>
      <c r="H448">
        <v>9918</v>
      </c>
      <c r="I448" t="str">
        <f t="shared" si="104"/>
        <v>2</v>
      </c>
      <c r="J448" t="str">
        <f t="shared" si="105"/>
        <v>PVDA</v>
      </c>
      <c r="K448">
        <v>9532</v>
      </c>
      <c r="L448">
        <v>6445</v>
      </c>
      <c r="M448">
        <v>15977</v>
      </c>
      <c r="N448">
        <v>0</v>
      </c>
      <c r="O448" t="str">
        <f>("7")</f>
        <v>7</v>
      </c>
      <c r="P448" t="str">
        <f>("Hoet Martine")</f>
        <v>Hoet Martine</v>
      </c>
      <c r="Q448">
        <v>1015</v>
      </c>
    </row>
    <row r="449" spans="1:19" x14ac:dyDescent="0.3">
      <c r="A449" t="s">
        <v>0</v>
      </c>
      <c r="B449" s="1">
        <v>45578</v>
      </c>
      <c r="C449" t="str">
        <f t="shared" si="100"/>
        <v>44021</v>
      </c>
      <c r="D449" t="s">
        <v>5</v>
      </c>
      <c r="E449" t="str">
        <f t="shared" si="101"/>
        <v>15</v>
      </c>
      <c r="F449">
        <v>481110</v>
      </c>
      <c r="G449">
        <v>309317</v>
      </c>
      <c r="H449">
        <v>9918</v>
      </c>
      <c r="I449" t="str">
        <f t="shared" si="104"/>
        <v>2</v>
      </c>
      <c r="J449" t="str">
        <f t="shared" si="105"/>
        <v>PVDA</v>
      </c>
      <c r="K449">
        <v>9532</v>
      </c>
      <c r="L449">
        <v>6445</v>
      </c>
      <c r="M449">
        <v>15977</v>
      </c>
      <c r="N449">
        <v>0</v>
      </c>
      <c r="O449" t="str">
        <f>("8")</f>
        <v>8</v>
      </c>
      <c r="P449" t="str">
        <f>("Asman Geert")</f>
        <v>Asman Geert</v>
      </c>
      <c r="Q449">
        <v>1240</v>
      </c>
    </row>
    <row r="450" spans="1:19" x14ac:dyDescent="0.3">
      <c r="A450" t="s">
        <v>0</v>
      </c>
      <c r="B450" s="1">
        <v>45578</v>
      </c>
      <c r="C450" t="str">
        <f t="shared" si="100"/>
        <v>44021</v>
      </c>
      <c r="D450" t="s">
        <v>5</v>
      </c>
      <c r="E450" t="str">
        <f t="shared" si="101"/>
        <v>15</v>
      </c>
      <c r="F450">
        <v>481110</v>
      </c>
      <c r="G450">
        <v>309317</v>
      </c>
      <c r="H450">
        <v>9918</v>
      </c>
      <c r="I450" t="str">
        <f t="shared" si="104"/>
        <v>2</v>
      </c>
      <c r="J450" t="str">
        <f t="shared" si="105"/>
        <v>PVDA</v>
      </c>
      <c r="K450">
        <v>9532</v>
      </c>
      <c r="L450">
        <v>6445</v>
      </c>
      <c r="M450">
        <v>15977</v>
      </c>
      <c r="N450">
        <v>0</v>
      </c>
      <c r="O450" t="str">
        <f>("9")</f>
        <v>9</v>
      </c>
      <c r="P450" t="str">
        <f>("Tanghe Zoë")</f>
        <v>Tanghe Zoë</v>
      </c>
      <c r="Q450">
        <v>990</v>
      </c>
    </row>
    <row r="451" spans="1:19" x14ac:dyDescent="0.3">
      <c r="A451" t="s">
        <v>0</v>
      </c>
      <c r="B451" s="1">
        <v>45578</v>
      </c>
      <c r="C451" t="str">
        <f t="shared" si="100"/>
        <v>44021</v>
      </c>
      <c r="D451" t="s">
        <v>5</v>
      </c>
      <c r="E451" t="str">
        <f t="shared" si="101"/>
        <v>15</v>
      </c>
      <c r="F451">
        <v>481110</v>
      </c>
      <c r="G451">
        <v>309317</v>
      </c>
      <c r="H451">
        <v>9918</v>
      </c>
      <c r="I451" t="str">
        <f t="shared" si="104"/>
        <v>2</v>
      </c>
      <c r="J451" t="str">
        <f t="shared" si="105"/>
        <v>PVDA</v>
      </c>
      <c r="K451">
        <v>9532</v>
      </c>
      <c r="L451">
        <v>6445</v>
      </c>
      <c r="M451">
        <v>15977</v>
      </c>
      <c r="N451">
        <v>0</v>
      </c>
      <c r="O451" t="str">
        <f>("10")</f>
        <v>10</v>
      </c>
      <c r="P451" t="str">
        <f>("Kalaz Yüksel")</f>
        <v>Kalaz Yüksel</v>
      </c>
      <c r="Q451">
        <v>2002</v>
      </c>
    </row>
    <row r="452" spans="1:19" x14ac:dyDescent="0.3">
      <c r="A452" t="s">
        <v>0</v>
      </c>
      <c r="B452" s="1">
        <v>45578</v>
      </c>
      <c r="C452" t="str">
        <f t="shared" si="100"/>
        <v>44021</v>
      </c>
      <c r="D452" t="s">
        <v>5</v>
      </c>
      <c r="E452" t="str">
        <f t="shared" si="101"/>
        <v>15</v>
      </c>
      <c r="F452">
        <v>481110</v>
      </c>
      <c r="G452">
        <v>309317</v>
      </c>
      <c r="H452">
        <v>9918</v>
      </c>
      <c r="I452" t="str">
        <f t="shared" si="104"/>
        <v>2</v>
      </c>
      <c r="J452" t="str">
        <f t="shared" si="105"/>
        <v>PVDA</v>
      </c>
      <c r="K452">
        <v>9532</v>
      </c>
      <c r="L452">
        <v>6445</v>
      </c>
      <c r="M452">
        <v>15977</v>
      </c>
      <c r="N452">
        <v>0</v>
      </c>
      <c r="O452" t="str">
        <f>("11")</f>
        <v>11</v>
      </c>
      <c r="P452" t="str">
        <f>("Rochtus Yasmina")</f>
        <v>Rochtus Yasmina</v>
      </c>
      <c r="Q452">
        <v>966</v>
      </c>
    </row>
    <row r="453" spans="1:19" x14ac:dyDescent="0.3">
      <c r="A453" t="s">
        <v>0</v>
      </c>
      <c r="B453" s="1">
        <v>45578</v>
      </c>
      <c r="C453" t="str">
        <f t="shared" si="100"/>
        <v>44021</v>
      </c>
      <c r="D453" t="s">
        <v>5</v>
      </c>
      <c r="E453" t="str">
        <f t="shared" si="101"/>
        <v>15</v>
      </c>
      <c r="F453">
        <v>481110</v>
      </c>
      <c r="G453">
        <v>309317</v>
      </c>
      <c r="H453">
        <v>9918</v>
      </c>
      <c r="I453" t="str">
        <f t="shared" si="104"/>
        <v>2</v>
      </c>
      <c r="J453" t="str">
        <f t="shared" si="105"/>
        <v>PVDA</v>
      </c>
      <c r="K453">
        <v>9532</v>
      </c>
      <c r="L453">
        <v>6445</v>
      </c>
      <c r="M453">
        <v>15977</v>
      </c>
      <c r="N453">
        <v>0</v>
      </c>
      <c r="O453" t="str">
        <f>("12")</f>
        <v>12</v>
      </c>
      <c r="P453" t="str">
        <f>("Wang Mingtje")</f>
        <v>Wang Mingtje</v>
      </c>
      <c r="Q453">
        <v>1126</v>
      </c>
    </row>
    <row r="454" spans="1:19" x14ac:dyDescent="0.3">
      <c r="A454" t="s">
        <v>0</v>
      </c>
      <c r="B454" s="1">
        <v>45578</v>
      </c>
      <c r="C454" t="str">
        <f t="shared" si="100"/>
        <v>44021</v>
      </c>
      <c r="D454" t="s">
        <v>5</v>
      </c>
      <c r="E454" t="str">
        <f t="shared" si="101"/>
        <v>15</v>
      </c>
      <c r="F454">
        <v>481110</v>
      </c>
      <c r="G454">
        <v>309317</v>
      </c>
      <c r="H454">
        <v>9918</v>
      </c>
      <c r="I454" t="str">
        <f t="shared" si="104"/>
        <v>2</v>
      </c>
      <c r="J454" t="str">
        <f t="shared" si="105"/>
        <v>PVDA</v>
      </c>
      <c r="K454">
        <v>9532</v>
      </c>
      <c r="L454">
        <v>6445</v>
      </c>
      <c r="M454">
        <v>15977</v>
      </c>
      <c r="N454">
        <v>0</v>
      </c>
      <c r="O454" t="str">
        <f>("13")</f>
        <v>13</v>
      </c>
      <c r="P454" t="str">
        <f>("Severens Kobe")</f>
        <v>Severens Kobe</v>
      </c>
      <c r="Q454">
        <v>640</v>
      </c>
    </row>
    <row r="455" spans="1:19" x14ac:dyDescent="0.3">
      <c r="A455" t="s">
        <v>0</v>
      </c>
      <c r="B455" s="1">
        <v>45578</v>
      </c>
      <c r="C455" t="str">
        <f t="shared" si="100"/>
        <v>44021</v>
      </c>
      <c r="D455" t="s">
        <v>5</v>
      </c>
      <c r="E455" t="str">
        <f t="shared" si="101"/>
        <v>15</v>
      </c>
      <c r="F455">
        <v>481110</v>
      </c>
      <c r="G455">
        <v>309317</v>
      </c>
      <c r="H455">
        <v>9918</v>
      </c>
      <c r="I455" t="str">
        <f t="shared" si="104"/>
        <v>2</v>
      </c>
      <c r="J455" t="str">
        <f t="shared" si="105"/>
        <v>PVDA</v>
      </c>
      <c r="K455">
        <v>9532</v>
      </c>
      <c r="L455">
        <v>6445</v>
      </c>
      <c r="M455">
        <v>15977</v>
      </c>
      <c r="N455">
        <v>0</v>
      </c>
      <c r="O455" t="str">
        <f>("14")</f>
        <v>14</v>
      </c>
      <c r="P455" t="str">
        <f>("Pauwels Mia")</f>
        <v>Pauwels Mia</v>
      </c>
      <c r="Q455">
        <v>926</v>
      </c>
    </row>
    <row r="456" spans="1:19" x14ac:dyDescent="0.3">
      <c r="A456" t="s">
        <v>0</v>
      </c>
      <c r="B456" s="1">
        <v>45578</v>
      </c>
      <c r="C456" t="str">
        <f t="shared" si="100"/>
        <v>44021</v>
      </c>
      <c r="D456" t="s">
        <v>5</v>
      </c>
      <c r="E456" t="str">
        <f t="shared" si="101"/>
        <v>15</v>
      </c>
      <c r="F456">
        <v>481110</v>
      </c>
      <c r="G456">
        <v>309317</v>
      </c>
      <c r="H456">
        <v>9918</v>
      </c>
      <c r="I456" t="str">
        <f t="shared" si="104"/>
        <v>2</v>
      </c>
      <c r="J456" t="str">
        <f t="shared" si="105"/>
        <v>PVDA</v>
      </c>
      <c r="K456">
        <v>9532</v>
      </c>
      <c r="L456">
        <v>6445</v>
      </c>
      <c r="M456">
        <v>15977</v>
      </c>
      <c r="N456">
        <v>0</v>
      </c>
      <c r="O456" t="str">
        <f>("15")</f>
        <v>15</v>
      </c>
      <c r="P456" t="str">
        <f>("Vandewalle Onno")</f>
        <v>Vandewalle Onno</v>
      </c>
      <c r="Q456">
        <v>1253</v>
      </c>
    </row>
    <row r="457" spans="1:19" x14ac:dyDescent="0.3">
      <c r="A457" t="s">
        <v>0</v>
      </c>
      <c r="B457" s="1">
        <v>45578</v>
      </c>
      <c r="C457" t="str">
        <f t="shared" si="100"/>
        <v>44021</v>
      </c>
      <c r="D457" t="s">
        <v>5</v>
      </c>
      <c r="E457" t="str">
        <f t="shared" si="101"/>
        <v>15</v>
      </c>
      <c r="F457">
        <v>481110</v>
      </c>
      <c r="G457">
        <v>309317</v>
      </c>
      <c r="H457">
        <v>9918</v>
      </c>
      <c r="I457" t="str">
        <f t="shared" ref="I457:I471" si="106">("3")</f>
        <v>3</v>
      </c>
      <c r="J457" t="str">
        <f t="shared" ref="J457:J471" si="107">("cd&amp;v")</f>
        <v>cd&amp;v</v>
      </c>
      <c r="K457">
        <v>17150</v>
      </c>
      <c r="L457">
        <v>35976</v>
      </c>
      <c r="M457">
        <v>53126</v>
      </c>
      <c r="N457">
        <v>3</v>
      </c>
      <c r="O457" t="str">
        <f>("1")</f>
        <v>1</v>
      </c>
      <c r="P457" t="str">
        <f>("Schauvliege Joke")</f>
        <v>Schauvliege Joke</v>
      </c>
      <c r="Q457">
        <v>15379</v>
      </c>
      <c r="R457">
        <v>1</v>
      </c>
    </row>
    <row r="458" spans="1:19" x14ac:dyDescent="0.3">
      <c r="A458" t="s">
        <v>0</v>
      </c>
      <c r="B458" s="1">
        <v>45578</v>
      </c>
      <c r="C458" t="str">
        <f t="shared" si="100"/>
        <v>44021</v>
      </c>
      <c r="D458" t="s">
        <v>5</v>
      </c>
      <c r="E458" t="str">
        <f t="shared" si="101"/>
        <v>15</v>
      </c>
      <c r="F458">
        <v>481110</v>
      </c>
      <c r="G458">
        <v>309317</v>
      </c>
      <c r="H458">
        <v>9918</v>
      </c>
      <c r="I458" t="str">
        <f t="shared" si="106"/>
        <v>3</v>
      </c>
      <c r="J458" t="str">
        <f t="shared" si="107"/>
        <v>cd&amp;v</v>
      </c>
      <c r="K458">
        <v>17150</v>
      </c>
      <c r="L458">
        <v>35976</v>
      </c>
      <c r="M458">
        <v>53126</v>
      </c>
      <c r="N458">
        <v>3</v>
      </c>
      <c r="O458" t="str">
        <f>("2")</f>
        <v>2</v>
      </c>
      <c r="P458" t="str">
        <f>("Van Laecke Filip")</f>
        <v>Van Laecke Filip</v>
      </c>
      <c r="Q458">
        <v>7916</v>
      </c>
      <c r="R458">
        <v>3</v>
      </c>
    </row>
    <row r="459" spans="1:19" x14ac:dyDescent="0.3">
      <c r="A459" t="s">
        <v>0</v>
      </c>
      <c r="B459" s="1">
        <v>45578</v>
      </c>
      <c r="C459" t="str">
        <f t="shared" ref="C459:C490" si="108">("44021")</f>
        <v>44021</v>
      </c>
      <c r="D459" t="s">
        <v>5</v>
      </c>
      <c r="E459" t="str">
        <f t="shared" ref="E459:E490" si="109">("15")</f>
        <v>15</v>
      </c>
      <c r="F459">
        <v>481110</v>
      </c>
      <c r="G459">
        <v>309317</v>
      </c>
      <c r="H459">
        <v>9918</v>
      </c>
      <c r="I459" t="str">
        <f t="shared" si="106"/>
        <v>3</v>
      </c>
      <c r="J459" t="str">
        <f t="shared" si="107"/>
        <v>cd&amp;v</v>
      </c>
      <c r="K459">
        <v>17150</v>
      </c>
      <c r="L459">
        <v>35976</v>
      </c>
      <c r="M459">
        <v>53126</v>
      </c>
      <c r="N459">
        <v>3</v>
      </c>
      <c r="O459" t="str">
        <f>("3")</f>
        <v>3</v>
      </c>
      <c r="P459" t="str">
        <f>("De Ruyck Valerie")</f>
        <v>De Ruyck Valerie</v>
      </c>
      <c r="Q459">
        <v>3961</v>
      </c>
      <c r="S459">
        <v>4</v>
      </c>
    </row>
    <row r="460" spans="1:19" x14ac:dyDescent="0.3">
      <c r="A460" t="s">
        <v>0</v>
      </c>
      <c r="B460" s="1">
        <v>45578</v>
      </c>
      <c r="C460" t="str">
        <f t="shared" si="108"/>
        <v>44021</v>
      </c>
      <c r="D460" t="s">
        <v>5</v>
      </c>
      <c r="E460" t="str">
        <f t="shared" si="109"/>
        <v>15</v>
      </c>
      <c r="F460">
        <v>481110</v>
      </c>
      <c r="G460">
        <v>309317</v>
      </c>
      <c r="H460">
        <v>9918</v>
      </c>
      <c r="I460" t="str">
        <f t="shared" si="106"/>
        <v>3</v>
      </c>
      <c r="J460" t="str">
        <f t="shared" si="107"/>
        <v>cd&amp;v</v>
      </c>
      <c r="K460">
        <v>17150</v>
      </c>
      <c r="L460">
        <v>35976</v>
      </c>
      <c r="M460">
        <v>53126</v>
      </c>
      <c r="N460">
        <v>3</v>
      </c>
      <c r="O460" t="str">
        <f>("4")</f>
        <v>4</v>
      </c>
      <c r="P460" t="str">
        <f>("Lammertyn Annelies")</f>
        <v>Lammertyn Annelies</v>
      </c>
      <c r="Q460">
        <v>5280</v>
      </c>
      <c r="S460">
        <v>2</v>
      </c>
    </row>
    <row r="461" spans="1:19" x14ac:dyDescent="0.3">
      <c r="A461" t="s">
        <v>0</v>
      </c>
      <c r="B461" s="1">
        <v>45578</v>
      </c>
      <c r="C461" t="str">
        <f t="shared" si="108"/>
        <v>44021</v>
      </c>
      <c r="D461" t="s">
        <v>5</v>
      </c>
      <c r="E461" t="str">
        <f t="shared" si="109"/>
        <v>15</v>
      </c>
      <c r="F461">
        <v>481110</v>
      </c>
      <c r="G461">
        <v>309317</v>
      </c>
      <c r="H461">
        <v>9918</v>
      </c>
      <c r="I461" t="str">
        <f t="shared" si="106"/>
        <v>3</v>
      </c>
      <c r="J461" t="str">
        <f t="shared" si="107"/>
        <v>cd&amp;v</v>
      </c>
      <c r="K461">
        <v>17150</v>
      </c>
      <c r="L461">
        <v>35976</v>
      </c>
      <c r="M461">
        <v>53126</v>
      </c>
      <c r="N461">
        <v>3</v>
      </c>
      <c r="O461" t="str">
        <f>("5")</f>
        <v>5</v>
      </c>
      <c r="P461" t="str">
        <f>("Simoens Wim")</f>
        <v>Simoens Wim</v>
      </c>
      <c r="Q461">
        <v>2182</v>
      </c>
      <c r="S461">
        <v>9</v>
      </c>
    </row>
    <row r="462" spans="1:19" x14ac:dyDescent="0.3">
      <c r="A462" t="s">
        <v>0</v>
      </c>
      <c r="B462" s="1">
        <v>45578</v>
      </c>
      <c r="C462" t="str">
        <f t="shared" si="108"/>
        <v>44021</v>
      </c>
      <c r="D462" t="s">
        <v>5</v>
      </c>
      <c r="E462" t="str">
        <f t="shared" si="109"/>
        <v>15</v>
      </c>
      <c r="F462">
        <v>481110</v>
      </c>
      <c r="G462">
        <v>309317</v>
      </c>
      <c r="H462">
        <v>9918</v>
      </c>
      <c r="I462" t="str">
        <f t="shared" si="106"/>
        <v>3</v>
      </c>
      <c r="J462" t="str">
        <f t="shared" si="107"/>
        <v>cd&amp;v</v>
      </c>
      <c r="K462">
        <v>17150</v>
      </c>
      <c r="L462">
        <v>35976</v>
      </c>
      <c r="M462">
        <v>53126</v>
      </c>
      <c r="N462">
        <v>3</v>
      </c>
      <c r="O462" t="str">
        <f>("6")</f>
        <v>6</v>
      </c>
      <c r="P462" t="str">
        <f>("Van Nieuwerburgh Dirk")</f>
        <v>Van Nieuwerburgh Dirk</v>
      </c>
      <c r="Q462">
        <v>2082</v>
      </c>
      <c r="S462">
        <v>10</v>
      </c>
    </row>
    <row r="463" spans="1:19" x14ac:dyDescent="0.3">
      <c r="A463" t="s">
        <v>0</v>
      </c>
      <c r="B463" s="1">
        <v>45578</v>
      </c>
      <c r="C463" t="str">
        <f t="shared" si="108"/>
        <v>44021</v>
      </c>
      <c r="D463" t="s">
        <v>5</v>
      </c>
      <c r="E463" t="str">
        <f t="shared" si="109"/>
        <v>15</v>
      </c>
      <c r="F463">
        <v>481110</v>
      </c>
      <c r="G463">
        <v>309317</v>
      </c>
      <c r="H463">
        <v>9918</v>
      </c>
      <c r="I463" t="str">
        <f t="shared" si="106"/>
        <v>3</v>
      </c>
      <c r="J463" t="str">
        <f t="shared" si="107"/>
        <v>cd&amp;v</v>
      </c>
      <c r="K463">
        <v>17150</v>
      </c>
      <c r="L463">
        <v>35976</v>
      </c>
      <c r="M463">
        <v>53126</v>
      </c>
      <c r="N463">
        <v>3</v>
      </c>
      <c r="O463" t="str">
        <f>("7")</f>
        <v>7</v>
      </c>
      <c r="P463" t="str">
        <f>("Van de Veere Hendrik")</f>
        <v>Van de Veere Hendrik</v>
      </c>
      <c r="Q463">
        <v>2450</v>
      </c>
      <c r="S463">
        <v>7</v>
      </c>
    </row>
    <row r="464" spans="1:19" x14ac:dyDescent="0.3">
      <c r="A464" t="s">
        <v>0</v>
      </c>
      <c r="B464" s="1">
        <v>45578</v>
      </c>
      <c r="C464" t="str">
        <f t="shared" si="108"/>
        <v>44021</v>
      </c>
      <c r="D464" t="s">
        <v>5</v>
      </c>
      <c r="E464" t="str">
        <f t="shared" si="109"/>
        <v>15</v>
      </c>
      <c r="F464">
        <v>481110</v>
      </c>
      <c r="G464">
        <v>309317</v>
      </c>
      <c r="H464">
        <v>9918</v>
      </c>
      <c r="I464" t="str">
        <f t="shared" si="106"/>
        <v>3</v>
      </c>
      <c r="J464" t="str">
        <f t="shared" si="107"/>
        <v>cd&amp;v</v>
      </c>
      <c r="K464">
        <v>17150</v>
      </c>
      <c r="L464">
        <v>35976</v>
      </c>
      <c r="M464">
        <v>53126</v>
      </c>
      <c r="N464">
        <v>3</v>
      </c>
      <c r="O464" t="str">
        <f>("8")</f>
        <v>8</v>
      </c>
      <c r="P464" t="str">
        <f>("Bodurri Eglantina")</f>
        <v>Bodurri Eglantina</v>
      </c>
      <c r="Q464">
        <v>1447</v>
      </c>
      <c r="S464">
        <v>12</v>
      </c>
    </row>
    <row r="465" spans="1:19" x14ac:dyDescent="0.3">
      <c r="A465" t="s">
        <v>0</v>
      </c>
      <c r="B465" s="1">
        <v>45578</v>
      </c>
      <c r="C465" t="str">
        <f t="shared" si="108"/>
        <v>44021</v>
      </c>
      <c r="D465" t="s">
        <v>5</v>
      </c>
      <c r="E465" t="str">
        <f t="shared" si="109"/>
        <v>15</v>
      </c>
      <c r="F465">
        <v>481110</v>
      </c>
      <c r="G465">
        <v>309317</v>
      </c>
      <c r="H465">
        <v>9918</v>
      </c>
      <c r="I465" t="str">
        <f t="shared" si="106"/>
        <v>3</v>
      </c>
      <c r="J465" t="str">
        <f t="shared" si="107"/>
        <v>cd&amp;v</v>
      </c>
      <c r="K465">
        <v>17150</v>
      </c>
      <c r="L465">
        <v>35976</v>
      </c>
      <c r="M465">
        <v>53126</v>
      </c>
      <c r="N465">
        <v>3</v>
      </c>
      <c r="O465" t="str">
        <f>("9")</f>
        <v>9</v>
      </c>
      <c r="P465" t="str">
        <f>("Pauwels Veerle")</f>
        <v>Pauwels Veerle</v>
      </c>
      <c r="Q465">
        <v>2656</v>
      </c>
      <c r="S465">
        <v>5</v>
      </c>
    </row>
    <row r="466" spans="1:19" x14ac:dyDescent="0.3">
      <c r="A466" t="s">
        <v>0</v>
      </c>
      <c r="B466" s="1">
        <v>45578</v>
      </c>
      <c r="C466" t="str">
        <f t="shared" si="108"/>
        <v>44021</v>
      </c>
      <c r="D466" t="s">
        <v>5</v>
      </c>
      <c r="E466" t="str">
        <f t="shared" si="109"/>
        <v>15</v>
      </c>
      <c r="F466">
        <v>481110</v>
      </c>
      <c r="G466">
        <v>309317</v>
      </c>
      <c r="H466">
        <v>9918</v>
      </c>
      <c r="I466" t="str">
        <f t="shared" si="106"/>
        <v>3</v>
      </c>
      <c r="J466" t="str">
        <f t="shared" si="107"/>
        <v>cd&amp;v</v>
      </c>
      <c r="K466">
        <v>17150</v>
      </c>
      <c r="L466">
        <v>35976</v>
      </c>
      <c r="M466">
        <v>53126</v>
      </c>
      <c r="N466">
        <v>3</v>
      </c>
      <c r="O466" t="str">
        <f>("10")</f>
        <v>10</v>
      </c>
      <c r="P466" t="str">
        <f>("Blomme Daan")</f>
        <v>Blomme Daan</v>
      </c>
      <c r="Q466">
        <v>2396</v>
      </c>
      <c r="S466">
        <v>8</v>
      </c>
    </row>
    <row r="467" spans="1:19" x14ac:dyDescent="0.3">
      <c r="A467" t="s">
        <v>0</v>
      </c>
      <c r="B467" s="1">
        <v>45578</v>
      </c>
      <c r="C467" t="str">
        <f t="shared" si="108"/>
        <v>44021</v>
      </c>
      <c r="D467" t="s">
        <v>5</v>
      </c>
      <c r="E467" t="str">
        <f t="shared" si="109"/>
        <v>15</v>
      </c>
      <c r="F467">
        <v>481110</v>
      </c>
      <c r="G467">
        <v>309317</v>
      </c>
      <c r="H467">
        <v>9918</v>
      </c>
      <c r="I467" t="str">
        <f t="shared" si="106"/>
        <v>3</v>
      </c>
      <c r="J467" t="str">
        <f t="shared" si="107"/>
        <v>cd&amp;v</v>
      </c>
      <c r="K467">
        <v>17150</v>
      </c>
      <c r="L467">
        <v>35976</v>
      </c>
      <c r="M467">
        <v>53126</v>
      </c>
      <c r="N467">
        <v>3</v>
      </c>
      <c r="O467" t="str">
        <f>("11")</f>
        <v>11</v>
      </c>
      <c r="P467" t="str">
        <f>("De Wilde Elsy")</f>
        <v>De Wilde Elsy</v>
      </c>
      <c r="Q467">
        <v>2528</v>
      </c>
      <c r="S467">
        <v>6</v>
      </c>
    </row>
    <row r="468" spans="1:19" x14ac:dyDescent="0.3">
      <c r="A468" t="s">
        <v>0</v>
      </c>
      <c r="B468" s="1">
        <v>45578</v>
      </c>
      <c r="C468" t="str">
        <f t="shared" si="108"/>
        <v>44021</v>
      </c>
      <c r="D468" t="s">
        <v>5</v>
      </c>
      <c r="E468" t="str">
        <f t="shared" si="109"/>
        <v>15</v>
      </c>
      <c r="F468">
        <v>481110</v>
      </c>
      <c r="G468">
        <v>309317</v>
      </c>
      <c r="H468">
        <v>9918</v>
      </c>
      <c r="I468" t="str">
        <f t="shared" si="106"/>
        <v>3</v>
      </c>
      <c r="J468" t="str">
        <f t="shared" si="107"/>
        <v>cd&amp;v</v>
      </c>
      <c r="K468">
        <v>17150</v>
      </c>
      <c r="L468">
        <v>35976</v>
      </c>
      <c r="M468">
        <v>53126</v>
      </c>
      <c r="N468">
        <v>3</v>
      </c>
      <c r="O468" t="str">
        <f>("12")</f>
        <v>12</v>
      </c>
      <c r="P468" t="str">
        <f>("Willems Annick")</f>
        <v>Willems Annick</v>
      </c>
      <c r="Q468">
        <v>4082</v>
      </c>
      <c r="S468">
        <v>3</v>
      </c>
    </row>
    <row r="469" spans="1:19" x14ac:dyDescent="0.3">
      <c r="A469" t="s">
        <v>0</v>
      </c>
      <c r="B469" s="1">
        <v>45578</v>
      </c>
      <c r="C469" t="str">
        <f t="shared" si="108"/>
        <v>44021</v>
      </c>
      <c r="D469" t="s">
        <v>5</v>
      </c>
      <c r="E469" t="str">
        <f t="shared" si="109"/>
        <v>15</v>
      </c>
      <c r="F469">
        <v>481110</v>
      </c>
      <c r="G469">
        <v>309317</v>
      </c>
      <c r="H469">
        <v>9918</v>
      </c>
      <c r="I469" t="str">
        <f t="shared" si="106"/>
        <v>3</v>
      </c>
      <c r="J469" t="str">
        <f t="shared" si="107"/>
        <v>cd&amp;v</v>
      </c>
      <c r="K469">
        <v>17150</v>
      </c>
      <c r="L469">
        <v>35976</v>
      </c>
      <c r="M469">
        <v>53126</v>
      </c>
      <c r="N469">
        <v>3</v>
      </c>
      <c r="O469" t="str">
        <f>("13")</f>
        <v>13</v>
      </c>
      <c r="P469" t="str">
        <f>("Canoot Michaël")</f>
        <v>Canoot Michaël</v>
      </c>
      <c r="Q469">
        <v>2017</v>
      </c>
      <c r="S469">
        <v>11</v>
      </c>
    </row>
    <row r="470" spans="1:19" x14ac:dyDescent="0.3">
      <c r="A470" t="s">
        <v>0</v>
      </c>
      <c r="B470" s="1">
        <v>45578</v>
      </c>
      <c r="C470" t="str">
        <f t="shared" si="108"/>
        <v>44021</v>
      </c>
      <c r="D470" t="s">
        <v>5</v>
      </c>
      <c r="E470" t="str">
        <f t="shared" si="109"/>
        <v>15</v>
      </c>
      <c r="F470">
        <v>481110</v>
      </c>
      <c r="G470">
        <v>309317</v>
      </c>
      <c r="H470">
        <v>9918</v>
      </c>
      <c r="I470" t="str">
        <f t="shared" si="106"/>
        <v>3</v>
      </c>
      <c r="J470" t="str">
        <f t="shared" si="107"/>
        <v>cd&amp;v</v>
      </c>
      <c r="K470">
        <v>17150</v>
      </c>
      <c r="L470">
        <v>35976</v>
      </c>
      <c r="M470">
        <v>53126</v>
      </c>
      <c r="N470">
        <v>3</v>
      </c>
      <c r="O470" t="str">
        <f>("14")</f>
        <v>14</v>
      </c>
      <c r="P470" t="str">
        <f>("De Roo Stijn")</f>
        <v>De Roo Stijn</v>
      </c>
      <c r="Q470">
        <v>5782</v>
      </c>
      <c r="S470">
        <v>1</v>
      </c>
    </row>
    <row r="471" spans="1:19" x14ac:dyDescent="0.3">
      <c r="A471" t="s">
        <v>0</v>
      </c>
      <c r="B471" s="1">
        <v>45578</v>
      </c>
      <c r="C471" t="str">
        <f t="shared" si="108"/>
        <v>44021</v>
      </c>
      <c r="D471" t="s">
        <v>5</v>
      </c>
      <c r="E471" t="str">
        <f t="shared" si="109"/>
        <v>15</v>
      </c>
      <c r="F471">
        <v>481110</v>
      </c>
      <c r="G471">
        <v>309317</v>
      </c>
      <c r="H471">
        <v>9918</v>
      </c>
      <c r="I471" t="str">
        <f t="shared" si="106"/>
        <v>3</v>
      </c>
      <c r="J471" t="str">
        <f t="shared" si="107"/>
        <v>cd&amp;v</v>
      </c>
      <c r="K471">
        <v>17150</v>
      </c>
      <c r="L471">
        <v>35976</v>
      </c>
      <c r="M471">
        <v>53126</v>
      </c>
      <c r="N471">
        <v>3</v>
      </c>
      <c r="O471" t="str">
        <f>("15")</f>
        <v>15</v>
      </c>
      <c r="P471" t="str">
        <f>("Van Peteghem Vincent")</f>
        <v>Van Peteghem Vincent</v>
      </c>
      <c r="Q471">
        <v>11513</v>
      </c>
      <c r="R471">
        <v>2</v>
      </c>
    </row>
    <row r="472" spans="1:19" x14ac:dyDescent="0.3">
      <c r="A472" t="s">
        <v>0</v>
      </c>
      <c r="B472" s="1">
        <v>45578</v>
      </c>
      <c r="C472" t="str">
        <f t="shared" si="108"/>
        <v>44021</v>
      </c>
      <c r="D472" t="s">
        <v>5</v>
      </c>
      <c r="E472" t="str">
        <f t="shared" si="109"/>
        <v>15</v>
      </c>
      <c r="F472">
        <v>481110</v>
      </c>
      <c r="G472">
        <v>309317</v>
      </c>
      <c r="H472">
        <v>9918</v>
      </c>
      <c r="I472" t="str">
        <f t="shared" ref="I472:I486" si="110">("4")</f>
        <v>4</v>
      </c>
      <c r="J472" t="str">
        <f t="shared" ref="J472:J486" si="111">("VLAAMS BELANG")</f>
        <v>VLAAMS BELANG</v>
      </c>
      <c r="K472">
        <v>23983</v>
      </c>
      <c r="L472">
        <v>11375</v>
      </c>
      <c r="M472">
        <v>35358</v>
      </c>
      <c r="N472">
        <v>2</v>
      </c>
      <c r="O472" t="str">
        <f>("1")</f>
        <v>1</v>
      </c>
      <c r="P472" t="str">
        <f>("Evrard Olaf")</f>
        <v>Evrard Olaf</v>
      </c>
      <c r="Q472">
        <v>6291</v>
      </c>
      <c r="R472">
        <v>1</v>
      </c>
    </row>
    <row r="473" spans="1:19" x14ac:dyDescent="0.3">
      <c r="A473" t="s">
        <v>0</v>
      </c>
      <c r="B473" s="1">
        <v>45578</v>
      </c>
      <c r="C473" t="str">
        <f t="shared" si="108"/>
        <v>44021</v>
      </c>
      <c r="D473" t="s">
        <v>5</v>
      </c>
      <c r="E473" t="str">
        <f t="shared" si="109"/>
        <v>15</v>
      </c>
      <c r="F473">
        <v>481110</v>
      </c>
      <c r="G473">
        <v>309317</v>
      </c>
      <c r="H473">
        <v>9918</v>
      </c>
      <c r="I473" t="str">
        <f t="shared" si="110"/>
        <v>4</v>
      </c>
      <c r="J473" t="str">
        <f t="shared" si="111"/>
        <v>VLAAMS BELANG</v>
      </c>
      <c r="K473">
        <v>23983</v>
      </c>
      <c r="L473">
        <v>11375</v>
      </c>
      <c r="M473">
        <v>35358</v>
      </c>
      <c r="N473">
        <v>2</v>
      </c>
      <c r="O473" t="str">
        <f>("2")</f>
        <v>2</v>
      </c>
      <c r="P473" t="str">
        <f>("Roegiers Daphny")</f>
        <v>Roegiers Daphny</v>
      </c>
      <c r="Q473">
        <v>2934</v>
      </c>
      <c r="S473">
        <v>1</v>
      </c>
    </row>
    <row r="474" spans="1:19" x14ac:dyDescent="0.3">
      <c r="A474" t="s">
        <v>0</v>
      </c>
      <c r="B474" s="1">
        <v>45578</v>
      </c>
      <c r="C474" t="str">
        <f t="shared" si="108"/>
        <v>44021</v>
      </c>
      <c r="D474" t="s">
        <v>5</v>
      </c>
      <c r="E474" t="str">
        <f t="shared" si="109"/>
        <v>15</v>
      </c>
      <c r="F474">
        <v>481110</v>
      </c>
      <c r="G474">
        <v>309317</v>
      </c>
      <c r="H474">
        <v>9918</v>
      </c>
      <c r="I474" t="str">
        <f t="shared" si="110"/>
        <v>4</v>
      </c>
      <c r="J474" t="str">
        <f t="shared" si="111"/>
        <v>VLAAMS BELANG</v>
      </c>
      <c r="K474">
        <v>23983</v>
      </c>
      <c r="L474">
        <v>11375</v>
      </c>
      <c r="M474">
        <v>35358</v>
      </c>
      <c r="N474">
        <v>2</v>
      </c>
      <c r="O474" t="str">
        <f>("3")</f>
        <v>3</v>
      </c>
      <c r="P474" t="str">
        <f>("De Pauw Jens")</f>
        <v>De Pauw Jens</v>
      </c>
      <c r="Q474">
        <v>3095</v>
      </c>
      <c r="R474">
        <v>2</v>
      </c>
    </row>
    <row r="475" spans="1:19" x14ac:dyDescent="0.3">
      <c r="A475" t="s">
        <v>0</v>
      </c>
      <c r="B475" s="1">
        <v>45578</v>
      </c>
      <c r="C475" t="str">
        <f t="shared" si="108"/>
        <v>44021</v>
      </c>
      <c r="D475" t="s">
        <v>5</v>
      </c>
      <c r="E475" t="str">
        <f t="shared" si="109"/>
        <v>15</v>
      </c>
      <c r="F475">
        <v>481110</v>
      </c>
      <c r="G475">
        <v>309317</v>
      </c>
      <c r="H475">
        <v>9918</v>
      </c>
      <c r="I475" t="str">
        <f t="shared" si="110"/>
        <v>4</v>
      </c>
      <c r="J475" t="str">
        <f t="shared" si="111"/>
        <v>VLAAMS BELANG</v>
      </c>
      <c r="K475">
        <v>23983</v>
      </c>
      <c r="L475">
        <v>11375</v>
      </c>
      <c r="M475">
        <v>35358</v>
      </c>
      <c r="N475">
        <v>2</v>
      </c>
      <c r="O475" t="str">
        <f>("4")</f>
        <v>4</v>
      </c>
      <c r="P475" t="str">
        <f>("Van Hamme Stijn")</f>
        <v>Van Hamme Stijn</v>
      </c>
      <c r="Q475">
        <v>2496</v>
      </c>
      <c r="S475">
        <v>2</v>
      </c>
    </row>
    <row r="476" spans="1:19" x14ac:dyDescent="0.3">
      <c r="A476" t="s">
        <v>0</v>
      </c>
      <c r="B476" s="1">
        <v>45578</v>
      </c>
      <c r="C476" t="str">
        <f t="shared" si="108"/>
        <v>44021</v>
      </c>
      <c r="D476" t="s">
        <v>5</v>
      </c>
      <c r="E476" t="str">
        <f t="shared" si="109"/>
        <v>15</v>
      </c>
      <c r="F476">
        <v>481110</v>
      </c>
      <c r="G476">
        <v>309317</v>
      </c>
      <c r="H476">
        <v>9918</v>
      </c>
      <c r="I476" t="str">
        <f t="shared" si="110"/>
        <v>4</v>
      </c>
      <c r="J476" t="str">
        <f t="shared" si="111"/>
        <v>VLAAMS BELANG</v>
      </c>
      <c r="K476">
        <v>23983</v>
      </c>
      <c r="L476">
        <v>11375</v>
      </c>
      <c r="M476">
        <v>35358</v>
      </c>
      <c r="N476">
        <v>2</v>
      </c>
      <c r="O476" t="str">
        <f>("5")</f>
        <v>5</v>
      </c>
      <c r="P476" t="str">
        <f>("Willems Marnik")</f>
        <v>Willems Marnik</v>
      </c>
      <c r="Q476">
        <v>1939</v>
      </c>
      <c r="S476">
        <v>9</v>
      </c>
    </row>
    <row r="477" spans="1:19" x14ac:dyDescent="0.3">
      <c r="A477" t="s">
        <v>0</v>
      </c>
      <c r="B477" s="1">
        <v>45578</v>
      </c>
      <c r="C477" t="str">
        <f t="shared" si="108"/>
        <v>44021</v>
      </c>
      <c r="D477" t="s">
        <v>5</v>
      </c>
      <c r="E477" t="str">
        <f t="shared" si="109"/>
        <v>15</v>
      </c>
      <c r="F477">
        <v>481110</v>
      </c>
      <c r="G477">
        <v>309317</v>
      </c>
      <c r="H477">
        <v>9918</v>
      </c>
      <c r="I477" t="str">
        <f t="shared" si="110"/>
        <v>4</v>
      </c>
      <c r="J477" t="str">
        <f t="shared" si="111"/>
        <v>VLAAMS BELANG</v>
      </c>
      <c r="K477">
        <v>23983</v>
      </c>
      <c r="L477">
        <v>11375</v>
      </c>
      <c r="M477">
        <v>35358</v>
      </c>
      <c r="N477">
        <v>2</v>
      </c>
      <c r="O477" t="str">
        <f>("6")</f>
        <v>6</v>
      </c>
      <c r="P477" t="str">
        <f>("De Decker Athalia")</f>
        <v>De Decker Athalia</v>
      </c>
      <c r="Q477">
        <v>2014</v>
      </c>
      <c r="S477">
        <v>7</v>
      </c>
    </row>
    <row r="478" spans="1:19" x14ac:dyDescent="0.3">
      <c r="A478" t="s">
        <v>0</v>
      </c>
      <c r="B478" s="1">
        <v>45578</v>
      </c>
      <c r="C478" t="str">
        <f t="shared" si="108"/>
        <v>44021</v>
      </c>
      <c r="D478" t="s">
        <v>5</v>
      </c>
      <c r="E478" t="str">
        <f t="shared" si="109"/>
        <v>15</v>
      </c>
      <c r="F478">
        <v>481110</v>
      </c>
      <c r="G478">
        <v>309317</v>
      </c>
      <c r="H478">
        <v>9918</v>
      </c>
      <c r="I478" t="str">
        <f t="shared" si="110"/>
        <v>4</v>
      </c>
      <c r="J478" t="str">
        <f t="shared" si="111"/>
        <v>VLAAMS BELANG</v>
      </c>
      <c r="K478">
        <v>23983</v>
      </c>
      <c r="L478">
        <v>11375</v>
      </c>
      <c r="M478">
        <v>35358</v>
      </c>
      <c r="N478">
        <v>2</v>
      </c>
      <c r="O478" t="str">
        <f>("7")</f>
        <v>7</v>
      </c>
      <c r="P478" t="str">
        <f>("Persyn Caroline")</f>
        <v>Persyn Caroline</v>
      </c>
      <c r="Q478">
        <v>2416</v>
      </c>
      <c r="S478">
        <v>3</v>
      </c>
    </row>
    <row r="479" spans="1:19" x14ac:dyDescent="0.3">
      <c r="A479" t="s">
        <v>0</v>
      </c>
      <c r="B479" s="1">
        <v>45578</v>
      </c>
      <c r="C479" t="str">
        <f t="shared" si="108"/>
        <v>44021</v>
      </c>
      <c r="D479" t="s">
        <v>5</v>
      </c>
      <c r="E479" t="str">
        <f t="shared" si="109"/>
        <v>15</v>
      </c>
      <c r="F479">
        <v>481110</v>
      </c>
      <c r="G479">
        <v>309317</v>
      </c>
      <c r="H479">
        <v>9918</v>
      </c>
      <c r="I479" t="str">
        <f t="shared" si="110"/>
        <v>4</v>
      </c>
      <c r="J479" t="str">
        <f t="shared" si="111"/>
        <v>VLAAMS BELANG</v>
      </c>
      <c r="K479">
        <v>23983</v>
      </c>
      <c r="L479">
        <v>11375</v>
      </c>
      <c r="M479">
        <v>35358</v>
      </c>
      <c r="N479">
        <v>2</v>
      </c>
      <c r="O479" t="str">
        <f>("8")</f>
        <v>8</v>
      </c>
      <c r="P479" t="str">
        <f>("De Vloed Hendrik")</f>
        <v>De Vloed Hendrik</v>
      </c>
      <c r="Q479">
        <v>1793</v>
      </c>
      <c r="S479">
        <v>10</v>
      </c>
    </row>
    <row r="480" spans="1:19" x14ac:dyDescent="0.3">
      <c r="A480" t="s">
        <v>0</v>
      </c>
      <c r="B480" s="1">
        <v>45578</v>
      </c>
      <c r="C480" t="str">
        <f t="shared" si="108"/>
        <v>44021</v>
      </c>
      <c r="D480" t="s">
        <v>5</v>
      </c>
      <c r="E480" t="str">
        <f t="shared" si="109"/>
        <v>15</v>
      </c>
      <c r="F480">
        <v>481110</v>
      </c>
      <c r="G480">
        <v>309317</v>
      </c>
      <c r="H480">
        <v>9918</v>
      </c>
      <c r="I480" t="str">
        <f t="shared" si="110"/>
        <v>4</v>
      </c>
      <c r="J480" t="str">
        <f t="shared" si="111"/>
        <v>VLAAMS BELANG</v>
      </c>
      <c r="K480">
        <v>23983</v>
      </c>
      <c r="L480">
        <v>11375</v>
      </c>
      <c r="M480">
        <v>35358</v>
      </c>
      <c r="N480">
        <v>2</v>
      </c>
      <c r="O480" t="str">
        <f>("9")</f>
        <v>9</v>
      </c>
      <c r="P480" t="str">
        <f>("Bytebier Katrien")</f>
        <v>Bytebier Katrien</v>
      </c>
      <c r="Q480">
        <v>1950</v>
      </c>
      <c r="S480">
        <v>8</v>
      </c>
    </row>
    <row r="481" spans="1:19" x14ac:dyDescent="0.3">
      <c r="A481" t="s">
        <v>0</v>
      </c>
      <c r="B481" s="1">
        <v>45578</v>
      </c>
      <c r="C481" t="str">
        <f t="shared" si="108"/>
        <v>44021</v>
      </c>
      <c r="D481" t="s">
        <v>5</v>
      </c>
      <c r="E481" t="str">
        <f t="shared" si="109"/>
        <v>15</v>
      </c>
      <c r="F481">
        <v>481110</v>
      </c>
      <c r="G481">
        <v>309317</v>
      </c>
      <c r="H481">
        <v>9918</v>
      </c>
      <c r="I481" t="str">
        <f t="shared" si="110"/>
        <v>4</v>
      </c>
      <c r="J481" t="str">
        <f t="shared" si="111"/>
        <v>VLAAMS BELANG</v>
      </c>
      <c r="K481">
        <v>23983</v>
      </c>
      <c r="L481">
        <v>11375</v>
      </c>
      <c r="M481">
        <v>35358</v>
      </c>
      <c r="N481">
        <v>2</v>
      </c>
      <c r="O481" t="str">
        <f>("10")</f>
        <v>10</v>
      </c>
      <c r="P481" t="str">
        <f>("De Muynck Andy")</f>
        <v>De Muynck Andy</v>
      </c>
      <c r="Q481">
        <v>1753</v>
      </c>
      <c r="S481">
        <v>12</v>
      </c>
    </row>
    <row r="482" spans="1:19" x14ac:dyDescent="0.3">
      <c r="A482" t="s">
        <v>0</v>
      </c>
      <c r="B482" s="1">
        <v>45578</v>
      </c>
      <c r="C482" t="str">
        <f t="shared" si="108"/>
        <v>44021</v>
      </c>
      <c r="D482" t="s">
        <v>5</v>
      </c>
      <c r="E482" t="str">
        <f t="shared" si="109"/>
        <v>15</v>
      </c>
      <c r="F482">
        <v>481110</v>
      </c>
      <c r="G482">
        <v>309317</v>
      </c>
      <c r="H482">
        <v>9918</v>
      </c>
      <c r="I482" t="str">
        <f t="shared" si="110"/>
        <v>4</v>
      </c>
      <c r="J482" t="str">
        <f t="shared" si="111"/>
        <v>VLAAMS BELANG</v>
      </c>
      <c r="K482">
        <v>23983</v>
      </c>
      <c r="L482">
        <v>11375</v>
      </c>
      <c r="M482">
        <v>35358</v>
      </c>
      <c r="N482">
        <v>2</v>
      </c>
      <c r="O482" t="str">
        <f>("11")</f>
        <v>11</v>
      </c>
      <c r="P482" t="str">
        <f>("De Brabander Liesbeth")</f>
        <v>De Brabander Liesbeth</v>
      </c>
      <c r="Q482">
        <v>2044</v>
      </c>
      <c r="S482">
        <v>6</v>
      </c>
    </row>
    <row r="483" spans="1:19" x14ac:dyDescent="0.3">
      <c r="A483" t="s">
        <v>0</v>
      </c>
      <c r="B483" s="1">
        <v>45578</v>
      </c>
      <c r="C483" t="str">
        <f t="shared" si="108"/>
        <v>44021</v>
      </c>
      <c r="D483" t="s">
        <v>5</v>
      </c>
      <c r="E483" t="str">
        <f t="shared" si="109"/>
        <v>15</v>
      </c>
      <c r="F483">
        <v>481110</v>
      </c>
      <c r="G483">
        <v>309317</v>
      </c>
      <c r="H483">
        <v>9918</v>
      </c>
      <c r="I483" t="str">
        <f t="shared" si="110"/>
        <v>4</v>
      </c>
      <c r="J483" t="str">
        <f t="shared" si="111"/>
        <v>VLAAMS BELANG</v>
      </c>
      <c r="K483">
        <v>23983</v>
      </c>
      <c r="L483">
        <v>11375</v>
      </c>
      <c r="M483">
        <v>35358</v>
      </c>
      <c r="N483">
        <v>2</v>
      </c>
      <c r="O483" t="str">
        <f>("12")</f>
        <v>12</v>
      </c>
      <c r="P483" t="str">
        <f>("De Schepper Christa")</f>
        <v>De Schepper Christa</v>
      </c>
      <c r="Q483">
        <v>1786</v>
      </c>
      <c r="S483">
        <v>11</v>
      </c>
    </row>
    <row r="484" spans="1:19" x14ac:dyDescent="0.3">
      <c r="A484" t="s">
        <v>0</v>
      </c>
      <c r="B484" s="1">
        <v>45578</v>
      </c>
      <c r="C484" t="str">
        <f t="shared" si="108"/>
        <v>44021</v>
      </c>
      <c r="D484" t="s">
        <v>5</v>
      </c>
      <c r="E484" t="str">
        <f t="shared" si="109"/>
        <v>15</v>
      </c>
      <c r="F484">
        <v>481110</v>
      </c>
      <c r="G484">
        <v>309317</v>
      </c>
      <c r="H484">
        <v>9918</v>
      </c>
      <c r="I484" t="str">
        <f t="shared" si="110"/>
        <v>4</v>
      </c>
      <c r="J484" t="str">
        <f t="shared" si="111"/>
        <v>VLAAMS BELANG</v>
      </c>
      <c r="K484">
        <v>23983</v>
      </c>
      <c r="L484">
        <v>11375</v>
      </c>
      <c r="M484">
        <v>35358</v>
      </c>
      <c r="N484">
        <v>2</v>
      </c>
      <c r="O484" t="str">
        <f>("13")</f>
        <v>13</v>
      </c>
      <c r="P484" t="str">
        <f>("Verhaert Bart")</f>
        <v>Verhaert Bart</v>
      </c>
      <c r="Q484">
        <v>1685</v>
      </c>
      <c r="S484">
        <v>13</v>
      </c>
    </row>
    <row r="485" spans="1:19" x14ac:dyDescent="0.3">
      <c r="A485" t="s">
        <v>0</v>
      </c>
      <c r="B485" s="1">
        <v>45578</v>
      </c>
      <c r="C485" t="str">
        <f t="shared" si="108"/>
        <v>44021</v>
      </c>
      <c r="D485" t="s">
        <v>5</v>
      </c>
      <c r="E485" t="str">
        <f t="shared" si="109"/>
        <v>15</v>
      </c>
      <c r="F485">
        <v>481110</v>
      </c>
      <c r="G485">
        <v>309317</v>
      </c>
      <c r="H485">
        <v>9918</v>
      </c>
      <c r="I485" t="str">
        <f t="shared" si="110"/>
        <v>4</v>
      </c>
      <c r="J485" t="str">
        <f t="shared" si="111"/>
        <v>VLAAMS BELANG</v>
      </c>
      <c r="K485">
        <v>23983</v>
      </c>
      <c r="L485">
        <v>11375</v>
      </c>
      <c r="M485">
        <v>35358</v>
      </c>
      <c r="N485">
        <v>2</v>
      </c>
      <c r="O485" t="str">
        <f>("14")</f>
        <v>14</v>
      </c>
      <c r="P485" t="str">
        <f>("Bonte Barbara")</f>
        <v>Bonte Barbara</v>
      </c>
      <c r="Q485">
        <v>2247</v>
      </c>
      <c r="S485">
        <v>5</v>
      </c>
    </row>
    <row r="486" spans="1:19" x14ac:dyDescent="0.3">
      <c r="A486" t="s">
        <v>0</v>
      </c>
      <c r="B486" s="1">
        <v>45578</v>
      </c>
      <c r="C486" t="str">
        <f t="shared" si="108"/>
        <v>44021</v>
      </c>
      <c r="D486" t="s">
        <v>5</v>
      </c>
      <c r="E486" t="str">
        <f t="shared" si="109"/>
        <v>15</v>
      </c>
      <c r="F486">
        <v>481110</v>
      </c>
      <c r="G486">
        <v>309317</v>
      </c>
      <c r="H486">
        <v>9918</v>
      </c>
      <c r="I486" t="str">
        <f t="shared" si="110"/>
        <v>4</v>
      </c>
      <c r="J486" t="str">
        <f t="shared" si="111"/>
        <v>VLAAMS BELANG</v>
      </c>
      <c r="K486">
        <v>23983</v>
      </c>
      <c r="L486">
        <v>11375</v>
      </c>
      <c r="M486">
        <v>35358</v>
      </c>
      <c r="N486">
        <v>2</v>
      </c>
      <c r="O486" t="str">
        <f>("15")</f>
        <v>15</v>
      </c>
      <c r="P486" t="str">
        <f>("Depoortere Ortwin")</f>
        <v>Depoortere Ortwin</v>
      </c>
      <c r="Q486">
        <v>2379</v>
      </c>
      <c r="S486">
        <v>4</v>
      </c>
    </row>
    <row r="487" spans="1:19" x14ac:dyDescent="0.3">
      <c r="A487" t="s">
        <v>0</v>
      </c>
      <c r="B487" s="1">
        <v>45578</v>
      </c>
      <c r="C487" t="str">
        <f t="shared" si="108"/>
        <v>44021</v>
      </c>
      <c r="D487" t="s">
        <v>5</v>
      </c>
      <c r="E487" t="str">
        <f t="shared" si="109"/>
        <v>15</v>
      </c>
      <c r="F487">
        <v>481110</v>
      </c>
      <c r="G487">
        <v>309317</v>
      </c>
      <c r="H487">
        <v>9918</v>
      </c>
      <c r="I487" t="str">
        <f t="shared" ref="I487:I501" si="112">("5")</f>
        <v>5</v>
      </c>
      <c r="J487" t="str">
        <f t="shared" ref="J487:J501" si="113">("N-VA")</f>
        <v>N-VA</v>
      </c>
      <c r="K487">
        <v>40616</v>
      </c>
      <c r="L487">
        <v>26486</v>
      </c>
      <c r="M487">
        <v>67102</v>
      </c>
      <c r="N487">
        <v>4</v>
      </c>
      <c r="O487" t="str">
        <f>("1")</f>
        <v>1</v>
      </c>
      <c r="P487" t="str">
        <f>("Moens Kurt")</f>
        <v>Moens Kurt</v>
      </c>
      <c r="Q487">
        <v>9937</v>
      </c>
      <c r="R487">
        <v>1</v>
      </c>
    </row>
    <row r="488" spans="1:19" x14ac:dyDescent="0.3">
      <c r="A488" t="s">
        <v>0</v>
      </c>
      <c r="B488" s="1">
        <v>45578</v>
      </c>
      <c r="C488" t="str">
        <f t="shared" si="108"/>
        <v>44021</v>
      </c>
      <c r="D488" t="s">
        <v>5</v>
      </c>
      <c r="E488" t="str">
        <f t="shared" si="109"/>
        <v>15</v>
      </c>
      <c r="F488">
        <v>481110</v>
      </c>
      <c r="G488">
        <v>309317</v>
      </c>
      <c r="H488">
        <v>9918</v>
      </c>
      <c r="I488" t="str">
        <f t="shared" si="112"/>
        <v>5</v>
      </c>
      <c r="J488" t="str">
        <f t="shared" si="113"/>
        <v>N-VA</v>
      </c>
      <c r="K488">
        <v>40616</v>
      </c>
      <c r="L488">
        <v>26486</v>
      </c>
      <c r="M488">
        <v>67102</v>
      </c>
      <c r="N488">
        <v>4</v>
      </c>
      <c r="O488" t="str">
        <f>("2")</f>
        <v>2</v>
      </c>
      <c r="P488" t="str">
        <f>("Sleurs Elke")</f>
        <v>Sleurs Elke</v>
      </c>
      <c r="Q488">
        <v>9712</v>
      </c>
      <c r="R488">
        <v>3</v>
      </c>
    </row>
    <row r="489" spans="1:19" x14ac:dyDescent="0.3">
      <c r="A489" t="s">
        <v>0</v>
      </c>
      <c r="B489" s="1">
        <v>45578</v>
      </c>
      <c r="C489" t="str">
        <f t="shared" si="108"/>
        <v>44021</v>
      </c>
      <c r="D489" t="s">
        <v>5</v>
      </c>
      <c r="E489" t="str">
        <f t="shared" si="109"/>
        <v>15</v>
      </c>
      <c r="F489">
        <v>481110</v>
      </c>
      <c r="G489">
        <v>309317</v>
      </c>
      <c r="H489">
        <v>9918</v>
      </c>
      <c r="I489" t="str">
        <f t="shared" si="112"/>
        <v>5</v>
      </c>
      <c r="J489" t="str">
        <f t="shared" si="113"/>
        <v>N-VA</v>
      </c>
      <c r="K489">
        <v>40616</v>
      </c>
      <c r="L489">
        <v>26486</v>
      </c>
      <c r="M489">
        <v>67102</v>
      </c>
      <c r="N489">
        <v>4</v>
      </c>
      <c r="O489" t="str">
        <f>("3")</f>
        <v>3</v>
      </c>
      <c r="P489" t="str">
        <f>("Ally Michael")</f>
        <v>Ally Michael</v>
      </c>
      <c r="Q489">
        <v>4644</v>
      </c>
      <c r="R489">
        <v>4</v>
      </c>
    </row>
    <row r="490" spans="1:19" x14ac:dyDescent="0.3">
      <c r="A490" t="s">
        <v>0</v>
      </c>
      <c r="B490" s="1">
        <v>45578</v>
      </c>
      <c r="C490" t="str">
        <f t="shared" si="108"/>
        <v>44021</v>
      </c>
      <c r="D490" t="s">
        <v>5</v>
      </c>
      <c r="E490" t="str">
        <f t="shared" si="109"/>
        <v>15</v>
      </c>
      <c r="F490">
        <v>481110</v>
      </c>
      <c r="G490">
        <v>309317</v>
      </c>
      <c r="H490">
        <v>9918</v>
      </c>
      <c r="I490" t="str">
        <f t="shared" si="112"/>
        <v>5</v>
      </c>
      <c r="J490" t="str">
        <f t="shared" si="113"/>
        <v>N-VA</v>
      </c>
      <c r="K490">
        <v>40616</v>
      </c>
      <c r="L490">
        <v>26486</v>
      </c>
      <c r="M490">
        <v>67102</v>
      </c>
      <c r="N490">
        <v>4</v>
      </c>
      <c r="O490" t="str">
        <f>("4")</f>
        <v>4</v>
      </c>
      <c r="P490" t="str">
        <f>("Rombaut Eva")</f>
        <v>Rombaut Eva</v>
      </c>
      <c r="Q490">
        <v>4082</v>
      </c>
      <c r="S490">
        <v>1</v>
      </c>
    </row>
    <row r="491" spans="1:19" x14ac:dyDescent="0.3">
      <c r="A491" t="s">
        <v>0</v>
      </c>
      <c r="B491" s="1">
        <v>45578</v>
      </c>
      <c r="C491" t="str">
        <f t="shared" ref="C491:C522" si="114">("44021")</f>
        <v>44021</v>
      </c>
      <c r="D491" t="s">
        <v>5</v>
      </c>
      <c r="E491" t="str">
        <f t="shared" ref="E491:E522" si="115">("15")</f>
        <v>15</v>
      </c>
      <c r="F491">
        <v>481110</v>
      </c>
      <c r="G491">
        <v>309317</v>
      </c>
      <c r="H491">
        <v>9918</v>
      </c>
      <c r="I491" t="str">
        <f t="shared" si="112"/>
        <v>5</v>
      </c>
      <c r="J491" t="str">
        <f t="shared" si="113"/>
        <v>N-VA</v>
      </c>
      <c r="K491">
        <v>40616</v>
      </c>
      <c r="L491">
        <v>26486</v>
      </c>
      <c r="M491">
        <v>67102</v>
      </c>
      <c r="N491">
        <v>4</v>
      </c>
      <c r="O491" t="str">
        <f>("5")</f>
        <v>5</v>
      </c>
      <c r="P491" t="str">
        <f>("Van Meirhaeghe Jef")</f>
        <v>Van Meirhaeghe Jef</v>
      </c>
      <c r="Q491">
        <v>2638</v>
      </c>
      <c r="S491">
        <v>8</v>
      </c>
    </row>
    <row r="492" spans="1:19" x14ac:dyDescent="0.3">
      <c r="A492" t="s">
        <v>0</v>
      </c>
      <c r="B492" s="1">
        <v>45578</v>
      </c>
      <c r="C492" t="str">
        <f t="shared" si="114"/>
        <v>44021</v>
      </c>
      <c r="D492" t="s">
        <v>5</v>
      </c>
      <c r="E492" t="str">
        <f t="shared" si="115"/>
        <v>15</v>
      </c>
      <c r="F492">
        <v>481110</v>
      </c>
      <c r="G492">
        <v>309317</v>
      </c>
      <c r="H492">
        <v>9918</v>
      </c>
      <c r="I492" t="str">
        <f t="shared" si="112"/>
        <v>5</v>
      </c>
      <c r="J492" t="str">
        <f t="shared" si="113"/>
        <v>N-VA</v>
      </c>
      <c r="K492">
        <v>40616</v>
      </c>
      <c r="L492">
        <v>26486</v>
      </c>
      <c r="M492">
        <v>67102</v>
      </c>
      <c r="N492">
        <v>4</v>
      </c>
      <c r="O492" t="str">
        <f>("6")</f>
        <v>6</v>
      </c>
      <c r="P492" t="str">
        <f>("Buysse Jolien")</f>
        <v>Buysse Jolien</v>
      </c>
      <c r="Q492">
        <v>3475</v>
      </c>
      <c r="S492">
        <v>3</v>
      </c>
    </row>
    <row r="493" spans="1:19" x14ac:dyDescent="0.3">
      <c r="A493" t="s">
        <v>0</v>
      </c>
      <c r="B493" s="1">
        <v>45578</v>
      </c>
      <c r="C493" t="str">
        <f t="shared" si="114"/>
        <v>44021</v>
      </c>
      <c r="D493" t="s">
        <v>5</v>
      </c>
      <c r="E493" t="str">
        <f t="shared" si="115"/>
        <v>15</v>
      </c>
      <c r="F493">
        <v>481110</v>
      </c>
      <c r="G493">
        <v>309317</v>
      </c>
      <c r="H493">
        <v>9918</v>
      </c>
      <c r="I493" t="str">
        <f t="shared" si="112"/>
        <v>5</v>
      </c>
      <c r="J493" t="str">
        <f t="shared" si="113"/>
        <v>N-VA</v>
      </c>
      <c r="K493">
        <v>40616</v>
      </c>
      <c r="L493">
        <v>26486</v>
      </c>
      <c r="M493">
        <v>67102</v>
      </c>
      <c r="N493">
        <v>4</v>
      </c>
      <c r="O493" t="str">
        <f>("7")</f>
        <v>7</v>
      </c>
      <c r="P493" t="str">
        <f>("Ryckaert Brecht")</f>
        <v>Ryckaert Brecht</v>
      </c>
      <c r="Q493">
        <v>2386</v>
      </c>
      <c r="S493">
        <v>10</v>
      </c>
    </row>
    <row r="494" spans="1:19" x14ac:dyDescent="0.3">
      <c r="A494" t="s">
        <v>0</v>
      </c>
      <c r="B494" s="1">
        <v>45578</v>
      </c>
      <c r="C494" t="str">
        <f t="shared" si="114"/>
        <v>44021</v>
      </c>
      <c r="D494" t="s">
        <v>5</v>
      </c>
      <c r="E494" t="str">
        <f t="shared" si="115"/>
        <v>15</v>
      </c>
      <c r="F494">
        <v>481110</v>
      </c>
      <c r="G494">
        <v>309317</v>
      </c>
      <c r="H494">
        <v>9918</v>
      </c>
      <c r="I494" t="str">
        <f t="shared" si="112"/>
        <v>5</v>
      </c>
      <c r="J494" t="str">
        <f t="shared" si="113"/>
        <v>N-VA</v>
      </c>
      <c r="K494">
        <v>40616</v>
      </c>
      <c r="L494">
        <v>26486</v>
      </c>
      <c r="M494">
        <v>67102</v>
      </c>
      <c r="N494">
        <v>4</v>
      </c>
      <c r="O494" t="str">
        <f>("8")</f>
        <v>8</v>
      </c>
      <c r="P494" t="str">
        <f>("Van den Bulke Marieke")</f>
        <v>Van den Bulke Marieke</v>
      </c>
      <c r="Q494">
        <v>3095</v>
      </c>
      <c r="S494">
        <v>5</v>
      </c>
    </row>
    <row r="495" spans="1:19" x14ac:dyDescent="0.3">
      <c r="A495" t="s">
        <v>0</v>
      </c>
      <c r="B495" s="1">
        <v>45578</v>
      </c>
      <c r="C495" t="str">
        <f t="shared" si="114"/>
        <v>44021</v>
      </c>
      <c r="D495" t="s">
        <v>5</v>
      </c>
      <c r="E495" t="str">
        <f t="shared" si="115"/>
        <v>15</v>
      </c>
      <c r="F495">
        <v>481110</v>
      </c>
      <c r="G495">
        <v>309317</v>
      </c>
      <c r="H495">
        <v>9918</v>
      </c>
      <c r="I495" t="str">
        <f t="shared" si="112"/>
        <v>5</v>
      </c>
      <c r="J495" t="str">
        <f t="shared" si="113"/>
        <v>N-VA</v>
      </c>
      <c r="K495">
        <v>40616</v>
      </c>
      <c r="L495">
        <v>26486</v>
      </c>
      <c r="M495">
        <v>67102</v>
      </c>
      <c r="N495">
        <v>4</v>
      </c>
      <c r="O495" t="str">
        <f>("9")</f>
        <v>9</v>
      </c>
      <c r="P495" t="str">
        <f>("Derweduwen Teis")</f>
        <v>Derweduwen Teis</v>
      </c>
      <c r="Q495">
        <v>2447</v>
      </c>
      <c r="S495">
        <v>9</v>
      </c>
    </row>
    <row r="496" spans="1:19" x14ac:dyDescent="0.3">
      <c r="A496" t="s">
        <v>0</v>
      </c>
      <c r="B496" s="1">
        <v>45578</v>
      </c>
      <c r="C496" t="str">
        <f t="shared" si="114"/>
        <v>44021</v>
      </c>
      <c r="D496" t="s">
        <v>5</v>
      </c>
      <c r="E496" t="str">
        <f t="shared" si="115"/>
        <v>15</v>
      </c>
      <c r="F496">
        <v>481110</v>
      </c>
      <c r="G496">
        <v>309317</v>
      </c>
      <c r="H496">
        <v>9918</v>
      </c>
      <c r="I496" t="str">
        <f t="shared" si="112"/>
        <v>5</v>
      </c>
      <c r="J496" t="str">
        <f t="shared" si="113"/>
        <v>N-VA</v>
      </c>
      <c r="K496">
        <v>40616</v>
      </c>
      <c r="L496">
        <v>26486</v>
      </c>
      <c r="M496">
        <v>67102</v>
      </c>
      <c r="N496">
        <v>4</v>
      </c>
      <c r="O496" t="str">
        <f>("10")</f>
        <v>10</v>
      </c>
      <c r="P496" t="str">
        <f>("De Smet Karolien")</f>
        <v>De Smet Karolien</v>
      </c>
      <c r="Q496">
        <v>3104</v>
      </c>
      <c r="S496">
        <v>4</v>
      </c>
    </row>
    <row r="497" spans="1:19" x14ac:dyDescent="0.3">
      <c r="A497" t="s">
        <v>0</v>
      </c>
      <c r="B497" s="1">
        <v>45578</v>
      </c>
      <c r="C497" t="str">
        <f t="shared" si="114"/>
        <v>44021</v>
      </c>
      <c r="D497" t="s">
        <v>5</v>
      </c>
      <c r="E497" t="str">
        <f t="shared" si="115"/>
        <v>15</v>
      </c>
      <c r="F497">
        <v>481110</v>
      </c>
      <c r="G497">
        <v>309317</v>
      </c>
      <c r="H497">
        <v>9918</v>
      </c>
      <c r="I497" t="str">
        <f t="shared" si="112"/>
        <v>5</v>
      </c>
      <c r="J497" t="str">
        <f t="shared" si="113"/>
        <v>N-VA</v>
      </c>
      <c r="K497">
        <v>40616</v>
      </c>
      <c r="L497">
        <v>26486</v>
      </c>
      <c r="M497">
        <v>67102</v>
      </c>
      <c r="N497">
        <v>4</v>
      </c>
      <c r="O497" t="str">
        <f>("11")</f>
        <v>11</v>
      </c>
      <c r="P497" t="str">
        <f>("Fourneau Gautier")</f>
        <v>Fourneau Gautier</v>
      </c>
      <c r="Q497">
        <v>2056</v>
      </c>
      <c r="S497">
        <v>11</v>
      </c>
    </row>
    <row r="498" spans="1:19" x14ac:dyDescent="0.3">
      <c r="A498" t="s">
        <v>0</v>
      </c>
      <c r="B498" s="1">
        <v>45578</v>
      </c>
      <c r="C498" t="str">
        <f t="shared" si="114"/>
        <v>44021</v>
      </c>
      <c r="D498" t="s">
        <v>5</v>
      </c>
      <c r="E498" t="str">
        <f t="shared" si="115"/>
        <v>15</v>
      </c>
      <c r="F498">
        <v>481110</v>
      </c>
      <c r="G498">
        <v>309317</v>
      </c>
      <c r="H498">
        <v>9918</v>
      </c>
      <c r="I498" t="str">
        <f t="shared" si="112"/>
        <v>5</v>
      </c>
      <c r="J498" t="str">
        <f t="shared" si="113"/>
        <v>N-VA</v>
      </c>
      <c r="K498">
        <v>40616</v>
      </c>
      <c r="L498">
        <v>26486</v>
      </c>
      <c r="M498">
        <v>67102</v>
      </c>
      <c r="N498">
        <v>4</v>
      </c>
      <c r="O498" t="str">
        <f>("12")</f>
        <v>12</v>
      </c>
      <c r="P498" t="str">
        <f>("De Frenne Sabine")</f>
        <v>De Frenne Sabine</v>
      </c>
      <c r="Q498">
        <v>2734</v>
      </c>
      <c r="S498">
        <v>7</v>
      </c>
    </row>
    <row r="499" spans="1:19" x14ac:dyDescent="0.3">
      <c r="A499" t="s">
        <v>0</v>
      </c>
      <c r="B499" s="1">
        <v>45578</v>
      </c>
      <c r="C499" t="str">
        <f t="shared" si="114"/>
        <v>44021</v>
      </c>
      <c r="D499" t="s">
        <v>5</v>
      </c>
      <c r="E499" t="str">
        <f t="shared" si="115"/>
        <v>15</v>
      </c>
      <c r="F499">
        <v>481110</v>
      </c>
      <c r="G499">
        <v>309317</v>
      </c>
      <c r="H499">
        <v>9918</v>
      </c>
      <c r="I499" t="str">
        <f t="shared" si="112"/>
        <v>5</v>
      </c>
      <c r="J499" t="str">
        <f t="shared" si="113"/>
        <v>N-VA</v>
      </c>
      <c r="K499">
        <v>40616</v>
      </c>
      <c r="L499">
        <v>26486</v>
      </c>
      <c r="M499">
        <v>67102</v>
      </c>
      <c r="N499">
        <v>4</v>
      </c>
      <c r="O499" t="str">
        <f>("13")</f>
        <v>13</v>
      </c>
      <c r="P499" t="str">
        <f>("De Vis Rik")</f>
        <v>De Vis Rik</v>
      </c>
      <c r="Q499">
        <v>2861</v>
      </c>
      <c r="S499">
        <v>6</v>
      </c>
    </row>
    <row r="500" spans="1:19" x14ac:dyDescent="0.3">
      <c r="A500" t="s">
        <v>0</v>
      </c>
      <c r="B500" s="1">
        <v>45578</v>
      </c>
      <c r="C500" t="str">
        <f t="shared" si="114"/>
        <v>44021</v>
      </c>
      <c r="D500" t="s">
        <v>5</v>
      </c>
      <c r="E500" t="str">
        <f t="shared" si="115"/>
        <v>15</v>
      </c>
      <c r="F500">
        <v>481110</v>
      </c>
      <c r="G500">
        <v>309317</v>
      </c>
      <c r="H500">
        <v>9918</v>
      </c>
      <c r="I500" t="str">
        <f t="shared" si="112"/>
        <v>5</v>
      </c>
      <c r="J500" t="str">
        <f t="shared" si="113"/>
        <v>N-VA</v>
      </c>
      <c r="K500">
        <v>40616</v>
      </c>
      <c r="L500">
        <v>26486</v>
      </c>
      <c r="M500">
        <v>67102</v>
      </c>
      <c r="N500">
        <v>4</v>
      </c>
      <c r="O500" t="str">
        <f>("14")</f>
        <v>14</v>
      </c>
      <c r="P500" t="str">
        <f>("Vermeulen Sabine")</f>
        <v>Vermeulen Sabine</v>
      </c>
      <c r="Q500">
        <v>4034</v>
      </c>
      <c r="S500">
        <v>2</v>
      </c>
    </row>
    <row r="501" spans="1:19" x14ac:dyDescent="0.3">
      <c r="A501" t="s">
        <v>0</v>
      </c>
      <c r="B501" s="1">
        <v>45578</v>
      </c>
      <c r="C501" t="str">
        <f t="shared" si="114"/>
        <v>44021</v>
      </c>
      <c r="D501" t="s">
        <v>5</v>
      </c>
      <c r="E501" t="str">
        <f t="shared" si="115"/>
        <v>15</v>
      </c>
      <c r="F501">
        <v>481110</v>
      </c>
      <c r="G501">
        <v>309317</v>
      </c>
      <c r="H501">
        <v>9918</v>
      </c>
      <c r="I501" t="str">
        <f t="shared" si="112"/>
        <v>5</v>
      </c>
      <c r="J501" t="str">
        <f t="shared" si="113"/>
        <v>N-VA</v>
      </c>
      <c r="K501">
        <v>40616</v>
      </c>
      <c r="L501">
        <v>26486</v>
      </c>
      <c r="M501">
        <v>67102</v>
      </c>
      <c r="N501">
        <v>4</v>
      </c>
      <c r="O501" t="str">
        <f>("15")</f>
        <v>15</v>
      </c>
      <c r="P501" t="str">
        <f>("Diependaele Matthias")</f>
        <v>Diependaele Matthias</v>
      </c>
      <c r="Q501">
        <v>9861</v>
      </c>
      <c r="R501">
        <v>2</v>
      </c>
    </row>
    <row r="502" spans="1:19" x14ac:dyDescent="0.3">
      <c r="A502" t="s">
        <v>0</v>
      </c>
      <c r="B502" s="1">
        <v>45578</v>
      </c>
      <c r="C502" t="str">
        <f t="shared" si="114"/>
        <v>44021</v>
      </c>
      <c r="D502" t="s">
        <v>5</v>
      </c>
      <c r="E502" t="str">
        <f t="shared" si="115"/>
        <v>15</v>
      </c>
      <c r="F502">
        <v>481110</v>
      </c>
      <c r="G502">
        <v>309317</v>
      </c>
      <c r="H502">
        <v>9918</v>
      </c>
      <c r="I502" t="str">
        <f t="shared" ref="I502:I516" si="116">("6")</f>
        <v>6</v>
      </c>
      <c r="J502" t="str">
        <f t="shared" ref="J502:J516" si="117">("Open Vld")</f>
        <v>Open Vld</v>
      </c>
      <c r="K502">
        <v>15684</v>
      </c>
      <c r="L502">
        <v>17965</v>
      </c>
      <c r="M502">
        <v>33649</v>
      </c>
      <c r="N502">
        <v>2</v>
      </c>
      <c r="O502" t="str">
        <f>("1")</f>
        <v>1</v>
      </c>
      <c r="P502" t="str">
        <f>("De Decker Carl")</f>
        <v>De Decker Carl</v>
      </c>
      <c r="Q502">
        <v>4668</v>
      </c>
      <c r="R502">
        <v>2</v>
      </c>
    </row>
    <row r="503" spans="1:19" x14ac:dyDescent="0.3">
      <c r="A503" t="s">
        <v>0</v>
      </c>
      <c r="B503" s="1">
        <v>45578</v>
      </c>
      <c r="C503" t="str">
        <f t="shared" si="114"/>
        <v>44021</v>
      </c>
      <c r="D503" t="s">
        <v>5</v>
      </c>
      <c r="E503" t="str">
        <f t="shared" si="115"/>
        <v>15</v>
      </c>
      <c r="F503">
        <v>481110</v>
      </c>
      <c r="G503">
        <v>309317</v>
      </c>
      <c r="H503">
        <v>9918</v>
      </c>
      <c r="I503" t="str">
        <f t="shared" si="116"/>
        <v>6</v>
      </c>
      <c r="J503" t="str">
        <f t="shared" si="117"/>
        <v>Open Vld</v>
      </c>
      <c r="K503">
        <v>15684</v>
      </c>
      <c r="L503">
        <v>17965</v>
      </c>
      <c r="M503">
        <v>33649</v>
      </c>
      <c r="N503">
        <v>2</v>
      </c>
      <c r="O503" t="str">
        <f>("2")</f>
        <v>2</v>
      </c>
      <c r="P503" t="str">
        <f>("Verhoeve Martine")</f>
        <v>Verhoeve Martine</v>
      </c>
      <c r="Q503">
        <v>2924</v>
      </c>
      <c r="S503">
        <v>1</v>
      </c>
    </row>
    <row r="504" spans="1:19" x14ac:dyDescent="0.3">
      <c r="A504" t="s">
        <v>0</v>
      </c>
      <c r="B504" s="1">
        <v>45578</v>
      </c>
      <c r="C504" t="str">
        <f t="shared" si="114"/>
        <v>44021</v>
      </c>
      <c r="D504" t="s">
        <v>5</v>
      </c>
      <c r="E504" t="str">
        <f t="shared" si="115"/>
        <v>15</v>
      </c>
      <c r="F504">
        <v>481110</v>
      </c>
      <c r="G504">
        <v>309317</v>
      </c>
      <c r="H504">
        <v>9918</v>
      </c>
      <c r="I504" t="str">
        <f t="shared" si="116"/>
        <v>6</v>
      </c>
      <c r="J504" t="str">
        <f t="shared" si="117"/>
        <v>Open Vld</v>
      </c>
      <c r="K504">
        <v>15684</v>
      </c>
      <c r="L504">
        <v>17965</v>
      </c>
      <c r="M504">
        <v>33649</v>
      </c>
      <c r="N504">
        <v>2</v>
      </c>
      <c r="O504" t="str">
        <f>("3")</f>
        <v>3</v>
      </c>
      <c r="P504" t="str">
        <f>("De Grauwe Tom")</f>
        <v>De Grauwe Tom</v>
      </c>
      <c r="Q504">
        <v>2323</v>
      </c>
      <c r="S504">
        <v>2</v>
      </c>
    </row>
    <row r="505" spans="1:19" x14ac:dyDescent="0.3">
      <c r="A505" t="s">
        <v>0</v>
      </c>
      <c r="B505" s="1">
        <v>45578</v>
      </c>
      <c r="C505" t="str">
        <f t="shared" si="114"/>
        <v>44021</v>
      </c>
      <c r="D505" t="s">
        <v>5</v>
      </c>
      <c r="E505" t="str">
        <f t="shared" si="115"/>
        <v>15</v>
      </c>
      <c r="F505">
        <v>481110</v>
      </c>
      <c r="G505">
        <v>309317</v>
      </c>
      <c r="H505">
        <v>9918</v>
      </c>
      <c r="I505" t="str">
        <f t="shared" si="116"/>
        <v>6</v>
      </c>
      <c r="J505" t="str">
        <f t="shared" si="117"/>
        <v>Open Vld</v>
      </c>
      <c r="K505">
        <v>15684</v>
      </c>
      <c r="L505">
        <v>17965</v>
      </c>
      <c r="M505">
        <v>33649</v>
      </c>
      <c r="N505">
        <v>2</v>
      </c>
      <c r="O505" t="str">
        <f>("4")</f>
        <v>4</v>
      </c>
      <c r="P505" t="str">
        <f>("Mornie-Bottequin Pascale")</f>
        <v>Mornie-Bottequin Pascale</v>
      </c>
      <c r="Q505">
        <v>2016</v>
      </c>
      <c r="S505">
        <v>3</v>
      </c>
    </row>
    <row r="506" spans="1:19" x14ac:dyDescent="0.3">
      <c r="A506" t="s">
        <v>0</v>
      </c>
      <c r="B506" s="1">
        <v>45578</v>
      </c>
      <c r="C506" t="str">
        <f t="shared" si="114"/>
        <v>44021</v>
      </c>
      <c r="D506" t="s">
        <v>5</v>
      </c>
      <c r="E506" t="str">
        <f t="shared" si="115"/>
        <v>15</v>
      </c>
      <c r="F506">
        <v>481110</v>
      </c>
      <c r="G506">
        <v>309317</v>
      </c>
      <c r="H506">
        <v>9918</v>
      </c>
      <c r="I506" t="str">
        <f t="shared" si="116"/>
        <v>6</v>
      </c>
      <c r="J506" t="str">
        <f t="shared" si="117"/>
        <v>Open Vld</v>
      </c>
      <c r="K506">
        <v>15684</v>
      </c>
      <c r="L506">
        <v>17965</v>
      </c>
      <c r="M506">
        <v>33649</v>
      </c>
      <c r="N506">
        <v>2</v>
      </c>
      <c r="O506" t="str">
        <f>("5")</f>
        <v>5</v>
      </c>
      <c r="P506" t="str">
        <f>("Vercauteren David")</f>
        <v>Vercauteren David</v>
      </c>
      <c r="Q506">
        <v>1519</v>
      </c>
      <c r="S506">
        <v>6</v>
      </c>
    </row>
    <row r="507" spans="1:19" x14ac:dyDescent="0.3">
      <c r="A507" t="s">
        <v>0</v>
      </c>
      <c r="B507" s="1">
        <v>45578</v>
      </c>
      <c r="C507" t="str">
        <f t="shared" si="114"/>
        <v>44021</v>
      </c>
      <c r="D507" t="s">
        <v>5</v>
      </c>
      <c r="E507" t="str">
        <f t="shared" si="115"/>
        <v>15</v>
      </c>
      <c r="F507">
        <v>481110</v>
      </c>
      <c r="G507">
        <v>309317</v>
      </c>
      <c r="H507">
        <v>9918</v>
      </c>
      <c r="I507" t="str">
        <f t="shared" si="116"/>
        <v>6</v>
      </c>
      <c r="J507" t="str">
        <f t="shared" si="117"/>
        <v>Open Vld</v>
      </c>
      <c r="K507">
        <v>15684</v>
      </c>
      <c r="L507">
        <v>17965</v>
      </c>
      <c r="M507">
        <v>33649</v>
      </c>
      <c r="N507">
        <v>2</v>
      </c>
      <c r="O507" t="str">
        <f>("6")</f>
        <v>6</v>
      </c>
      <c r="P507" t="str">
        <f>("Castelain Siska")</f>
        <v>Castelain Siska</v>
      </c>
      <c r="Q507">
        <v>1668</v>
      </c>
      <c r="S507">
        <v>4</v>
      </c>
    </row>
    <row r="508" spans="1:19" x14ac:dyDescent="0.3">
      <c r="A508" t="s">
        <v>0</v>
      </c>
      <c r="B508" s="1">
        <v>45578</v>
      </c>
      <c r="C508" t="str">
        <f t="shared" si="114"/>
        <v>44021</v>
      </c>
      <c r="D508" t="s">
        <v>5</v>
      </c>
      <c r="E508" t="str">
        <f t="shared" si="115"/>
        <v>15</v>
      </c>
      <c r="F508">
        <v>481110</v>
      </c>
      <c r="G508">
        <v>309317</v>
      </c>
      <c r="H508">
        <v>9918</v>
      </c>
      <c r="I508" t="str">
        <f t="shared" si="116"/>
        <v>6</v>
      </c>
      <c r="J508" t="str">
        <f t="shared" si="117"/>
        <v>Open Vld</v>
      </c>
      <c r="K508">
        <v>15684</v>
      </c>
      <c r="L508">
        <v>17965</v>
      </c>
      <c r="M508">
        <v>33649</v>
      </c>
      <c r="N508">
        <v>2</v>
      </c>
      <c r="O508" t="str">
        <f>("7")</f>
        <v>7</v>
      </c>
      <c r="P508" t="str">
        <f>("Moens Johan")</f>
        <v>Moens Johan</v>
      </c>
      <c r="Q508">
        <v>859</v>
      </c>
      <c r="S508">
        <v>13</v>
      </c>
    </row>
    <row r="509" spans="1:19" x14ac:dyDescent="0.3">
      <c r="A509" t="s">
        <v>0</v>
      </c>
      <c r="B509" s="1">
        <v>45578</v>
      </c>
      <c r="C509" t="str">
        <f t="shared" si="114"/>
        <v>44021</v>
      </c>
      <c r="D509" t="s">
        <v>5</v>
      </c>
      <c r="E509" t="str">
        <f t="shared" si="115"/>
        <v>15</v>
      </c>
      <c r="F509">
        <v>481110</v>
      </c>
      <c r="G509">
        <v>309317</v>
      </c>
      <c r="H509">
        <v>9918</v>
      </c>
      <c r="I509" t="str">
        <f t="shared" si="116"/>
        <v>6</v>
      </c>
      <c r="J509" t="str">
        <f t="shared" si="117"/>
        <v>Open Vld</v>
      </c>
      <c r="K509">
        <v>15684</v>
      </c>
      <c r="L509">
        <v>17965</v>
      </c>
      <c r="M509">
        <v>33649</v>
      </c>
      <c r="N509">
        <v>2</v>
      </c>
      <c r="O509" t="str">
        <f>("8")</f>
        <v>8</v>
      </c>
      <c r="P509" t="str">
        <f>("Van Ginderachter Lien")</f>
        <v>Van Ginderachter Lien</v>
      </c>
      <c r="Q509">
        <v>1261</v>
      </c>
      <c r="S509">
        <v>8</v>
      </c>
    </row>
    <row r="510" spans="1:19" x14ac:dyDescent="0.3">
      <c r="A510" t="s">
        <v>0</v>
      </c>
      <c r="B510" s="1">
        <v>45578</v>
      </c>
      <c r="C510" t="str">
        <f t="shared" si="114"/>
        <v>44021</v>
      </c>
      <c r="D510" t="s">
        <v>5</v>
      </c>
      <c r="E510" t="str">
        <f t="shared" si="115"/>
        <v>15</v>
      </c>
      <c r="F510">
        <v>481110</v>
      </c>
      <c r="G510">
        <v>309317</v>
      </c>
      <c r="H510">
        <v>9918</v>
      </c>
      <c r="I510" t="str">
        <f t="shared" si="116"/>
        <v>6</v>
      </c>
      <c r="J510" t="str">
        <f t="shared" si="117"/>
        <v>Open Vld</v>
      </c>
      <c r="K510">
        <v>15684</v>
      </c>
      <c r="L510">
        <v>17965</v>
      </c>
      <c r="M510">
        <v>33649</v>
      </c>
      <c r="N510">
        <v>2</v>
      </c>
      <c r="O510" t="str">
        <f>("9")</f>
        <v>9</v>
      </c>
      <c r="P510" t="str">
        <f>("Jordens Valerie")</f>
        <v>Jordens Valerie</v>
      </c>
      <c r="Q510">
        <v>1071</v>
      </c>
      <c r="S510">
        <v>10</v>
      </c>
    </row>
    <row r="511" spans="1:19" x14ac:dyDescent="0.3">
      <c r="A511" t="s">
        <v>0</v>
      </c>
      <c r="B511" s="1">
        <v>45578</v>
      </c>
      <c r="C511" t="str">
        <f t="shared" si="114"/>
        <v>44021</v>
      </c>
      <c r="D511" t="s">
        <v>5</v>
      </c>
      <c r="E511" t="str">
        <f t="shared" si="115"/>
        <v>15</v>
      </c>
      <c r="F511">
        <v>481110</v>
      </c>
      <c r="G511">
        <v>309317</v>
      </c>
      <c r="H511">
        <v>9918</v>
      </c>
      <c r="I511" t="str">
        <f t="shared" si="116"/>
        <v>6</v>
      </c>
      <c r="J511" t="str">
        <f t="shared" si="117"/>
        <v>Open Vld</v>
      </c>
      <c r="K511">
        <v>15684</v>
      </c>
      <c r="L511">
        <v>17965</v>
      </c>
      <c r="M511">
        <v>33649</v>
      </c>
      <c r="N511">
        <v>2</v>
      </c>
      <c r="O511" t="str">
        <f>("10")</f>
        <v>10</v>
      </c>
      <c r="P511" t="str">
        <f>("De Smet Hilda")</f>
        <v>De Smet Hilda</v>
      </c>
      <c r="Q511">
        <v>1201</v>
      </c>
      <c r="S511">
        <v>9</v>
      </c>
    </row>
    <row r="512" spans="1:19" x14ac:dyDescent="0.3">
      <c r="A512" t="s">
        <v>0</v>
      </c>
      <c r="B512" s="1">
        <v>45578</v>
      </c>
      <c r="C512" t="str">
        <f t="shared" si="114"/>
        <v>44021</v>
      </c>
      <c r="D512" t="s">
        <v>5</v>
      </c>
      <c r="E512" t="str">
        <f t="shared" si="115"/>
        <v>15</v>
      </c>
      <c r="F512">
        <v>481110</v>
      </c>
      <c r="G512">
        <v>309317</v>
      </c>
      <c r="H512">
        <v>9918</v>
      </c>
      <c r="I512" t="str">
        <f t="shared" si="116"/>
        <v>6</v>
      </c>
      <c r="J512" t="str">
        <f t="shared" si="117"/>
        <v>Open Vld</v>
      </c>
      <c r="K512">
        <v>15684</v>
      </c>
      <c r="L512">
        <v>17965</v>
      </c>
      <c r="M512">
        <v>33649</v>
      </c>
      <c r="N512">
        <v>2</v>
      </c>
      <c r="O512" t="str">
        <f>("11")</f>
        <v>11</v>
      </c>
      <c r="P512" t="str">
        <f>("Lammertyn Noémie")</f>
        <v>Lammertyn Noémie</v>
      </c>
      <c r="Q512">
        <v>1520</v>
      </c>
      <c r="S512">
        <v>5</v>
      </c>
    </row>
    <row r="513" spans="1:19" x14ac:dyDescent="0.3">
      <c r="A513" t="s">
        <v>0</v>
      </c>
      <c r="B513" s="1">
        <v>45578</v>
      </c>
      <c r="C513" t="str">
        <f t="shared" si="114"/>
        <v>44021</v>
      </c>
      <c r="D513" t="s">
        <v>5</v>
      </c>
      <c r="E513" t="str">
        <f t="shared" si="115"/>
        <v>15</v>
      </c>
      <c r="F513">
        <v>481110</v>
      </c>
      <c r="G513">
        <v>309317</v>
      </c>
      <c r="H513">
        <v>9918</v>
      </c>
      <c r="I513" t="str">
        <f t="shared" si="116"/>
        <v>6</v>
      </c>
      <c r="J513" t="str">
        <f t="shared" si="117"/>
        <v>Open Vld</v>
      </c>
      <c r="K513">
        <v>15684</v>
      </c>
      <c r="L513">
        <v>17965</v>
      </c>
      <c r="M513">
        <v>33649</v>
      </c>
      <c r="N513">
        <v>2</v>
      </c>
      <c r="O513" t="str">
        <f>("12")</f>
        <v>12</v>
      </c>
      <c r="P513" t="str">
        <f>("Vandepitte Tom")</f>
        <v>Vandepitte Tom</v>
      </c>
      <c r="Q513">
        <v>1413</v>
      </c>
      <c r="S513">
        <v>7</v>
      </c>
    </row>
    <row r="514" spans="1:19" x14ac:dyDescent="0.3">
      <c r="A514" t="s">
        <v>0</v>
      </c>
      <c r="B514" s="1">
        <v>45578</v>
      </c>
      <c r="C514" t="str">
        <f t="shared" si="114"/>
        <v>44021</v>
      </c>
      <c r="D514" t="s">
        <v>5</v>
      </c>
      <c r="E514" t="str">
        <f t="shared" si="115"/>
        <v>15</v>
      </c>
      <c r="F514">
        <v>481110</v>
      </c>
      <c r="G514">
        <v>309317</v>
      </c>
      <c r="H514">
        <v>9918</v>
      </c>
      <c r="I514" t="str">
        <f t="shared" si="116"/>
        <v>6</v>
      </c>
      <c r="J514" t="str">
        <f t="shared" si="117"/>
        <v>Open Vld</v>
      </c>
      <c r="K514">
        <v>15684</v>
      </c>
      <c r="L514">
        <v>17965</v>
      </c>
      <c r="M514">
        <v>33649</v>
      </c>
      <c r="N514">
        <v>2</v>
      </c>
      <c r="O514" t="str">
        <f>("13")</f>
        <v>13</v>
      </c>
      <c r="P514" t="str">
        <f>("Geevels Jurgen")</f>
        <v>Geevels Jurgen</v>
      </c>
      <c r="Q514">
        <v>945</v>
      </c>
      <c r="S514">
        <v>12</v>
      </c>
    </row>
    <row r="515" spans="1:19" x14ac:dyDescent="0.3">
      <c r="A515" t="s">
        <v>0</v>
      </c>
      <c r="B515" s="1">
        <v>45578</v>
      </c>
      <c r="C515" t="str">
        <f t="shared" si="114"/>
        <v>44021</v>
      </c>
      <c r="D515" t="s">
        <v>5</v>
      </c>
      <c r="E515" t="str">
        <f t="shared" si="115"/>
        <v>15</v>
      </c>
      <c r="F515">
        <v>481110</v>
      </c>
      <c r="G515">
        <v>309317</v>
      </c>
      <c r="H515">
        <v>9918</v>
      </c>
      <c r="I515" t="str">
        <f t="shared" si="116"/>
        <v>6</v>
      </c>
      <c r="J515" t="str">
        <f t="shared" si="117"/>
        <v>Open Vld</v>
      </c>
      <c r="K515">
        <v>15684</v>
      </c>
      <c r="L515">
        <v>17965</v>
      </c>
      <c r="M515">
        <v>33649</v>
      </c>
      <c r="N515">
        <v>2</v>
      </c>
      <c r="O515" t="str">
        <f>("14")</f>
        <v>14</v>
      </c>
      <c r="P515" t="str">
        <f>("De Vriese Jürgen")</f>
        <v>De Vriese Jürgen</v>
      </c>
      <c r="Q515">
        <v>1044</v>
      </c>
      <c r="S515">
        <v>11</v>
      </c>
    </row>
    <row r="516" spans="1:19" x14ac:dyDescent="0.3">
      <c r="A516" t="s">
        <v>0</v>
      </c>
      <c r="B516" s="1">
        <v>45578</v>
      </c>
      <c r="C516" t="str">
        <f t="shared" si="114"/>
        <v>44021</v>
      </c>
      <c r="D516" t="s">
        <v>5</v>
      </c>
      <c r="E516" t="str">
        <f t="shared" si="115"/>
        <v>15</v>
      </c>
      <c r="F516">
        <v>481110</v>
      </c>
      <c r="G516">
        <v>309317</v>
      </c>
      <c r="H516">
        <v>9918</v>
      </c>
      <c r="I516" t="str">
        <f t="shared" si="116"/>
        <v>6</v>
      </c>
      <c r="J516" t="str">
        <f t="shared" si="117"/>
        <v>Open Vld</v>
      </c>
      <c r="K516">
        <v>15684</v>
      </c>
      <c r="L516">
        <v>17965</v>
      </c>
      <c r="M516">
        <v>33649</v>
      </c>
      <c r="N516">
        <v>2</v>
      </c>
      <c r="O516" t="str">
        <f>("15")</f>
        <v>15</v>
      </c>
      <c r="P516" t="str">
        <f>("De Croo Alexander")</f>
        <v>De Croo Alexander</v>
      </c>
      <c r="Q516">
        <v>10546</v>
      </c>
      <c r="R516">
        <v>1</v>
      </c>
    </row>
    <row r="517" spans="1:19" x14ac:dyDescent="0.3">
      <c r="A517" t="s">
        <v>0</v>
      </c>
      <c r="B517" s="1">
        <v>45578</v>
      </c>
      <c r="C517" t="str">
        <f t="shared" si="114"/>
        <v>44021</v>
      </c>
      <c r="D517" t="s">
        <v>5</v>
      </c>
      <c r="E517" t="str">
        <f t="shared" si="115"/>
        <v>15</v>
      </c>
      <c r="F517">
        <v>481110</v>
      </c>
      <c r="G517">
        <v>309317</v>
      </c>
      <c r="H517">
        <v>9918</v>
      </c>
      <c r="I517" t="str">
        <f t="shared" ref="I517:I531" si="118">("7")</f>
        <v>7</v>
      </c>
      <c r="J517" t="str">
        <f t="shared" ref="J517:J531" si="119">("GROEN")</f>
        <v>GROEN</v>
      </c>
      <c r="K517">
        <v>32884</v>
      </c>
      <c r="L517">
        <v>17127</v>
      </c>
      <c r="M517">
        <v>50011</v>
      </c>
      <c r="N517">
        <v>2</v>
      </c>
      <c r="O517" t="str">
        <f>("1")</f>
        <v>1</v>
      </c>
      <c r="P517" t="str">
        <f>("Van Renterghem Jorg")</f>
        <v>Van Renterghem Jorg</v>
      </c>
      <c r="Q517">
        <v>5690</v>
      </c>
      <c r="S517">
        <v>2</v>
      </c>
    </row>
    <row r="518" spans="1:19" x14ac:dyDescent="0.3">
      <c r="A518" t="s">
        <v>0</v>
      </c>
      <c r="B518" s="1">
        <v>45578</v>
      </c>
      <c r="C518" t="str">
        <f t="shared" si="114"/>
        <v>44021</v>
      </c>
      <c r="D518" t="s">
        <v>5</v>
      </c>
      <c r="E518" t="str">
        <f t="shared" si="115"/>
        <v>15</v>
      </c>
      <c r="F518">
        <v>481110</v>
      </c>
      <c r="G518">
        <v>309317</v>
      </c>
      <c r="H518">
        <v>9918</v>
      </c>
      <c r="I518" t="str">
        <f t="shared" si="118"/>
        <v>7</v>
      </c>
      <c r="J518" t="str">
        <f t="shared" si="119"/>
        <v>GROEN</v>
      </c>
      <c r="K518">
        <v>32884</v>
      </c>
      <c r="L518">
        <v>17127</v>
      </c>
      <c r="M518">
        <v>50011</v>
      </c>
      <c r="N518">
        <v>2</v>
      </c>
      <c r="O518" t="str">
        <f>("2")</f>
        <v>2</v>
      </c>
      <c r="P518" t="str">
        <f>("Dooms Elisabet")</f>
        <v>Dooms Elisabet</v>
      </c>
      <c r="Q518">
        <v>8401</v>
      </c>
      <c r="R518">
        <v>1</v>
      </c>
    </row>
    <row r="519" spans="1:19" x14ac:dyDescent="0.3">
      <c r="A519" t="s">
        <v>0</v>
      </c>
      <c r="B519" s="1">
        <v>45578</v>
      </c>
      <c r="C519" t="str">
        <f t="shared" si="114"/>
        <v>44021</v>
      </c>
      <c r="D519" t="s">
        <v>5</v>
      </c>
      <c r="E519" t="str">
        <f t="shared" si="115"/>
        <v>15</v>
      </c>
      <c r="F519">
        <v>481110</v>
      </c>
      <c r="G519">
        <v>309317</v>
      </c>
      <c r="H519">
        <v>9918</v>
      </c>
      <c r="I519" t="str">
        <f t="shared" si="118"/>
        <v>7</v>
      </c>
      <c r="J519" t="str">
        <f t="shared" si="119"/>
        <v>GROEN</v>
      </c>
      <c r="K519">
        <v>32884</v>
      </c>
      <c r="L519">
        <v>17127</v>
      </c>
      <c r="M519">
        <v>50011</v>
      </c>
      <c r="N519">
        <v>2</v>
      </c>
      <c r="O519" t="str">
        <f>("3")</f>
        <v>3</v>
      </c>
      <c r="P519" t="str">
        <f>("Mestdagh Hans")</f>
        <v>Mestdagh Hans</v>
      </c>
      <c r="Q519">
        <v>3454</v>
      </c>
      <c r="S519">
        <v>9</v>
      </c>
    </row>
    <row r="520" spans="1:19" x14ac:dyDescent="0.3">
      <c r="A520" t="s">
        <v>0</v>
      </c>
      <c r="B520" s="1">
        <v>45578</v>
      </c>
      <c r="C520" t="str">
        <f t="shared" si="114"/>
        <v>44021</v>
      </c>
      <c r="D520" t="s">
        <v>5</v>
      </c>
      <c r="E520" t="str">
        <f t="shared" si="115"/>
        <v>15</v>
      </c>
      <c r="F520">
        <v>481110</v>
      </c>
      <c r="G520">
        <v>309317</v>
      </c>
      <c r="H520">
        <v>9918</v>
      </c>
      <c r="I520" t="str">
        <f t="shared" si="118"/>
        <v>7</v>
      </c>
      <c r="J520" t="str">
        <f t="shared" si="119"/>
        <v>GROEN</v>
      </c>
      <c r="K520">
        <v>32884</v>
      </c>
      <c r="L520">
        <v>17127</v>
      </c>
      <c r="M520">
        <v>50011</v>
      </c>
      <c r="N520">
        <v>2</v>
      </c>
      <c r="O520" t="str">
        <f>("4")</f>
        <v>4</v>
      </c>
      <c r="P520" t="str">
        <f>("Sabels Jordy")</f>
        <v>Sabels Jordy</v>
      </c>
      <c r="Q520">
        <v>2977</v>
      </c>
      <c r="S520">
        <v>12</v>
      </c>
    </row>
    <row r="521" spans="1:19" x14ac:dyDescent="0.3">
      <c r="A521" t="s">
        <v>0</v>
      </c>
      <c r="B521" s="1">
        <v>45578</v>
      </c>
      <c r="C521" t="str">
        <f t="shared" si="114"/>
        <v>44021</v>
      </c>
      <c r="D521" t="s">
        <v>5</v>
      </c>
      <c r="E521" t="str">
        <f t="shared" si="115"/>
        <v>15</v>
      </c>
      <c r="F521">
        <v>481110</v>
      </c>
      <c r="G521">
        <v>309317</v>
      </c>
      <c r="H521">
        <v>9918</v>
      </c>
      <c r="I521" t="str">
        <f t="shared" si="118"/>
        <v>7</v>
      </c>
      <c r="J521" t="str">
        <f t="shared" si="119"/>
        <v>GROEN</v>
      </c>
      <c r="K521">
        <v>32884</v>
      </c>
      <c r="L521">
        <v>17127</v>
      </c>
      <c r="M521">
        <v>50011</v>
      </c>
      <c r="N521">
        <v>2</v>
      </c>
      <c r="O521" t="str">
        <f>("5")</f>
        <v>5</v>
      </c>
      <c r="P521" t="str">
        <f>("Jodts Liesbeth")</f>
        <v>Jodts Liesbeth</v>
      </c>
      <c r="Q521">
        <v>5699</v>
      </c>
      <c r="S521">
        <v>1</v>
      </c>
    </row>
    <row r="522" spans="1:19" x14ac:dyDescent="0.3">
      <c r="A522" t="s">
        <v>0</v>
      </c>
      <c r="B522" s="1">
        <v>45578</v>
      </c>
      <c r="C522" t="str">
        <f t="shared" si="114"/>
        <v>44021</v>
      </c>
      <c r="D522" t="s">
        <v>5</v>
      </c>
      <c r="E522" t="str">
        <f t="shared" si="115"/>
        <v>15</v>
      </c>
      <c r="F522">
        <v>481110</v>
      </c>
      <c r="G522">
        <v>309317</v>
      </c>
      <c r="H522">
        <v>9918</v>
      </c>
      <c r="I522" t="str">
        <f t="shared" si="118"/>
        <v>7</v>
      </c>
      <c r="J522" t="str">
        <f t="shared" si="119"/>
        <v>GROEN</v>
      </c>
      <c r="K522">
        <v>32884</v>
      </c>
      <c r="L522">
        <v>17127</v>
      </c>
      <c r="M522">
        <v>50011</v>
      </c>
      <c r="N522">
        <v>2</v>
      </c>
      <c r="O522" t="str">
        <f>("6")</f>
        <v>6</v>
      </c>
      <c r="P522" t="str">
        <f>("De Groote Marianne")</f>
        <v>De Groote Marianne</v>
      </c>
      <c r="Q522">
        <v>4908</v>
      </c>
      <c r="S522">
        <v>3</v>
      </c>
    </row>
    <row r="523" spans="1:19" x14ac:dyDescent="0.3">
      <c r="A523" t="s">
        <v>0</v>
      </c>
      <c r="B523" s="1">
        <v>45578</v>
      </c>
      <c r="C523" t="str">
        <f t="shared" ref="C523:C539" si="120">("44021")</f>
        <v>44021</v>
      </c>
      <c r="D523" t="s">
        <v>5</v>
      </c>
      <c r="E523" t="str">
        <f t="shared" ref="E523:E539" si="121">("15")</f>
        <v>15</v>
      </c>
      <c r="F523">
        <v>481110</v>
      </c>
      <c r="G523">
        <v>309317</v>
      </c>
      <c r="H523">
        <v>9918</v>
      </c>
      <c r="I523" t="str">
        <f t="shared" si="118"/>
        <v>7</v>
      </c>
      <c r="J523" t="str">
        <f t="shared" si="119"/>
        <v>GROEN</v>
      </c>
      <c r="K523">
        <v>32884</v>
      </c>
      <c r="L523">
        <v>17127</v>
      </c>
      <c r="M523">
        <v>50011</v>
      </c>
      <c r="N523">
        <v>2</v>
      </c>
      <c r="O523" t="str">
        <f>("7")</f>
        <v>7</v>
      </c>
      <c r="P523" t="str">
        <f>("Vos Dirk")</f>
        <v>Vos Dirk</v>
      </c>
      <c r="Q523">
        <v>3036</v>
      </c>
      <c r="S523">
        <v>11</v>
      </c>
    </row>
    <row r="524" spans="1:19" x14ac:dyDescent="0.3">
      <c r="A524" t="s">
        <v>0</v>
      </c>
      <c r="B524" s="1">
        <v>45578</v>
      </c>
      <c r="C524" t="str">
        <f t="shared" si="120"/>
        <v>44021</v>
      </c>
      <c r="D524" t="s">
        <v>5</v>
      </c>
      <c r="E524" t="str">
        <f t="shared" si="121"/>
        <v>15</v>
      </c>
      <c r="F524">
        <v>481110</v>
      </c>
      <c r="G524">
        <v>309317</v>
      </c>
      <c r="H524">
        <v>9918</v>
      </c>
      <c r="I524" t="str">
        <f t="shared" si="118"/>
        <v>7</v>
      </c>
      <c r="J524" t="str">
        <f t="shared" si="119"/>
        <v>GROEN</v>
      </c>
      <c r="K524">
        <v>32884</v>
      </c>
      <c r="L524">
        <v>17127</v>
      </c>
      <c r="M524">
        <v>50011</v>
      </c>
      <c r="N524">
        <v>2</v>
      </c>
      <c r="O524" t="str">
        <f>("8")</f>
        <v>8</v>
      </c>
      <c r="P524" t="str">
        <f>("Parmentier Peter")</f>
        <v>Parmentier Peter</v>
      </c>
      <c r="Q524">
        <v>3586</v>
      </c>
      <c r="S524">
        <v>8</v>
      </c>
    </row>
    <row r="525" spans="1:19" x14ac:dyDescent="0.3">
      <c r="A525" t="s">
        <v>0</v>
      </c>
      <c r="B525" s="1">
        <v>45578</v>
      </c>
      <c r="C525" t="str">
        <f t="shared" si="120"/>
        <v>44021</v>
      </c>
      <c r="D525" t="s">
        <v>5</v>
      </c>
      <c r="E525" t="str">
        <f t="shared" si="121"/>
        <v>15</v>
      </c>
      <c r="F525">
        <v>481110</v>
      </c>
      <c r="G525">
        <v>309317</v>
      </c>
      <c r="H525">
        <v>9918</v>
      </c>
      <c r="I525" t="str">
        <f t="shared" si="118"/>
        <v>7</v>
      </c>
      <c r="J525" t="str">
        <f t="shared" si="119"/>
        <v>GROEN</v>
      </c>
      <c r="K525">
        <v>32884</v>
      </c>
      <c r="L525">
        <v>17127</v>
      </c>
      <c r="M525">
        <v>50011</v>
      </c>
      <c r="N525">
        <v>2</v>
      </c>
      <c r="O525" t="str">
        <f>("9")</f>
        <v>9</v>
      </c>
      <c r="P525" t="str">
        <f>("Gerbosch Roswitha")</f>
        <v>Gerbosch Roswitha</v>
      </c>
      <c r="Q525">
        <v>4842</v>
      </c>
      <c r="S525">
        <v>5</v>
      </c>
    </row>
    <row r="526" spans="1:19" x14ac:dyDescent="0.3">
      <c r="A526" t="s">
        <v>0</v>
      </c>
      <c r="B526" s="1">
        <v>45578</v>
      </c>
      <c r="C526" t="str">
        <f t="shared" si="120"/>
        <v>44021</v>
      </c>
      <c r="D526" t="s">
        <v>5</v>
      </c>
      <c r="E526" t="str">
        <f t="shared" si="121"/>
        <v>15</v>
      </c>
      <c r="F526">
        <v>481110</v>
      </c>
      <c r="G526">
        <v>309317</v>
      </c>
      <c r="H526">
        <v>9918</v>
      </c>
      <c r="I526" t="str">
        <f t="shared" si="118"/>
        <v>7</v>
      </c>
      <c r="J526" t="str">
        <f t="shared" si="119"/>
        <v>GROEN</v>
      </c>
      <c r="K526">
        <v>32884</v>
      </c>
      <c r="L526">
        <v>17127</v>
      </c>
      <c r="M526">
        <v>50011</v>
      </c>
      <c r="N526">
        <v>2</v>
      </c>
      <c r="O526" t="str">
        <f>("10")</f>
        <v>10</v>
      </c>
      <c r="P526" t="str">
        <f>("Tack Jasper")</f>
        <v>Tack Jasper</v>
      </c>
      <c r="Q526">
        <v>2660</v>
      </c>
      <c r="S526">
        <v>13</v>
      </c>
    </row>
    <row r="527" spans="1:19" x14ac:dyDescent="0.3">
      <c r="A527" t="s">
        <v>0</v>
      </c>
      <c r="B527" s="1">
        <v>45578</v>
      </c>
      <c r="C527" t="str">
        <f t="shared" si="120"/>
        <v>44021</v>
      </c>
      <c r="D527" t="s">
        <v>5</v>
      </c>
      <c r="E527" t="str">
        <f t="shared" si="121"/>
        <v>15</v>
      </c>
      <c r="F527">
        <v>481110</v>
      </c>
      <c r="G527">
        <v>309317</v>
      </c>
      <c r="H527">
        <v>9918</v>
      </c>
      <c r="I527" t="str">
        <f t="shared" si="118"/>
        <v>7</v>
      </c>
      <c r="J527" t="str">
        <f t="shared" si="119"/>
        <v>GROEN</v>
      </c>
      <c r="K527">
        <v>32884</v>
      </c>
      <c r="L527">
        <v>17127</v>
      </c>
      <c r="M527">
        <v>50011</v>
      </c>
      <c r="N527">
        <v>2</v>
      </c>
      <c r="O527" t="str">
        <f>("11")</f>
        <v>11</v>
      </c>
      <c r="P527" t="str">
        <f>("Stokx Patricia")</f>
        <v>Stokx Patricia</v>
      </c>
      <c r="Q527">
        <v>4529</v>
      </c>
      <c r="S527">
        <v>6</v>
      </c>
    </row>
    <row r="528" spans="1:19" x14ac:dyDescent="0.3">
      <c r="A528" t="s">
        <v>0</v>
      </c>
      <c r="B528" s="1">
        <v>45578</v>
      </c>
      <c r="C528" t="str">
        <f t="shared" si="120"/>
        <v>44021</v>
      </c>
      <c r="D528" t="s">
        <v>5</v>
      </c>
      <c r="E528" t="str">
        <f t="shared" si="121"/>
        <v>15</v>
      </c>
      <c r="F528">
        <v>481110</v>
      </c>
      <c r="G528">
        <v>309317</v>
      </c>
      <c r="H528">
        <v>9918</v>
      </c>
      <c r="I528" t="str">
        <f t="shared" si="118"/>
        <v>7</v>
      </c>
      <c r="J528" t="str">
        <f t="shared" si="119"/>
        <v>GROEN</v>
      </c>
      <c r="K528">
        <v>32884</v>
      </c>
      <c r="L528">
        <v>17127</v>
      </c>
      <c r="M528">
        <v>50011</v>
      </c>
      <c r="N528">
        <v>2</v>
      </c>
      <c r="O528" t="str">
        <f>("12")</f>
        <v>12</v>
      </c>
      <c r="P528" t="str">
        <f>("Baizid Yasmina")</f>
        <v>Baizid Yasmina</v>
      </c>
      <c r="Q528">
        <v>4899</v>
      </c>
      <c r="S528">
        <v>4</v>
      </c>
    </row>
    <row r="529" spans="1:19" x14ac:dyDescent="0.3">
      <c r="A529" t="s">
        <v>0</v>
      </c>
      <c r="B529" s="1">
        <v>45578</v>
      </c>
      <c r="C529" t="str">
        <f t="shared" si="120"/>
        <v>44021</v>
      </c>
      <c r="D529" t="s">
        <v>5</v>
      </c>
      <c r="E529" t="str">
        <f t="shared" si="121"/>
        <v>15</v>
      </c>
      <c r="F529">
        <v>481110</v>
      </c>
      <c r="G529">
        <v>309317</v>
      </c>
      <c r="H529">
        <v>9918</v>
      </c>
      <c r="I529" t="str">
        <f t="shared" si="118"/>
        <v>7</v>
      </c>
      <c r="J529" t="str">
        <f t="shared" si="119"/>
        <v>GROEN</v>
      </c>
      <c r="K529">
        <v>32884</v>
      </c>
      <c r="L529">
        <v>17127</v>
      </c>
      <c r="M529">
        <v>50011</v>
      </c>
      <c r="N529">
        <v>2</v>
      </c>
      <c r="O529" t="str">
        <f>("13")</f>
        <v>13</v>
      </c>
      <c r="P529" t="str">
        <f>("Cetinkaya Cengiz")</f>
        <v>Cetinkaya Cengiz</v>
      </c>
      <c r="Q529">
        <v>3425</v>
      </c>
      <c r="S529">
        <v>10</v>
      </c>
    </row>
    <row r="530" spans="1:19" x14ac:dyDescent="0.3">
      <c r="A530" t="s">
        <v>0</v>
      </c>
      <c r="B530" s="1">
        <v>45578</v>
      </c>
      <c r="C530" t="str">
        <f t="shared" si="120"/>
        <v>44021</v>
      </c>
      <c r="D530" t="s">
        <v>5</v>
      </c>
      <c r="E530" t="str">
        <f t="shared" si="121"/>
        <v>15</v>
      </c>
      <c r="F530">
        <v>481110</v>
      </c>
      <c r="G530">
        <v>309317</v>
      </c>
      <c r="H530">
        <v>9918</v>
      </c>
      <c r="I530" t="str">
        <f t="shared" si="118"/>
        <v>7</v>
      </c>
      <c r="J530" t="str">
        <f t="shared" si="119"/>
        <v>GROEN</v>
      </c>
      <c r="K530">
        <v>32884</v>
      </c>
      <c r="L530">
        <v>17127</v>
      </c>
      <c r="M530">
        <v>50011</v>
      </c>
      <c r="N530">
        <v>2</v>
      </c>
      <c r="O530" t="str">
        <f>("14")</f>
        <v>14</v>
      </c>
      <c r="P530" t="str">
        <f>("Van Hecke Stefaan")</f>
        <v>Van Hecke Stefaan</v>
      </c>
      <c r="Q530">
        <v>4392</v>
      </c>
      <c r="S530">
        <v>7</v>
      </c>
    </row>
    <row r="531" spans="1:19" x14ac:dyDescent="0.3">
      <c r="A531" t="s">
        <v>0</v>
      </c>
      <c r="B531" s="1">
        <v>45578</v>
      </c>
      <c r="C531" t="str">
        <f t="shared" si="120"/>
        <v>44021</v>
      </c>
      <c r="D531" t="s">
        <v>5</v>
      </c>
      <c r="E531" t="str">
        <f t="shared" si="121"/>
        <v>15</v>
      </c>
      <c r="F531">
        <v>481110</v>
      </c>
      <c r="G531">
        <v>309317</v>
      </c>
      <c r="H531">
        <v>9918</v>
      </c>
      <c r="I531" t="str">
        <f t="shared" si="118"/>
        <v>7</v>
      </c>
      <c r="J531" t="str">
        <f t="shared" si="119"/>
        <v>GROEN</v>
      </c>
      <c r="K531">
        <v>32884</v>
      </c>
      <c r="L531">
        <v>17127</v>
      </c>
      <c r="M531">
        <v>50011</v>
      </c>
      <c r="N531">
        <v>2</v>
      </c>
      <c r="O531" t="str">
        <f>("15")</f>
        <v>15</v>
      </c>
      <c r="P531" t="str">
        <f>("Schauvliege Mieke")</f>
        <v>Schauvliege Mieke</v>
      </c>
      <c r="Q531">
        <v>8304</v>
      </c>
      <c r="R531">
        <v>2</v>
      </c>
    </row>
    <row r="532" spans="1:19" x14ac:dyDescent="0.3">
      <c r="A532" t="s">
        <v>0</v>
      </c>
      <c r="B532" s="1">
        <v>45578</v>
      </c>
      <c r="C532" t="str">
        <f t="shared" si="120"/>
        <v>44021</v>
      </c>
      <c r="D532" t="s">
        <v>5</v>
      </c>
      <c r="E532" t="str">
        <f t="shared" si="121"/>
        <v>15</v>
      </c>
      <c r="F532">
        <v>481110</v>
      </c>
      <c r="G532">
        <v>309317</v>
      </c>
      <c r="H532">
        <v>9918</v>
      </c>
      <c r="I532" t="str">
        <f>("8")</f>
        <v>8</v>
      </c>
      <c r="J532" t="str">
        <f>("Volt")</f>
        <v>Volt</v>
      </c>
      <c r="K532">
        <v>697</v>
      </c>
      <c r="L532">
        <v>351</v>
      </c>
      <c r="M532">
        <v>1048</v>
      </c>
      <c r="N532">
        <v>0</v>
      </c>
      <c r="O532" t="str">
        <f>("1")</f>
        <v>1</v>
      </c>
      <c r="P532" t="str">
        <f>("Vervack Titouan")</f>
        <v>Vervack Titouan</v>
      </c>
      <c r="Q532">
        <v>201</v>
      </c>
    </row>
    <row r="533" spans="1:19" x14ac:dyDescent="0.3">
      <c r="A533" t="s">
        <v>0</v>
      </c>
      <c r="B533" s="1">
        <v>45578</v>
      </c>
      <c r="C533" t="str">
        <f t="shared" si="120"/>
        <v>44021</v>
      </c>
      <c r="D533" t="s">
        <v>5</v>
      </c>
      <c r="E533" t="str">
        <f t="shared" si="121"/>
        <v>15</v>
      </c>
      <c r="F533">
        <v>481110</v>
      </c>
      <c r="G533">
        <v>309317</v>
      </c>
      <c r="H533">
        <v>9918</v>
      </c>
      <c r="I533" t="str">
        <f>("8")</f>
        <v>8</v>
      </c>
      <c r="J533" t="str">
        <f>("Volt")</f>
        <v>Volt</v>
      </c>
      <c r="K533">
        <v>697</v>
      </c>
      <c r="L533">
        <v>351</v>
      </c>
      <c r="M533">
        <v>1048</v>
      </c>
      <c r="N533">
        <v>0</v>
      </c>
      <c r="O533" t="str">
        <f>("2")</f>
        <v>2</v>
      </c>
      <c r="P533" t="str">
        <f>("Defraeye Anouschka")</f>
        <v>Defraeye Anouschka</v>
      </c>
      <c r="Q533">
        <v>174</v>
      </c>
    </row>
    <row r="534" spans="1:19" x14ac:dyDescent="0.3">
      <c r="A534" t="s">
        <v>0</v>
      </c>
      <c r="B534" s="1">
        <v>45578</v>
      </c>
      <c r="C534" t="str">
        <f t="shared" si="120"/>
        <v>44021</v>
      </c>
      <c r="D534" t="s">
        <v>5</v>
      </c>
      <c r="E534" t="str">
        <f t="shared" si="121"/>
        <v>15</v>
      </c>
      <c r="F534">
        <v>481110</v>
      </c>
      <c r="G534">
        <v>309317</v>
      </c>
      <c r="H534">
        <v>9918</v>
      </c>
      <c r="I534" t="str">
        <f>("8")</f>
        <v>8</v>
      </c>
      <c r="J534" t="str">
        <f>("Volt")</f>
        <v>Volt</v>
      </c>
      <c r="K534">
        <v>697</v>
      </c>
      <c r="L534">
        <v>351</v>
      </c>
      <c r="M534">
        <v>1048</v>
      </c>
      <c r="N534">
        <v>0</v>
      </c>
      <c r="O534" t="str">
        <f>("3")</f>
        <v>3</v>
      </c>
      <c r="P534" t="str">
        <f>("Smets Avery")</f>
        <v>Smets Avery</v>
      </c>
      <c r="Q534">
        <v>151</v>
      </c>
    </row>
    <row r="535" spans="1:19" x14ac:dyDescent="0.3">
      <c r="A535" t="s">
        <v>0</v>
      </c>
      <c r="B535" s="1">
        <v>45578</v>
      </c>
      <c r="C535" t="str">
        <f t="shared" si="120"/>
        <v>44021</v>
      </c>
      <c r="D535" t="s">
        <v>5</v>
      </c>
      <c r="E535" t="str">
        <f t="shared" si="121"/>
        <v>15</v>
      </c>
      <c r="F535">
        <v>481110</v>
      </c>
      <c r="G535">
        <v>309317</v>
      </c>
      <c r="H535">
        <v>9918</v>
      </c>
      <c r="I535" t="str">
        <f>("9")</f>
        <v>9</v>
      </c>
      <c r="J535" t="str">
        <f>("DierAnimal")</f>
        <v>DierAnimal</v>
      </c>
      <c r="K535">
        <v>1951</v>
      </c>
      <c r="L535">
        <v>771</v>
      </c>
      <c r="M535">
        <v>2722</v>
      </c>
      <c r="N535">
        <v>0</v>
      </c>
      <c r="O535" t="str">
        <f>("1")</f>
        <v>1</v>
      </c>
      <c r="P535" t="str">
        <f>("Verhaegen Daphné")</f>
        <v>Verhaegen Daphné</v>
      </c>
      <c r="Q535">
        <v>516</v>
      </c>
    </row>
    <row r="536" spans="1:19" x14ac:dyDescent="0.3">
      <c r="A536" t="s">
        <v>0</v>
      </c>
      <c r="B536" s="1">
        <v>45578</v>
      </c>
      <c r="C536" t="str">
        <f t="shared" si="120"/>
        <v>44021</v>
      </c>
      <c r="D536" t="s">
        <v>5</v>
      </c>
      <c r="E536" t="str">
        <f t="shared" si="121"/>
        <v>15</v>
      </c>
      <c r="F536">
        <v>481110</v>
      </c>
      <c r="G536">
        <v>309317</v>
      </c>
      <c r="H536">
        <v>9918</v>
      </c>
      <c r="I536" t="str">
        <f>("9")</f>
        <v>9</v>
      </c>
      <c r="J536" t="str">
        <f>("DierAnimal")</f>
        <v>DierAnimal</v>
      </c>
      <c r="K536">
        <v>1951</v>
      </c>
      <c r="L536">
        <v>771</v>
      </c>
      <c r="M536">
        <v>2722</v>
      </c>
      <c r="N536">
        <v>0</v>
      </c>
      <c r="O536" t="str">
        <f>("2")</f>
        <v>2</v>
      </c>
      <c r="P536" t="str">
        <f>("Ponsaerts Pieterjan")</f>
        <v>Ponsaerts Pieterjan</v>
      </c>
      <c r="Q536">
        <v>171</v>
      </c>
    </row>
    <row r="537" spans="1:19" x14ac:dyDescent="0.3">
      <c r="A537" t="s">
        <v>0</v>
      </c>
      <c r="B537" s="1">
        <v>45578</v>
      </c>
      <c r="C537" t="str">
        <f t="shared" si="120"/>
        <v>44021</v>
      </c>
      <c r="D537" t="s">
        <v>5</v>
      </c>
      <c r="E537" t="str">
        <f t="shared" si="121"/>
        <v>15</v>
      </c>
      <c r="F537">
        <v>481110</v>
      </c>
      <c r="G537">
        <v>309317</v>
      </c>
      <c r="H537">
        <v>9918</v>
      </c>
      <c r="I537" t="str">
        <f>("9")</f>
        <v>9</v>
      </c>
      <c r="J537" t="str">
        <f>("DierAnimal")</f>
        <v>DierAnimal</v>
      </c>
      <c r="K537">
        <v>1951</v>
      </c>
      <c r="L537">
        <v>771</v>
      </c>
      <c r="M537">
        <v>2722</v>
      </c>
      <c r="N537">
        <v>0</v>
      </c>
      <c r="O537" t="str">
        <f>("3")</f>
        <v>3</v>
      </c>
      <c r="P537" t="str">
        <f>("Declercq Kim")</f>
        <v>Declercq Kim</v>
      </c>
      <c r="Q537">
        <v>213</v>
      </c>
    </row>
    <row r="538" spans="1:19" x14ac:dyDescent="0.3">
      <c r="A538" t="s">
        <v>0</v>
      </c>
      <c r="B538" s="1">
        <v>45578</v>
      </c>
      <c r="C538" t="str">
        <f t="shared" si="120"/>
        <v>44021</v>
      </c>
      <c r="D538" t="s">
        <v>5</v>
      </c>
      <c r="E538" t="str">
        <f t="shared" si="121"/>
        <v>15</v>
      </c>
      <c r="F538">
        <v>481110</v>
      </c>
      <c r="G538">
        <v>309317</v>
      </c>
      <c r="H538">
        <v>9918</v>
      </c>
      <c r="I538" t="str">
        <f>("9")</f>
        <v>9</v>
      </c>
      <c r="J538" t="str">
        <f>("DierAnimal")</f>
        <v>DierAnimal</v>
      </c>
      <c r="K538">
        <v>1951</v>
      </c>
      <c r="L538">
        <v>771</v>
      </c>
      <c r="M538">
        <v>2722</v>
      </c>
      <c r="N538">
        <v>0</v>
      </c>
      <c r="O538" t="str">
        <f>("4")</f>
        <v>4</v>
      </c>
      <c r="P538" t="str">
        <f>("De Ganck Els")</f>
        <v>De Ganck Els</v>
      </c>
      <c r="Q538">
        <v>223</v>
      </c>
    </row>
    <row r="539" spans="1:19" x14ac:dyDescent="0.3">
      <c r="A539" t="s">
        <v>0</v>
      </c>
      <c r="B539" s="1">
        <v>45578</v>
      </c>
      <c r="C539" t="str">
        <f t="shared" si="120"/>
        <v>44021</v>
      </c>
      <c r="D539" t="s">
        <v>5</v>
      </c>
      <c r="E539" t="str">
        <f t="shared" si="121"/>
        <v>15</v>
      </c>
      <c r="F539">
        <v>481110</v>
      </c>
      <c r="G539">
        <v>309317</v>
      </c>
      <c r="H539">
        <v>9918</v>
      </c>
      <c r="I539" t="str">
        <f>("9")</f>
        <v>9</v>
      </c>
      <c r="J539" t="str">
        <f>("DierAnimal")</f>
        <v>DierAnimal</v>
      </c>
      <c r="K539">
        <v>1951</v>
      </c>
      <c r="L539">
        <v>771</v>
      </c>
      <c r="M539">
        <v>2722</v>
      </c>
      <c r="N539">
        <v>0</v>
      </c>
      <c r="O539" t="str">
        <f>("5")</f>
        <v>5</v>
      </c>
      <c r="P539" t="str">
        <f>("Desmet Xavier")</f>
        <v>Desmet Xavier</v>
      </c>
      <c r="Q539">
        <v>202</v>
      </c>
    </row>
    <row r="540" spans="1:19" x14ac:dyDescent="0.3">
      <c r="A540" t="s">
        <v>0</v>
      </c>
      <c r="B540" s="1">
        <v>45578</v>
      </c>
      <c r="C540" t="str">
        <f t="shared" ref="C540:C571" si="122">("23027")</f>
        <v>23027</v>
      </c>
      <c r="D540" t="s">
        <v>6</v>
      </c>
      <c r="E540" t="str">
        <f t="shared" ref="E540:E571" si="123">("20")</f>
        <v>20</v>
      </c>
      <c r="F540">
        <v>454681</v>
      </c>
      <c r="G540">
        <v>285986</v>
      </c>
      <c r="H540">
        <v>11036</v>
      </c>
      <c r="I540" t="str">
        <f t="shared" ref="I540:I559" si="124">("1")</f>
        <v>1</v>
      </c>
      <c r="J540" t="str">
        <f t="shared" ref="J540:J559" si="125">("Vooruit")</f>
        <v>Vooruit</v>
      </c>
      <c r="K540">
        <v>10304</v>
      </c>
      <c r="L540">
        <v>16593</v>
      </c>
      <c r="M540">
        <v>26897</v>
      </c>
      <c r="N540">
        <v>2</v>
      </c>
      <c r="O540" t="str">
        <f>("1")</f>
        <v>1</v>
      </c>
      <c r="P540" t="str">
        <f>("Lamarti Fatima")</f>
        <v>Lamarti Fatima</v>
      </c>
      <c r="Q540">
        <v>6083</v>
      </c>
      <c r="R540">
        <v>1</v>
      </c>
    </row>
    <row r="541" spans="1:19" x14ac:dyDescent="0.3">
      <c r="A541" t="s">
        <v>0</v>
      </c>
      <c r="B541" s="1">
        <v>45578</v>
      </c>
      <c r="C541" t="str">
        <f t="shared" si="122"/>
        <v>23027</v>
      </c>
      <c r="D541" t="s">
        <v>6</v>
      </c>
      <c r="E541" t="str">
        <f t="shared" si="123"/>
        <v>20</v>
      </c>
      <c r="F541">
        <v>454681</v>
      </c>
      <c r="G541">
        <v>285986</v>
      </c>
      <c r="H541">
        <v>11036</v>
      </c>
      <c r="I541" t="str">
        <f t="shared" si="124"/>
        <v>1</v>
      </c>
      <c r="J541" t="str">
        <f t="shared" si="125"/>
        <v>Vooruit</v>
      </c>
      <c r="K541">
        <v>10304</v>
      </c>
      <c r="L541">
        <v>16593</v>
      </c>
      <c r="M541">
        <v>26897</v>
      </c>
      <c r="N541">
        <v>2</v>
      </c>
      <c r="O541" t="str">
        <f>("2")</f>
        <v>2</v>
      </c>
      <c r="P541" t="str">
        <f>("Demiddeleer Bertrand")</f>
        <v>Demiddeleer Bertrand</v>
      </c>
      <c r="Q541">
        <v>2364</v>
      </c>
      <c r="S541">
        <v>1</v>
      </c>
    </row>
    <row r="542" spans="1:19" x14ac:dyDescent="0.3">
      <c r="A542" t="s">
        <v>0</v>
      </c>
      <c r="B542" s="1">
        <v>45578</v>
      </c>
      <c r="C542" t="str">
        <f t="shared" si="122"/>
        <v>23027</v>
      </c>
      <c r="D542" t="s">
        <v>6</v>
      </c>
      <c r="E542" t="str">
        <f t="shared" si="123"/>
        <v>20</v>
      </c>
      <c r="F542">
        <v>454681</v>
      </c>
      <c r="G542">
        <v>285986</v>
      </c>
      <c r="H542">
        <v>11036</v>
      </c>
      <c r="I542" t="str">
        <f t="shared" si="124"/>
        <v>1</v>
      </c>
      <c r="J542" t="str">
        <f t="shared" si="125"/>
        <v>Vooruit</v>
      </c>
      <c r="K542">
        <v>10304</v>
      </c>
      <c r="L542">
        <v>16593</v>
      </c>
      <c r="M542">
        <v>26897</v>
      </c>
      <c r="N542">
        <v>2</v>
      </c>
      <c r="O542" t="str">
        <f>("3")</f>
        <v>3</v>
      </c>
      <c r="P542" t="str">
        <f>("Claassen Anke")</f>
        <v>Claassen Anke</v>
      </c>
      <c r="Q542">
        <v>1897</v>
      </c>
      <c r="S542">
        <v>4</v>
      </c>
    </row>
    <row r="543" spans="1:19" x14ac:dyDescent="0.3">
      <c r="A543" t="s">
        <v>0</v>
      </c>
      <c r="B543" s="1">
        <v>45578</v>
      </c>
      <c r="C543" t="str">
        <f t="shared" si="122"/>
        <v>23027</v>
      </c>
      <c r="D543" t="s">
        <v>6</v>
      </c>
      <c r="E543" t="str">
        <f t="shared" si="123"/>
        <v>20</v>
      </c>
      <c r="F543">
        <v>454681</v>
      </c>
      <c r="G543">
        <v>285986</v>
      </c>
      <c r="H543">
        <v>11036</v>
      </c>
      <c r="I543" t="str">
        <f t="shared" si="124"/>
        <v>1</v>
      </c>
      <c r="J543" t="str">
        <f t="shared" si="125"/>
        <v>Vooruit</v>
      </c>
      <c r="K543">
        <v>10304</v>
      </c>
      <c r="L543">
        <v>16593</v>
      </c>
      <c r="M543">
        <v>26897</v>
      </c>
      <c r="N543">
        <v>2</v>
      </c>
      <c r="O543" t="str">
        <f>("4")</f>
        <v>4</v>
      </c>
      <c r="P543" t="str">
        <f>("Borteel Tim")</f>
        <v>Borteel Tim</v>
      </c>
      <c r="Q543">
        <v>1497</v>
      </c>
      <c r="S543">
        <v>6</v>
      </c>
    </row>
    <row r="544" spans="1:19" x14ac:dyDescent="0.3">
      <c r="A544" t="s">
        <v>0</v>
      </c>
      <c r="B544" s="1">
        <v>45578</v>
      </c>
      <c r="C544" t="str">
        <f t="shared" si="122"/>
        <v>23027</v>
      </c>
      <c r="D544" t="s">
        <v>6</v>
      </c>
      <c r="E544" t="str">
        <f t="shared" si="123"/>
        <v>20</v>
      </c>
      <c r="F544">
        <v>454681</v>
      </c>
      <c r="G544">
        <v>285986</v>
      </c>
      <c r="H544">
        <v>11036</v>
      </c>
      <c r="I544" t="str">
        <f t="shared" si="124"/>
        <v>1</v>
      </c>
      <c r="J544" t="str">
        <f t="shared" si="125"/>
        <v>Vooruit</v>
      </c>
      <c r="K544">
        <v>10304</v>
      </c>
      <c r="L544">
        <v>16593</v>
      </c>
      <c r="M544">
        <v>26897</v>
      </c>
      <c r="N544">
        <v>2</v>
      </c>
      <c r="O544" t="str">
        <f>("5")</f>
        <v>5</v>
      </c>
      <c r="P544" t="str">
        <f>("Akaychouh Mohamed")</f>
        <v>Akaychouh Mohamed</v>
      </c>
      <c r="Q544">
        <v>2194</v>
      </c>
      <c r="S544">
        <v>2</v>
      </c>
    </row>
    <row r="545" spans="1:19" x14ac:dyDescent="0.3">
      <c r="A545" t="s">
        <v>0</v>
      </c>
      <c r="B545" s="1">
        <v>45578</v>
      </c>
      <c r="C545" t="str">
        <f t="shared" si="122"/>
        <v>23027</v>
      </c>
      <c r="D545" t="s">
        <v>6</v>
      </c>
      <c r="E545" t="str">
        <f t="shared" si="123"/>
        <v>20</v>
      </c>
      <c r="F545">
        <v>454681</v>
      </c>
      <c r="G545">
        <v>285986</v>
      </c>
      <c r="H545">
        <v>11036</v>
      </c>
      <c r="I545" t="str">
        <f t="shared" si="124"/>
        <v>1</v>
      </c>
      <c r="J545" t="str">
        <f t="shared" si="125"/>
        <v>Vooruit</v>
      </c>
      <c r="K545">
        <v>10304</v>
      </c>
      <c r="L545">
        <v>16593</v>
      </c>
      <c r="M545">
        <v>26897</v>
      </c>
      <c r="N545">
        <v>2</v>
      </c>
      <c r="O545" t="str">
        <f>("6")</f>
        <v>6</v>
      </c>
      <c r="P545" t="str">
        <f>("Noben Sandra")</f>
        <v>Noben Sandra</v>
      </c>
      <c r="Q545">
        <v>1222</v>
      </c>
      <c r="S545">
        <v>10</v>
      </c>
    </row>
    <row r="546" spans="1:19" x14ac:dyDescent="0.3">
      <c r="A546" t="s">
        <v>0</v>
      </c>
      <c r="B546" s="1">
        <v>45578</v>
      </c>
      <c r="C546" t="str">
        <f t="shared" si="122"/>
        <v>23027</v>
      </c>
      <c r="D546" t="s">
        <v>6</v>
      </c>
      <c r="E546" t="str">
        <f t="shared" si="123"/>
        <v>20</v>
      </c>
      <c r="F546">
        <v>454681</v>
      </c>
      <c r="G546">
        <v>285986</v>
      </c>
      <c r="H546">
        <v>11036</v>
      </c>
      <c r="I546" t="str">
        <f t="shared" si="124"/>
        <v>1</v>
      </c>
      <c r="J546" t="str">
        <f t="shared" si="125"/>
        <v>Vooruit</v>
      </c>
      <c r="K546">
        <v>10304</v>
      </c>
      <c r="L546">
        <v>16593</v>
      </c>
      <c r="M546">
        <v>26897</v>
      </c>
      <c r="N546">
        <v>2</v>
      </c>
      <c r="O546" t="str">
        <f>("7")</f>
        <v>7</v>
      </c>
      <c r="P546" t="str">
        <f>("Rousseau Nicolas")</f>
        <v>Rousseau Nicolas</v>
      </c>
      <c r="Q546">
        <v>1322</v>
      </c>
      <c r="S546">
        <v>9</v>
      </c>
    </row>
    <row r="547" spans="1:19" x14ac:dyDescent="0.3">
      <c r="A547" t="s">
        <v>0</v>
      </c>
      <c r="B547" s="1">
        <v>45578</v>
      </c>
      <c r="C547" t="str">
        <f t="shared" si="122"/>
        <v>23027</v>
      </c>
      <c r="D547" t="s">
        <v>6</v>
      </c>
      <c r="E547" t="str">
        <f t="shared" si="123"/>
        <v>20</v>
      </c>
      <c r="F547">
        <v>454681</v>
      </c>
      <c r="G547">
        <v>285986</v>
      </c>
      <c r="H547">
        <v>11036</v>
      </c>
      <c r="I547" t="str">
        <f t="shared" si="124"/>
        <v>1</v>
      </c>
      <c r="J547" t="str">
        <f t="shared" si="125"/>
        <v>Vooruit</v>
      </c>
      <c r="K547">
        <v>10304</v>
      </c>
      <c r="L547">
        <v>16593</v>
      </c>
      <c r="M547">
        <v>26897</v>
      </c>
      <c r="N547">
        <v>2</v>
      </c>
      <c r="O547" t="str">
        <f>("8")</f>
        <v>8</v>
      </c>
      <c r="P547" t="str">
        <f>("Ouelhadj Merjem")</f>
        <v>Ouelhadj Merjem</v>
      </c>
      <c r="Q547">
        <v>1366</v>
      </c>
      <c r="S547">
        <v>7</v>
      </c>
    </row>
    <row r="548" spans="1:19" x14ac:dyDescent="0.3">
      <c r="A548" t="s">
        <v>0</v>
      </c>
      <c r="B548" s="1">
        <v>45578</v>
      </c>
      <c r="C548" t="str">
        <f t="shared" si="122"/>
        <v>23027</v>
      </c>
      <c r="D548" t="s">
        <v>6</v>
      </c>
      <c r="E548" t="str">
        <f t="shared" si="123"/>
        <v>20</v>
      </c>
      <c r="F548">
        <v>454681</v>
      </c>
      <c r="G548">
        <v>285986</v>
      </c>
      <c r="H548">
        <v>11036</v>
      </c>
      <c r="I548" t="str">
        <f t="shared" si="124"/>
        <v>1</v>
      </c>
      <c r="J548" t="str">
        <f t="shared" si="125"/>
        <v>Vooruit</v>
      </c>
      <c r="K548">
        <v>10304</v>
      </c>
      <c r="L548">
        <v>16593</v>
      </c>
      <c r="M548">
        <v>26897</v>
      </c>
      <c r="N548">
        <v>2</v>
      </c>
      <c r="O548" t="str">
        <f>("9")</f>
        <v>9</v>
      </c>
      <c r="P548" t="str">
        <f>("Stultjens Joren")</f>
        <v>Stultjens Joren</v>
      </c>
      <c r="Q548">
        <v>753</v>
      </c>
      <c r="S548">
        <v>17</v>
      </c>
    </row>
    <row r="549" spans="1:19" x14ac:dyDescent="0.3">
      <c r="A549" t="s">
        <v>0</v>
      </c>
      <c r="B549" s="1">
        <v>45578</v>
      </c>
      <c r="C549" t="str">
        <f t="shared" si="122"/>
        <v>23027</v>
      </c>
      <c r="D549" t="s">
        <v>6</v>
      </c>
      <c r="E549" t="str">
        <f t="shared" si="123"/>
        <v>20</v>
      </c>
      <c r="F549">
        <v>454681</v>
      </c>
      <c r="G549">
        <v>285986</v>
      </c>
      <c r="H549">
        <v>11036</v>
      </c>
      <c r="I549" t="str">
        <f t="shared" si="124"/>
        <v>1</v>
      </c>
      <c r="J549" t="str">
        <f t="shared" si="125"/>
        <v>Vooruit</v>
      </c>
      <c r="K549">
        <v>10304</v>
      </c>
      <c r="L549">
        <v>16593</v>
      </c>
      <c r="M549">
        <v>26897</v>
      </c>
      <c r="N549">
        <v>2</v>
      </c>
      <c r="O549" t="str">
        <f>("10")</f>
        <v>10</v>
      </c>
      <c r="P549" t="str">
        <f>("Baldemir Kabil")</f>
        <v>Baldemir Kabil</v>
      </c>
      <c r="Q549">
        <v>1108</v>
      </c>
      <c r="S549">
        <v>13</v>
      </c>
    </row>
    <row r="550" spans="1:19" x14ac:dyDescent="0.3">
      <c r="A550" t="s">
        <v>0</v>
      </c>
      <c r="B550" s="1">
        <v>45578</v>
      </c>
      <c r="C550" t="str">
        <f t="shared" si="122"/>
        <v>23027</v>
      </c>
      <c r="D550" t="s">
        <v>6</v>
      </c>
      <c r="E550" t="str">
        <f t="shared" si="123"/>
        <v>20</v>
      </c>
      <c r="F550">
        <v>454681</v>
      </c>
      <c r="G550">
        <v>285986</v>
      </c>
      <c r="H550">
        <v>11036</v>
      </c>
      <c r="I550" t="str">
        <f t="shared" si="124"/>
        <v>1</v>
      </c>
      <c r="J550" t="str">
        <f t="shared" si="125"/>
        <v>Vooruit</v>
      </c>
      <c r="K550">
        <v>10304</v>
      </c>
      <c r="L550">
        <v>16593</v>
      </c>
      <c r="M550">
        <v>26897</v>
      </c>
      <c r="N550">
        <v>2</v>
      </c>
      <c r="O550" t="str">
        <f>("11")</f>
        <v>11</v>
      </c>
      <c r="P550" t="str">
        <f>("Chantrain Dominique")</f>
        <v>Chantrain Dominique</v>
      </c>
      <c r="Q550">
        <v>816</v>
      </c>
      <c r="S550">
        <v>16</v>
      </c>
    </row>
    <row r="551" spans="1:19" x14ac:dyDescent="0.3">
      <c r="A551" t="s">
        <v>0</v>
      </c>
      <c r="B551" s="1">
        <v>45578</v>
      </c>
      <c r="C551" t="str">
        <f t="shared" si="122"/>
        <v>23027</v>
      </c>
      <c r="D551" t="s">
        <v>6</v>
      </c>
      <c r="E551" t="str">
        <f t="shared" si="123"/>
        <v>20</v>
      </c>
      <c r="F551">
        <v>454681</v>
      </c>
      <c r="G551">
        <v>285986</v>
      </c>
      <c r="H551">
        <v>11036</v>
      </c>
      <c r="I551" t="str">
        <f t="shared" si="124"/>
        <v>1</v>
      </c>
      <c r="J551" t="str">
        <f t="shared" si="125"/>
        <v>Vooruit</v>
      </c>
      <c r="K551">
        <v>10304</v>
      </c>
      <c r="L551">
        <v>16593</v>
      </c>
      <c r="M551">
        <v>26897</v>
      </c>
      <c r="N551">
        <v>2</v>
      </c>
      <c r="O551" t="str">
        <f>("12")</f>
        <v>12</v>
      </c>
      <c r="P551" t="str">
        <f>("Nakab Amina")</f>
        <v>Nakab Amina</v>
      </c>
      <c r="Q551">
        <v>1563</v>
      </c>
      <c r="S551">
        <v>5</v>
      </c>
    </row>
    <row r="552" spans="1:19" x14ac:dyDescent="0.3">
      <c r="A552" t="s">
        <v>0</v>
      </c>
      <c r="B552" s="1">
        <v>45578</v>
      </c>
      <c r="C552" t="str">
        <f t="shared" si="122"/>
        <v>23027</v>
      </c>
      <c r="D552" t="s">
        <v>6</v>
      </c>
      <c r="E552" t="str">
        <f t="shared" si="123"/>
        <v>20</v>
      </c>
      <c r="F552">
        <v>454681</v>
      </c>
      <c r="G552">
        <v>285986</v>
      </c>
      <c r="H552">
        <v>11036</v>
      </c>
      <c r="I552" t="str">
        <f t="shared" si="124"/>
        <v>1</v>
      </c>
      <c r="J552" t="str">
        <f t="shared" si="125"/>
        <v>Vooruit</v>
      </c>
      <c r="K552">
        <v>10304</v>
      </c>
      <c r="L552">
        <v>16593</v>
      </c>
      <c r="M552">
        <v>26897</v>
      </c>
      <c r="N552">
        <v>2</v>
      </c>
      <c r="O552" t="str">
        <f>("13")</f>
        <v>13</v>
      </c>
      <c r="P552" t="str">
        <f>("Michielsen Mauro")</f>
        <v>Michielsen Mauro</v>
      </c>
      <c r="Q552">
        <v>738</v>
      </c>
      <c r="S552">
        <v>18</v>
      </c>
    </row>
    <row r="553" spans="1:19" x14ac:dyDescent="0.3">
      <c r="A553" t="s">
        <v>0</v>
      </c>
      <c r="B553" s="1">
        <v>45578</v>
      </c>
      <c r="C553" t="str">
        <f t="shared" si="122"/>
        <v>23027</v>
      </c>
      <c r="D553" t="s">
        <v>6</v>
      </c>
      <c r="E553" t="str">
        <f t="shared" si="123"/>
        <v>20</v>
      </c>
      <c r="F553">
        <v>454681</v>
      </c>
      <c r="G553">
        <v>285986</v>
      </c>
      <c r="H553">
        <v>11036</v>
      </c>
      <c r="I553" t="str">
        <f t="shared" si="124"/>
        <v>1</v>
      </c>
      <c r="J553" t="str">
        <f t="shared" si="125"/>
        <v>Vooruit</v>
      </c>
      <c r="K553">
        <v>10304</v>
      </c>
      <c r="L553">
        <v>16593</v>
      </c>
      <c r="M553">
        <v>26897</v>
      </c>
      <c r="N553">
        <v>2</v>
      </c>
      <c r="O553" t="str">
        <f>("14")</f>
        <v>14</v>
      </c>
      <c r="P553" t="str">
        <f>("Walravens Ulla")</f>
        <v>Walravens Ulla</v>
      </c>
      <c r="Q553">
        <v>1339</v>
      </c>
      <c r="S553">
        <v>8</v>
      </c>
    </row>
    <row r="554" spans="1:19" x14ac:dyDescent="0.3">
      <c r="A554" t="s">
        <v>0</v>
      </c>
      <c r="B554" s="1">
        <v>45578</v>
      </c>
      <c r="C554" t="str">
        <f t="shared" si="122"/>
        <v>23027</v>
      </c>
      <c r="D554" t="s">
        <v>6</v>
      </c>
      <c r="E554" t="str">
        <f t="shared" si="123"/>
        <v>20</v>
      </c>
      <c r="F554">
        <v>454681</v>
      </c>
      <c r="G554">
        <v>285986</v>
      </c>
      <c r="H554">
        <v>11036</v>
      </c>
      <c r="I554" t="str">
        <f t="shared" si="124"/>
        <v>1</v>
      </c>
      <c r="J554" t="str">
        <f t="shared" si="125"/>
        <v>Vooruit</v>
      </c>
      <c r="K554">
        <v>10304</v>
      </c>
      <c r="L554">
        <v>16593</v>
      </c>
      <c r="M554">
        <v>26897</v>
      </c>
      <c r="N554">
        <v>2</v>
      </c>
      <c r="O554" t="str">
        <f>("15")</f>
        <v>15</v>
      </c>
      <c r="P554" t="str">
        <f>("Van der Auwera Iris")</f>
        <v>Van der Auwera Iris</v>
      </c>
      <c r="Q554">
        <v>1215</v>
      </c>
      <c r="S554">
        <v>11</v>
      </c>
    </row>
    <row r="555" spans="1:19" x14ac:dyDescent="0.3">
      <c r="A555" t="s">
        <v>0</v>
      </c>
      <c r="B555" s="1">
        <v>45578</v>
      </c>
      <c r="C555" t="str">
        <f t="shared" si="122"/>
        <v>23027</v>
      </c>
      <c r="D555" t="s">
        <v>6</v>
      </c>
      <c r="E555" t="str">
        <f t="shared" si="123"/>
        <v>20</v>
      </c>
      <c r="F555">
        <v>454681</v>
      </c>
      <c r="G555">
        <v>285986</v>
      </c>
      <c r="H555">
        <v>11036</v>
      </c>
      <c r="I555" t="str">
        <f t="shared" si="124"/>
        <v>1</v>
      </c>
      <c r="J555" t="str">
        <f t="shared" si="125"/>
        <v>Vooruit</v>
      </c>
      <c r="K555">
        <v>10304</v>
      </c>
      <c r="L555">
        <v>16593</v>
      </c>
      <c r="M555">
        <v>26897</v>
      </c>
      <c r="N555">
        <v>2</v>
      </c>
      <c r="O555" t="str">
        <f>("16")</f>
        <v>16</v>
      </c>
      <c r="P555" t="str">
        <f>("Krikilion Elke")</f>
        <v>Krikilion Elke</v>
      </c>
      <c r="Q555">
        <v>1012</v>
      </c>
      <c r="S555">
        <v>14</v>
      </c>
    </row>
    <row r="556" spans="1:19" x14ac:dyDescent="0.3">
      <c r="A556" t="s">
        <v>0</v>
      </c>
      <c r="B556" s="1">
        <v>45578</v>
      </c>
      <c r="C556" t="str">
        <f t="shared" si="122"/>
        <v>23027</v>
      </c>
      <c r="D556" t="s">
        <v>6</v>
      </c>
      <c r="E556" t="str">
        <f t="shared" si="123"/>
        <v>20</v>
      </c>
      <c r="F556">
        <v>454681</v>
      </c>
      <c r="G556">
        <v>285986</v>
      </c>
      <c r="H556">
        <v>11036</v>
      </c>
      <c r="I556" t="str">
        <f t="shared" si="124"/>
        <v>1</v>
      </c>
      <c r="J556" t="str">
        <f t="shared" si="125"/>
        <v>Vooruit</v>
      </c>
      <c r="K556">
        <v>10304</v>
      </c>
      <c r="L556">
        <v>16593</v>
      </c>
      <c r="M556">
        <v>26897</v>
      </c>
      <c r="N556">
        <v>2</v>
      </c>
      <c r="O556" t="str">
        <f>("17")</f>
        <v>17</v>
      </c>
      <c r="P556" t="str">
        <f>("Lamghebech Abdelillah")</f>
        <v>Lamghebech Abdelillah</v>
      </c>
      <c r="Q556">
        <v>981</v>
      </c>
      <c r="S556">
        <v>15</v>
      </c>
    </row>
    <row r="557" spans="1:19" x14ac:dyDescent="0.3">
      <c r="A557" t="s">
        <v>0</v>
      </c>
      <c r="B557" s="1">
        <v>45578</v>
      </c>
      <c r="C557" t="str">
        <f t="shared" si="122"/>
        <v>23027</v>
      </c>
      <c r="D557" t="s">
        <v>6</v>
      </c>
      <c r="E557" t="str">
        <f t="shared" si="123"/>
        <v>20</v>
      </c>
      <c r="F557">
        <v>454681</v>
      </c>
      <c r="G557">
        <v>285986</v>
      </c>
      <c r="H557">
        <v>11036</v>
      </c>
      <c r="I557" t="str">
        <f t="shared" si="124"/>
        <v>1</v>
      </c>
      <c r="J557" t="str">
        <f t="shared" si="125"/>
        <v>Vooruit</v>
      </c>
      <c r="K557">
        <v>10304</v>
      </c>
      <c r="L557">
        <v>16593</v>
      </c>
      <c r="M557">
        <v>26897</v>
      </c>
      <c r="N557">
        <v>2</v>
      </c>
      <c r="O557" t="str">
        <f>("18")</f>
        <v>18</v>
      </c>
      <c r="P557" t="str">
        <f>("van Berlaer Gerlant")</f>
        <v>van Berlaer Gerlant</v>
      </c>
      <c r="Q557">
        <v>1193</v>
      </c>
      <c r="S557">
        <v>12</v>
      </c>
    </row>
    <row r="558" spans="1:19" x14ac:dyDescent="0.3">
      <c r="A558" t="s">
        <v>0</v>
      </c>
      <c r="B558" s="1">
        <v>45578</v>
      </c>
      <c r="C558" t="str">
        <f t="shared" si="122"/>
        <v>23027</v>
      </c>
      <c r="D558" t="s">
        <v>6</v>
      </c>
      <c r="E558" t="str">
        <f t="shared" si="123"/>
        <v>20</v>
      </c>
      <c r="F558">
        <v>454681</v>
      </c>
      <c r="G558">
        <v>285986</v>
      </c>
      <c r="H558">
        <v>11036</v>
      </c>
      <c r="I558" t="str">
        <f t="shared" si="124"/>
        <v>1</v>
      </c>
      <c r="J558" t="str">
        <f t="shared" si="125"/>
        <v>Vooruit</v>
      </c>
      <c r="K558">
        <v>10304</v>
      </c>
      <c r="L558">
        <v>16593</v>
      </c>
      <c r="M558">
        <v>26897</v>
      </c>
      <c r="N558">
        <v>2</v>
      </c>
      <c r="O558" t="str">
        <f>("19")</f>
        <v>19</v>
      </c>
      <c r="P558" t="str">
        <f>("Segers Katia")</f>
        <v>Segers Katia</v>
      </c>
      <c r="Q558">
        <v>2062</v>
      </c>
      <c r="S558">
        <v>3</v>
      </c>
    </row>
    <row r="559" spans="1:19" x14ac:dyDescent="0.3">
      <c r="A559" t="s">
        <v>0</v>
      </c>
      <c r="B559" s="1">
        <v>45578</v>
      </c>
      <c r="C559" t="str">
        <f t="shared" si="122"/>
        <v>23027</v>
      </c>
      <c r="D559" t="s">
        <v>6</v>
      </c>
      <c r="E559" t="str">
        <f t="shared" si="123"/>
        <v>20</v>
      </c>
      <c r="F559">
        <v>454681</v>
      </c>
      <c r="G559">
        <v>285986</v>
      </c>
      <c r="H559">
        <v>11036</v>
      </c>
      <c r="I559" t="str">
        <f t="shared" si="124"/>
        <v>1</v>
      </c>
      <c r="J559" t="str">
        <f t="shared" si="125"/>
        <v>Vooruit</v>
      </c>
      <c r="K559">
        <v>10304</v>
      </c>
      <c r="L559">
        <v>16593</v>
      </c>
      <c r="M559">
        <v>26897</v>
      </c>
      <c r="N559">
        <v>2</v>
      </c>
      <c r="O559" t="str">
        <f>("20")</f>
        <v>20</v>
      </c>
      <c r="P559" t="str">
        <f>("Vandenbroucke Frank")</f>
        <v>Vandenbroucke Frank</v>
      </c>
      <c r="Q559">
        <v>5450</v>
      </c>
      <c r="R559">
        <v>2</v>
      </c>
    </row>
    <row r="560" spans="1:19" x14ac:dyDescent="0.3">
      <c r="A560" t="s">
        <v>0</v>
      </c>
      <c r="B560" s="1">
        <v>45578</v>
      </c>
      <c r="C560" t="str">
        <f t="shared" si="122"/>
        <v>23027</v>
      </c>
      <c r="D560" t="s">
        <v>6</v>
      </c>
      <c r="E560" t="str">
        <f t="shared" si="123"/>
        <v>20</v>
      </c>
      <c r="F560">
        <v>454681</v>
      </c>
      <c r="G560">
        <v>285986</v>
      </c>
      <c r="H560">
        <v>11036</v>
      </c>
      <c r="I560" t="str">
        <f t="shared" ref="I560:I579" si="126">("2")</f>
        <v>2</v>
      </c>
      <c r="J560" t="str">
        <f t="shared" ref="J560:J579" si="127">("PVDA")</f>
        <v>PVDA</v>
      </c>
      <c r="K560">
        <v>5024</v>
      </c>
      <c r="L560">
        <v>5923</v>
      </c>
      <c r="M560">
        <v>10947</v>
      </c>
      <c r="N560">
        <v>0</v>
      </c>
      <c r="O560" t="str">
        <f>("1")</f>
        <v>1</v>
      </c>
      <c r="P560" t="str">
        <f>("Van Hove Mitch")</f>
        <v>Van Hove Mitch</v>
      </c>
      <c r="Q560">
        <v>2207</v>
      </c>
    </row>
    <row r="561" spans="1:17" x14ac:dyDescent="0.3">
      <c r="A561" t="s">
        <v>0</v>
      </c>
      <c r="B561" s="1">
        <v>45578</v>
      </c>
      <c r="C561" t="str">
        <f t="shared" si="122"/>
        <v>23027</v>
      </c>
      <c r="D561" t="s">
        <v>6</v>
      </c>
      <c r="E561" t="str">
        <f t="shared" si="123"/>
        <v>20</v>
      </c>
      <c r="F561">
        <v>454681</v>
      </c>
      <c r="G561">
        <v>285986</v>
      </c>
      <c r="H561">
        <v>11036</v>
      </c>
      <c r="I561" t="str">
        <f t="shared" si="126"/>
        <v>2</v>
      </c>
      <c r="J561" t="str">
        <f t="shared" si="127"/>
        <v>PVDA</v>
      </c>
      <c r="K561">
        <v>5024</v>
      </c>
      <c r="L561">
        <v>5923</v>
      </c>
      <c r="M561">
        <v>10947</v>
      </c>
      <c r="N561">
        <v>0</v>
      </c>
      <c r="O561" t="str">
        <f>("2")</f>
        <v>2</v>
      </c>
      <c r="P561" t="str">
        <f>("Raeymaekers Katelijne")</f>
        <v>Raeymaekers Katelijne</v>
      </c>
      <c r="Q561">
        <v>1204</v>
      </c>
    </row>
    <row r="562" spans="1:17" x14ac:dyDescent="0.3">
      <c r="A562" t="s">
        <v>0</v>
      </c>
      <c r="B562" s="1">
        <v>45578</v>
      </c>
      <c r="C562" t="str">
        <f t="shared" si="122"/>
        <v>23027</v>
      </c>
      <c r="D562" t="s">
        <v>6</v>
      </c>
      <c r="E562" t="str">
        <f t="shared" si="123"/>
        <v>20</v>
      </c>
      <c r="F562">
        <v>454681</v>
      </c>
      <c r="G562">
        <v>285986</v>
      </c>
      <c r="H562">
        <v>11036</v>
      </c>
      <c r="I562" t="str">
        <f t="shared" si="126"/>
        <v>2</v>
      </c>
      <c r="J562" t="str">
        <f t="shared" si="127"/>
        <v>PVDA</v>
      </c>
      <c r="K562">
        <v>5024</v>
      </c>
      <c r="L562">
        <v>5923</v>
      </c>
      <c r="M562">
        <v>10947</v>
      </c>
      <c r="N562">
        <v>0</v>
      </c>
      <c r="O562" t="str">
        <f>("3")</f>
        <v>3</v>
      </c>
      <c r="P562" t="str">
        <f>("Rampelberg Rudy")</f>
        <v>Rampelberg Rudy</v>
      </c>
      <c r="Q562">
        <v>770</v>
      </c>
    </row>
    <row r="563" spans="1:17" x14ac:dyDescent="0.3">
      <c r="A563" t="s">
        <v>0</v>
      </c>
      <c r="B563" s="1">
        <v>45578</v>
      </c>
      <c r="C563" t="str">
        <f t="shared" si="122"/>
        <v>23027</v>
      </c>
      <c r="D563" t="s">
        <v>6</v>
      </c>
      <c r="E563" t="str">
        <f t="shared" si="123"/>
        <v>20</v>
      </c>
      <c r="F563">
        <v>454681</v>
      </c>
      <c r="G563">
        <v>285986</v>
      </c>
      <c r="H563">
        <v>11036</v>
      </c>
      <c r="I563" t="str">
        <f t="shared" si="126"/>
        <v>2</v>
      </c>
      <c r="J563" t="str">
        <f t="shared" si="127"/>
        <v>PVDA</v>
      </c>
      <c r="K563">
        <v>5024</v>
      </c>
      <c r="L563">
        <v>5923</v>
      </c>
      <c r="M563">
        <v>10947</v>
      </c>
      <c r="N563">
        <v>0</v>
      </c>
      <c r="O563" t="str">
        <f>("4")</f>
        <v>4</v>
      </c>
      <c r="P563" t="str">
        <f>("Vanhaesendonck Tina")</f>
        <v>Vanhaesendonck Tina</v>
      </c>
      <c r="Q563">
        <v>854</v>
      </c>
    </row>
    <row r="564" spans="1:17" x14ac:dyDescent="0.3">
      <c r="A564" t="s">
        <v>0</v>
      </c>
      <c r="B564" s="1">
        <v>45578</v>
      </c>
      <c r="C564" t="str">
        <f t="shared" si="122"/>
        <v>23027</v>
      </c>
      <c r="D564" t="s">
        <v>6</v>
      </c>
      <c r="E564" t="str">
        <f t="shared" si="123"/>
        <v>20</v>
      </c>
      <c r="F564">
        <v>454681</v>
      </c>
      <c r="G564">
        <v>285986</v>
      </c>
      <c r="H564">
        <v>11036</v>
      </c>
      <c r="I564" t="str">
        <f t="shared" si="126"/>
        <v>2</v>
      </c>
      <c r="J564" t="str">
        <f t="shared" si="127"/>
        <v>PVDA</v>
      </c>
      <c r="K564">
        <v>5024</v>
      </c>
      <c r="L564">
        <v>5923</v>
      </c>
      <c r="M564">
        <v>10947</v>
      </c>
      <c r="N564">
        <v>0</v>
      </c>
      <c r="O564" t="str">
        <f>("5")</f>
        <v>5</v>
      </c>
      <c r="P564" t="str">
        <f>("Plasch Brent")</f>
        <v>Plasch Brent</v>
      </c>
      <c r="Q564">
        <v>518</v>
      </c>
    </row>
    <row r="565" spans="1:17" x14ac:dyDescent="0.3">
      <c r="A565" t="s">
        <v>0</v>
      </c>
      <c r="B565" s="1">
        <v>45578</v>
      </c>
      <c r="C565" t="str">
        <f t="shared" si="122"/>
        <v>23027</v>
      </c>
      <c r="D565" t="s">
        <v>6</v>
      </c>
      <c r="E565" t="str">
        <f t="shared" si="123"/>
        <v>20</v>
      </c>
      <c r="F565">
        <v>454681</v>
      </c>
      <c r="G565">
        <v>285986</v>
      </c>
      <c r="H565">
        <v>11036</v>
      </c>
      <c r="I565" t="str">
        <f t="shared" si="126"/>
        <v>2</v>
      </c>
      <c r="J565" t="str">
        <f t="shared" si="127"/>
        <v>PVDA</v>
      </c>
      <c r="K565">
        <v>5024</v>
      </c>
      <c r="L565">
        <v>5923</v>
      </c>
      <c r="M565">
        <v>10947</v>
      </c>
      <c r="N565">
        <v>0</v>
      </c>
      <c r="O565" t="str">
        <f>("6")</f>
        <v>6</v>
      </c>
      <c r="P565" t="str">
        <f>("Heroes Martine")</f>
        <v>Heroes Martine</v>
      </c>
      <c r="Q565">
        <v>642</v>
      </c>
    </row>
    <row r="566" spans="1:17" x14ac:dyDescent="0.3">
      <c r="A566" t="s">
        <v>0</v>
      </c>
      <c r="B566" s="1">
        <v>45578</v>
      </c>
      <c r="C566" t="str">
        <f t="shared" si="122"/>
        <v>23027</v>
      </c>
      <c r="D566" t="s">
        <v>6</v>
      </c>
      <c r="E566" t="str">
        <f t="shared" si="123"/>
        <v>20</v>
      </c>
      <c r="F566">
        <v>454681</v>
      </c>
      <c r="G566">
        <v>285986</v>
      </c>
      <c r="H566">
        <v>11036</v>
      </c>
      <c r="I566" t="str">
        <f t="shared" si="126"/>
        <v>2</v>
      </c>
      <c r="J566" t="str">
        <f t="shared" si="127"/>
        <v>PVDA</v>
      </c>
      <c r="K566">
        <v>5024</v>
      </c>
      <c r="L566">
        <v>5923</v>
      </c>
      <c r="M566">
        <v>10947</v>
      </c>
      <c r="N566">
        <v>0</v>
      </c>
      <c r="O566" t="str">
        <f>("7")</f>
        <v>7</v>
      </c>
      <c r="P566" t="str">
        <f>("Bilmez Melike")</f>
        <v>Bilmez Melike</v>
      </c>
      <c r="Q566">
        <v>1145</v>
      </c>
    </row>
    <row r="567" spans="1:17" x14ac:dyDescent="0.3">
      <c r="A567" t="s">
        <v>0</v>
      </c>
      <c r="B567" s="1">
        <v>45578</v>
      </c>
      <c r="C567" t="str">
        <f t="shared" si="122"/>
        <v>23027</v>
      </c>
      <c r="D567" t="s">
        <v>6</v>
      </c>
      <c r="E567" t="str">
        <f t="shared" si="123"/>
        <v>20</v>
      </c>
      <c r="F567">
        <v>454681</v>
      </c>
      <c r="G567">
        <v>285986</v>
      </c>
      <c r="H567">
        <v>11036</v>
      </c>
      <c r="I567" t="str">
        <f t="shared" si="126"/>
        <v>2</v>
      </c>
      <c r="J567" t="str">
        <f t="shared" si="127"/>
        <v>PVDA</v>
      </c>
      <c r="K567">
        <v>5024</v>
      </c>
      <c r="L567">
        <v>5923</v>
      </c>
      <c r="M567">
        <v>10947</v>
      </c>
      <c r="N567">
        <v>0</v>
      </c>
      <c r="O567" t="str">
        <f>("8")</f>
        <v>8</v>
      </c>
      <c r="P567" t="str">
        <f>("De Beus Jonathan")</f>
        <v>De Beus Jonathan</v>
      </c>
      <c r="Q567">
        <v>485</v>
      </c>
    </row>
    <row r="568" spans="1:17" x14ac:dyDescent="0.3">
      <c r="A568" t="s">
        <v>0</v>
      </c>
      <c r="B568" s="1">
        <v>45578</v>
      </c>
      <c r="C568" t="str">
        <f t="shared" si="122"/>
        <v>23027</v>
      </c>
      <c r="D568" t="s">
        <v>6</v>
      </c>
      <c r="E568" t="str">
        <f t="shared" si="123"/>
        <v>20</v>
      </c>
      <c r="F568">
        <v>454681</v>
      </c>
      <c r="G568">
        <v>285986</v>
      </c>
      <c r="H568">
        <v>11036</v>
      </c>
      <c r="I568" t="str">
        <f t="shared" si="126"/>
        <v>2</v>
      </c>
      <c r="J568" t="str">
        <f t="shared" si="127"/>
        <v>PVDA</v>
      </c>
      <c r="K568">
        <v>5024</v>
      </c>
      <c r="L568">
        <v>5923</v>
      </c>
      <c r="M568">
        <v>10947</v>
      </c>
      <c r="N568">
        <v>0</v>
      </c>
      <c r="O568" t="str">
        <f>("9")</f>
        <v>9</v>
      </c>
      <c r="P568" t="str">
        <f>("Van Paemel Ingrid")</f>
        <v>Van Paemel Ingrid</v>
      </c>
      <c r="Q568">
        <v>624</v>
      </c>
    </row>
    <row r="569" spans="1:17" x14ac:dyDescent="0.3">
      <c r="A569" t="s">
        <v>0</v>
      </c>
      <c r="B569" s="1">
        <v>45578</v>
      </c>
      <c r="C569" t="str">
        <f t="shared" si="122"/>
        <v>23027</v>
      </c>
      <c r="D569" t="s">
        <v>6</v>
      </c>
      <c r="E569" t="str">
        <f t="shared" si="123"/>
        <v>20</v>
      </c>
      <c r="F569">
        <v>454681</v>
      </c>
      <c r="G569">
        <v>285986</v>
      </c>
      <c r="H569">
        <v>11036</v>
      </c>
      <c r="I569" t="str">
        <f t="shared" si="126"/>
        <v>2</v>
      </c>
      <c r="J569" t="str">
        <f t="shared" si="127"/>
        <v>PVDA</v>
      </c>
      <c r="K569">
        <v>5024</v>
      </c>
      <c r="L569">
        <v>5923</v>
      </c>
      <c r="M569">
        <v>10947</v>
      </c>
      <c r="N569">
        <v>0</v>
      </c>
      <c r="O569" t="str">
        <f>("10")</f>
        <v>10</v>
      </c>
      <c r="P569" t="str">
        <f>("Nkingu Didier")</f>
        <v>Nkingu Didier</v>
      </c>
      <c r="Q569">
        <v>724</v>
      </c>
    </row>
    <row r="570" spans="1:17" x14ac:dyDescent="0.3">
      <c r="A570" t="s">
        <v>0</v>
      </c>
      <c r="B570" s="1">
        <v>45578</v>
      </c>
      <c r="C570" t="str">
        <f t="shared" si="122"/>
        <v>23027</v>
      </c>
      <c r="D570" t="s">
        <v>6</v>
      </c>
      <c r="E570" t="str">
        <f t="shared" si="123"/>
        <v>20</v>
      </c>
      <c r="F570">
        <v>454681</v>
      </c>
      <c r="G570">
        <v>285986</v>
      </c>
      <c r="H570">
        <v>11036</v>
      </c>
      <c r="I570" t="str">
        <f t="shared" si="126"/>
        <v>2</v>
      </c>
      <c r="J570" t="str">
        <f t="shared" si="127"/>
        <v>PVDA</v>
      </c>
      <c r="K570">
        <v>5024</v>
      </c>
      <c r="L570">
        <v>5923</v>
      </c>
      <c r="M570">
        <v>10947</v>
      </c>
      <c r="N570">
        <v>0</v>
      </c>
      <c r="O570" t="str">
        <f>("11")</f>
        <v>11</v>
      </c>
      <c r="P570" t="str">
        <f>("Vanlommel Ingrid")</f>
        <v>Vanlommel Ingrid</v>
      </c>
      <c r="Q570">
        <v>564</v>
      </c>
    </row>
    <row r="571" spans="1:17" x14ac:dyDescent="0.3">
      <c r="A571" t="s">
        <v>0</v>
      </c>
      <c r="B571" s="1">
        <v>45578</v>
      </c>
      <c r="C571" t="str">
        <f t="shared" si="122"/>
        <v>23027</v>
      </c>
      <c r="D571" t="s">
        <v>6</v>
      </c>
      <c r="E571" t="str">
        <f t="shared" si="123"/>
        <v>20</v>
      </c>
      <c r="F571">
        <v>454681</v>
      </c>
      <c r="G571">
        <v>285986</v>
      </c>
      <c r="H571">
        <v>11036</v>
      </c>
      <c r="I571" t="str">
        <f t="shared" si="126"/>
        <v>2</v>
      </c>
      <c r="J571" t="str">
        <f t="shared" si="127"/>
        <v>PVDA</v>
      </c>
      <c r="K571">
        <v>5024</v>
      </c>
      <c r="L571">
        <v>5923</v>
      </c>
      <c r="M571">
        <v>10947</v>
      </c>
      <c r="N571">
        <v>0</v>
      </c>
      <c r="O571" t="str">
        <f>("12")</f>
        <v>12</v>
      </c>
      <c r="P571" t="str">
        <f>("Loof Edwin")</f>
        <v>Loof Edwin</v>
      </c>
      <c r="Q571">
        <v>393</v>
      </c>
    </row>
    <row r="572" spans="1:17" x14ac:dyDescent="0.3">
      <c r="A572" t="s">
        <v>0</v>
      </c>
      <c r="B572" s="1">
        <v>45578</v>
      </c>
      <c r="C572" t="str">
        <f t="shared" ref="C572:C603" si="128">("23027")</f>
        <v>23027</v>
      </c>
      <c r="D572" t="s">
        <v>6</v>
      </c>
      <c r="E572" t="str">
        <f t="shared" ref="E572:E603" si="129">("20")</f>
        <v>20</v>
      </c>
      <c r="F572">
        <v>454681</v>
      </c>
      <c r="G572">
        <v>285986</v>
      </c>
      <c r="H572">
        <v>11036</v>
      </c>
      <c r="I572" t="str">
        <f t="shared" si="126"/>
        <v>2</v>
      </c>
      <c r="J572" t="str">
        <f t="shared" si="127"/>
        <v>PVDA</v>
      </c>
      <c r="K572">
        <v>5024</v>
      </c>
      <c r="L572">
        <v>5923</v>
      </c>
      <c r="M572">
        <v>10947</v>
      </c>
      <c r="N572">
        <v>0</v>
      </c>
      <c r="O572" t="str">
        <f>("13")</f>
        <v>13</v>
      </c>
      <c r="P572" t="str">
        <f>("Diericx Lorena")</f>
        <v>Diericx Lorena</v>
      </c>
      <c r="Q572">
        <v>570</v>
      </c>
    </row>
    <row r="573" spans="1:17" x14ac:dyDescent="0.3">
      <c r="A573" t="s">
        <v>0</v>
      </c>
      <c r="B573" s="1">
        <v>45578</v>
      </c>
      <c r="C573" t="str">
        <f t="shared" si="128"/>
        <v>23027</v>
      </c>
      <c r="D573" t="s">
        <v>6</v>
      </c>
      <c r="E573" t="str">
        <f t="shared" si="129"/>
        <v>20</v>
      </c>
      <c r="F573">
        <v>454681</v>
      </c>
      <c r="G573">
        <v>285986</v>
      </c>
      <c r="H573">
        <v>11036</v>
      </c>
      <c r="I573" t="str">
        <f t="shared" si="126"/>
        <v>2</v>
      </c>
      <c r="J573" t="str">
        <f t="shared" si="127"/>
        <v>PVDA</v>
      </c>
      <c r="K573">
        <v>5024</v>
      </c>
      <c r="L573">
        <v>5923</v>
      </c>
      <c r="M573">
        <v>10947</v>
      </c>
      <c r="N573">
        <v>0</v>
      </c>
      <c r="O573" t="str">
        <f>("14")</f>
        <v>14</v>
      </c>
      <c r="P573" t="str">
        <f>("Kestemont Kevin")</f>
        <v>Kestemont Kevin</v>
      </c>
      <c r="Q573">
        <v>571</v>
      </c>
    </row>
    <row r="574" spans="1:17" x14ac:dyDescent="0.3">
      <c r="A574" t="s">
        <v>0</v>
      </c>
      <c r="B574" s="1">
        <v>45578</v>
      </c>
      <c r="C574" t="str">
        <f t="shared" si="128"/>
        <v>23027</v>
      </c>
      <c r="D574" t="s">
        <v>6</v>
      </c>
      <c r="E574" t="str">
        <f t="shared" si="129"/>
        <v>20</v>
      </c>
      <c r="F574">
        <v>454681</v>
      </c>
      <c r="G574">
        <v>285986</v>
      </c>
      <c r="H574">
        <v>11036</v>
      </c>
      <c r="I574" t="str">
        <f t="shared" si="126"/>
        <v>2</v>
      </c>
      <c r="J574" t="str">
        <f t="shared" si="127"/>
        <v>PVDA</v>
      </c>
      <c r="K574">
        <v>5024</v>
      </c>
      <c r="L574">
        <v>5923</v>
      </c>
      <c r="M574">
        <v>10947</v>
      </c>
      <c r="N574">
        <v>0</v>
      </c>
      <c r="O574" t="str">
        <f>("15")</f>
        <v>15</v>
      </c>
      <c r="P574" t="str">
        <f>("Makoukeu Djikou Anne Dorette")</f>
        <v>Makoukeu Djikou Anne Dorette</v>
      </c>
      <c r="Q574">
        <v>691</v>
      </c>
    </row>
    <row r="575" spans="1:17" x14ac:dyDescent="0.3">
      <c r="A575" t="s">
        <v>0</v>
      </c>
      <c r="B575" s="1">
        <v>45578</v>
      </c>
      <c r="C575" t="str">
        <f t="shared" si="128"/>
        <v>23027</v>
      </c>
      <c r="D575" t="s">
        <v>6</v>
      </c>
      <c r="E575" t="str">
        <f t="shared" si="129"/>
        <v>20</v>
      </c>
      <c r="F575">
        <v>454681</v>
      </c>
      <c r="G575">
        <v>285986</v>
      </c>
      <c r="H575">
        <v>11036</v>
      </c>
      <c r="I575" t="str">
        <f t="shared" si="126"/>
        <v>2</v>
      </c>
      <c r="J575" t="str">
        <f t="shared" si="127"/>
        <v>PVDA</v>
      </c>
      <c r="K575">
        <v>5024</v>
      </c>
      <c r="L575">
        <v>5923</v>
      </c>
      <c r="M575">
        <v>10947</v>
      </c>
      <c r="N575">
        <v>0</v>
      </c>
      <c r="O575" t="str">
        <f>("16")</f>
        <v>16</v>
      </c>
      <c r="P575" t="str">
        <f>("Savenberg Jozef")</f>
        <v>Savenberg Jozef</v>
      </c>
      <c r="Q575">
        <v>433</v>
      </c>
    </row>
    <row r="576" spans="1:17" x14ac:dyDescent="0.3">
      <c r="A576" t="s">
        <v>0</v>
      </c>
      <c r="B576" s="1">
        <v>45578</v>
      </c>
      <c r="C576" t="str">
        <f t="shared" si="128"/>
        <v>23027</v>
      </c>
      <c r="D576" t="s">
        <v>6</v>
      </c>
      <c r="E576" t="str">
        <f t="shared" si="129"/>
        <v>20</v>
      </c>
      <c r="F576">
        <v>454681</v>
      </c>
      <c r="G576">
        <v>285986</v>
      </c>
      <c r="H576">
        <v>11036</v>
      </c>
      <c r="I576" t="str">
        <f t="shared" si="126"/>
        <v>2</v>
      </c>
      <c r="J576" t="str">
        <f t="shared" si="127"/>
        <v>PVDA</v>
      </c>
      <c r="K576">
        <v>5024</v>
      </c>
      <c r="L576">
        <v>5923</v>
      </c>
      <c r="M576">
        <v>10947</v>
      </c>
      <c r="N576">
        <v>0</v>
      </c>
      <c r="O576" t="str">
        <f>("17")</f>
        <v>17</v>
      </c>
      <c r="P576" t="str">
        <f>("Denys Yoline")</f>
        <v>Denys Yoline</v>
      </c>
      <c r="Q576">
        <v>524</v>
      </c>
    </row>
    <row r="577" spans="1:19" x14ac:dyDescent="0.3">
      <c r="A577" t="s">
        <v>0</v>
      </c>
      <c r="B577" s="1">
        <v>45578</v>
      </c>
      <c r="C577" t="str">
        <f t="shared" si="128"/>
        <v>23027</v>
      </c>
      <c r="D577" t="s">
        <v>6</v>
      </c>
      <c r="E577" t="str">
        <f t="shared" si="129"/>
        <v>20</v>
      </c>
      <c r="F577">
        <v>454681</v>
      </c>
      <c r="G577">
        <v>285986</v>
      </c>
      <c r="H577">
        <v>11036</v>
      </c>
      <c r="I577" t="str">
        <f t="shared" si="126"/>
        <v>2</v>
      </c>
      <c r="J577" t="str">
        <f t="shared" si="127"/>
        <v>PVDA</v>
      </c>
      <c r="K577">
        <v>5024</v>
      </c>
      <c r="L577">
        <v>5923</v>
      </c>
      <c r="M577">
        <v>10947</v>
      </c>
      <c r="N577">
        <v>0</v>
      </c>
      <c r="O577" t="str">
        <f>("18")</f>
        <v>18</v>
      </c>
      <c r="P577" t="str">
        <f>("Puystiens Gil")</f>
        <v>Puystiens Gil</v>
      </c>
      <c r="Q577">
        <v>415</v>
      </c>
    </row>
    <row r="578" spans="1:19" x14ac:dyDescent="0.3">
      <c r="A578" t="s">
        <v>0</v>
      </c>
      <c r="B578" s="1">
        <v>45578</v>
      </c>
      <c r="C578" t="str">
        <f t="shared" si="128"/>
        <v>23027</v>
      </c>
      <c r="D578" t="s">
        <v>6</v>
      </c>
      <c r="E578" t="str">
        <f t="shared" si="129"/>
        <v>20</v>
      </c>
      <c r="F578">
        <v>454681</v>
      </c>
      <c r="G578">
        <v>285986</v>
      </c>
      <c r="H578">
        <v>11036</v>
      </c>
      <c r="I578" t="str">
        <f t="shared" si="126"/>
        <v>2</v>
      </c>
      <c r="J578" t="str">
        <f t="shared" si="127"/>
        <v>PVDA</v>
      </c>
      <c r="K578">
        <v>5024</v>
      </c>
      <c r="L578">
        <v>5923</v>
      </c>
      <c r="M578">
        <v>10947</v>
      </c>
      <c r="N578">
        <v>0</v>
      </c>
      <c r="O578" t="str">
        <f>("19")</f>
        <v>19</v>
      </c>
      <c r="P578" t="str">
        <f>("Flores Angela Janett")</f>
        <v>Flores Angela Janett</v>
      </c>
      <c r="Q578">
        <v>611</v>
      </c>
    </row>
    <row r="579" spans="1:19" x14ac:dyDescent="0.3">
      <c r="A579" t="s">
        <v>0</v>
      </c>
      <c r="B579" s="1">
        <v>45578</v>
      </c>
      <c r="C579" t="str">
        <f t="shared" si="128"/>
        <v>23027</v>
      </c>
      <c r="D579" t="s">
        <v>6</v>
      </c>
      <c r="E579" t="str">
        <f t="shared" si="129"/>
        <v>20</v>
      </c>
      <c r="F579">
        <v>454681</v>
      </c>
      <c r="G579">
        <v>285986</v>
      </c>
      <c r="H579">
        <v>11036</v>
      </c>
      <c r="I579" t="str">
        <f t="shared" si="126"/>
        <v>2</v>
      </c>
      <c r="J579" t="str">
        <f t="shared" si="127"/>
        <v>PVDA</v>
      </c>
      <c r="K579">
        <v>5024</v>
      </c>
      <c r="L579">
        <v>5923</v>
      </c>
      <c r="M579">
        <v>10947</v>
      </c>
      <c r="N579">
        <v>0</v>
      </c>
      <c r="O579" t="str">
        <f>("20")</f>
        <v>20</v>
      </c>
      <c r="P579" t="str">
        <f>("Bilmez Kemal")</f>
        <v>Bilmez Kemal</v>
      </c>
      <c r="Q579">
        <v>1816</v>
      </c>
    </row>
    <row r="580" spans="1:19" x14ac:dyDescent="0.3">
      <c r="A580" t="s">
        <v>0</v>
      </c>
      <c r="B580" s="1">
        <v>45578</v>
      </c>
      <c r="C580" t="str">
        <f t="shared" si="128"/>
        <v>23027</v>
      </c>
      <c r="D580" t="s">
        <v>6</v>
      </c>
      <c r="E580" t="str">
        <f t="shared" si="129"/>
        <v>20</v>
      </c>
      <c r="F580">
        <v>454681</v>
      </c>
      <c r="G580">
        <v>285986</v>
      </c>
      <c r="H580">
        <v>11036</v>
      </c>
      <c r="I580" t="str">
        <f t="shared" ref="I580:I599" si="130">("3")</f>
        <v>3</v>
      </c>
      <c r="J580" t="str">
        <f t="shared" ref="J580:J599" si="131">("cd&amp;v")</f>
        <v>cd&amp;v</v>
      </c>
      <c r="K580">
        <v>11380</v>
      </c>
      <c r="L580">
        <v>34634</v>
      </c>
      <c r="M580">
        <v>46014</v>
      </c>
      <c r="N580">
        <v>4</v>
      </c>
      <c r="O580" t="str">
        <f>("1")</f>
        <v>1</v>
      </c>
      <c r="P580" t="str">
        <f>("Dehaene Tom")</f>
        <v>Dehaene Tom</v>
      </c>
      <c r="Q580">
        <v>14572</v>
      </c>
      <c r="R580">
        <v>1</v>
      </c>
    </row>
    <row r="581" spans="1:19" x14ac:dyDescent="0.3">
      <c r="A581" t="s">
        <v>0</v>
      </c>
      <c r="B581" s="1">
        <v>45578</v>
      </c>
      <c r="C581" t="str">
        <f t="shared" si="128"/>
        <v>23027</v>
      </c>
      <c r="D581" t="s">
        <v>6</v>
      </c>
      <c r="E581" t="str">
        <f t="shared" si="129"/>
        <v>20</v>
      </c>
      <c r="F581">
        <v>454681</v>
      </c>
      <c r="G581">
        <v>285986</v>
      </c>
      <c r="H581">
        <v>11036</v>
      </c>
      <c r="I581" t="str">
        <f t="shared" si="130"/>
        <v>3</v>
      </c>
      <c r="J581" t="str">
        <f t="shared" si="131"/>
        <v>cd&amp;v</v>
      </c>
      <c r="K581">
        <v>11380</v>
      </c>
      <c r="L581">
        <v>34634</v>
      </c>
      <c r="M581">
        <v>46014</v>
      </c>
      <c r="N581">
        <v>4</v>
      </c>
      <c r="O581" t="str">
        <f>("2")</f>
        <v>2</v>
      </c>
      <c r="P581" t="str">
        <f>("Zelderloo Elke")</f>
        <v>Zelderloo Elke</v>
      </c>
      <c r="Q581">
        <v>7559</v>
      </c>
      <c r="R581">
        <v>3</v>
      </c>
    </row>
    <row r="582" spans="1:19" x14ac:dyDescent="0.3">
      <c r="A582" t="s">
        <v>0</v>
      </c>
      <c r="B582" s="1">
        <v>45578</v>
      </c>
      <c r="C582" t="str">
        <f t="shared" si="128"/>
        <v>23027</v>
      </c>
      <c r="D582" t="s">
        <v>6</v>
      </c>
      <c r="E582" t="str">
        <f t="shared" si="129"/>
        <v>20</v>
      </c>
      <c r="F582">
        <v>454681</v>
      </c>
      <c r="G582">
        <v>285986</v>
      </c>
      <c r="H582">
        <v>11036</v>
      </c>
      <c r="I582" t="str">
        <f t="shared" si="130"/>
        <v>3</v>
      </c>
      <c r="J582" t="str">
        <f t="shared" si="131"/>
        <v>cd&amp;v</v>
      </c>
      <c r="K582">
        <v>11380</v>
      </c>
      <c r="L582">
        <v>34634</v>
      </c>
      <c r="M582">
        <v>46014</v>
      </c>
      <c r="N582">
        <v>4</v>
      </c>
      <c r="O582" t="str">
        <f>("3")</f>
        <v>3</v>
      </c>
      <c r="P582" t="str">
        <f>("De Donder Walter")</f>
        <v>De Donder Walter</v>
      </c>
      <c r="Q582">
        <v>6737</v>
      </c>
      <c r="S582">
        <v>1</v>
      </c>
    </row>
    <row r="583" spans="1:19" x14ac:dyDescent="0.3">
      <c r="A583" t="s">
        <v>0</v>
      </c>
      <c r="B583" s="1">
        <v>45578</v>
      </c>
      <c r="C583" t="str">
        <f t="shared" si="128"/>
        <v>23027</v>
      </c>
      <c r="D583" t="s">
        <v>6</v>
      </c>
      <c r="E583" t="str">
        <f t="shared" si="129"/>
        <v>20</v>
      </c>
      <c r="F583">
        <v>454681</v>
      </c>
      <c r="G583">
        <v>285986</v>
      </c>
      <c r="H583">
        <v>11036</v>
      </c>
      <c r="I583" t="str">
        <f t="shared" si="130"/>
        <v>3</v>
      </c>
      <c r="J583" t="str">
        <f t="shared" si="131"/>
        <v>cd&amp;v</v>
      </c>
      <c r="K583">
        <v>11380</v>
      </c>
      <c r="L583">
        <v>34634</v>
      </c>
      <c r="M583">
        <v>46014</v>
      </c>
      <c r="N583">
        <v>4</v>
      </c>
      <c r="O583" t="str">
        <f>("4")</f>
        <v>4</v>
      </c>
      <c r="P583" t="str">
        <f>("Van Kriekinge Katrien")</f>
        <v>Van Kriekinge Katrien</v>
      </c>
      <c r="Q583">
        <v>2109</v>
      </c>
      <c r="S583">
        <v>7</v>
      </c>
    </row>
    <row r="584" spans="1:19" x14ac:dyDescent="0.3">
      <c r="A584" t="s">
        <v>0</v>
      </c>
      <c r="B584" s="1">
        <v>45578</v>
      </c>
      <c r="C584" t="str">
        <f t="shared" si="128"/>
        <v>23027</v>
      </c>
      <c r="D584" t="s">
        <v>6</v>
      </c>
      <c r="E584" t="str">
        <f t="shared" si="129"/>
        <v>20</v>
      </c>
      <c r="F584">
        <v>454681</v>
      </c>
      <c r="G584">
        <v>285986</v>
      </c>
      <c r="H584">
        <v>11036</v>
      </c>
      <c r="I584" t="str">
        <f t="shared" si="130"/>
        <v>3</v>
      </c>
      <c r="J584" t="str">
        <f t="shared" si="131"/>
        <v>cd&amp;v</v>
      </c>
      <c r="K584">
        <v>11380</v>
      </c>
      <c r="L584">
        <v>34634</v>
      </c>
      <c r="M584">
        <v>46014</v>
      </c>
      <c r="N584">
        <v>4</v>
      </c>
      <c r="O584" t="str">
        <f>("5")</f>
        <v>5</v>
      </c>
      <c r="P584" t="str">
        <f>("Van Dionant Louis")</f>
        <v>Van Dionant Louis</v>
      </c>
      <c r="Q584">
        <v>2159</v>
      </c>
      <c r="S584">
        <v>6</v>
      </c>
    </row>
    <row r="585" spans="1:19" x14ac:dyDescent="0.3">
      <c r="A585" t="s">
        <v>0</v>
      </c>
      <c r="B585" s="1">
        <v>45578</v>
      </c>
      <c r="C585" t="str">
        <f t="shared" si="128"/>
        <v>23027</v>
      </c>
      <c r="D585" t="s">
        <v>6</v>
      </c>
      <c r="E585" t="str">
        <f t="shared" si="129"/>
        <v>20</v>
      </c>
      <c r="F585">
        <v>454681</v>
      </c>
      <c r="G585">
        <v>285986</v>
      </c>
      <c r="H585">
        <v>11036</v>
      </c>
      <c r="I585" t="str">
        <f t="shared" si="130"/>
        <v>3</v>
      </c>
      <c r="J585" t="str">
        <f t="shared" si="131"/>
        <v>cd&amp;v</v>
      </c>
      <c r="K585">
        <v>11380</v>
      </c>
      <c r="L585">
        <v>34634</v>
      </c>
      <c r="M585">
        <v>46014</v>
      </c>
      <c r="N585">
        <v>4</v>
      </c>
      <c r="O585" t="str">
        <f>("6")</f>
        <v>6</v>
      </c>
      <c r="P585" t="str">
        <f>("Segers Greet")</f>
        <v>Segers Greet</v>
      </c>
      <c r="Q585">
        <v>2459</v>
      </c>
      <c r="S585">
        <v>3</v>
      </c>
    </row>
    <row r="586" spans="1:19" x14ac:dyDescent="0.3">
      <c r="A586" t="s">
        <v>0</v>
      </c>
      <c r="B586" s="1">
        <v>45578</v>
      </c>
      <c r="C586" t="str">
        <f t="shared" si="128"/>
        <v>23027</v>
      </c>
      <c r="D586" t="s">
        <v>6</v>
      </c>
      <c r="E586" t="str">
        <f t="shared" si="129"/>
        <v>20</v>
      </c>
      <c r="F586">
        <v>454681</v>
      </c>
      <c r="G586">
        <v>285986</v>
      </c>
      <c r="H586">
        <v>11036</v>
      </c>
      <c r="I586" t="str">
        <f t="shared" si="130"/>
        <v>3</v>
      </c>
      <c r="J586" t="str">
        <f t="shared" si="131"/>
        <v>cd&amp;v</v>
      </c>
      <c r="K586">
        <v>11380</v>
      </c>
      <c r="L586">
        <v>34634</v>
      </c>
      <c r="M586">
        <v>46014</v>
      </c>
      <c r="N586">
        <v>4</v>
      </c>
      <c r="O586" t="str">
        <f>("7")</f>
        <v>7</v>
      </c>
      <c r="P586" t="str">
        <f>("Schillebeeckx Lukas")</f>
        <v>Schillebeeckx Lukas</v>
      </c>
      <c r="Q586">
        <v>1452</v>
      </c>
      <c r="S586">
        <v>11</v>
      </c>
    </row>
    <row r="587" spans="1:19" x14ac:dyDescent="0.3">
      <c r="A587" t="s">
        <v>0</v>
      </c>
      <c r="B587" s="1">
        <v>45578</v>
      </c>
      <c r="C587" t="str">
        <f t="shared" si="128"/>
        <v>23027</v>
      </c>
      <c r="D587" t="s">
        <v>6</v>
      </c>
      <c r="E587" t="str">
        <f t="shared" si="129"/>
        <v>20</v>
      </c>
      <c r="F587">
        <v>454681</v>
      </c>
      <c r="G587">
        <v>285986</v>
      </c>
      <c r="H587">
        <v>11036</v>
      </c>
      <c r="I587" t="str">
        <f t="shared" si="130"/>
        <v>3</v>
      </c>
      <c r="J587" t="str">
        <f t="shared" si="131"/>
        <v>cd&amp;v</v>
      </c>
      <c r="K587">
        <v>11380</v>
      </c>
      <c r="L587">
        <v>34634</v>
      </c>
      <c r="M587">
        <v>46014</v>
      </c>
      <c r="N587">
        <v>4</v>
      </c>
      <c r="O587" t="str">
        <f>("8")</f>
        <v>8</v>
      </c>
      <c r="P587" t="str">
        <f>("Paredis Tine")</f>
        <v>Paredis Tine</v>
      </c>
      <c r="Q587">
        <v>1784</v>
      </c>
      <c r="S587">
        <v>9</v>
      </c>
    </row>
    <row r="588" spans="1:19" x14ac:dyDescent="0.3">
      <c r="A588" t="s">
        <v>0</v>
      </c>
      <c r="B588" s="1">
        <v>45578</v>
      </c>
      <c r="C588" t="str">
        <f t="shared" si="128"/>
        <v>23027</v>
      </c>
      <c r="D588" t="s">
        <v>6</v>
      </c>
      <c r="E588" t="str">
        <f t="shared" si="129"/>
        <v>20</v>
      </c>
      <c r="F588">
        <v>454681</v>
      </c>
      <c r="G588">
        <v>285986</v>
      </c>
      <c r="H588">
        <v>11036</v>
      </c>
      <c r="I588" t="str">
        <f t="shared" si="130"/>
        <v>3</v>
      </c>
      <c r="J588" t="str">
        <f t="shared" si="131"/>
        <v>cd&amp;v</v>
      </c>
      <c r="K588">
        <v>11380</v>
      </c>
      <c r="L588">
        <v>34634</v>
      </c>
      <c r="M588">
        <v>46014</v>
      </c>
      <c r="N588">
        <v>4</v>
      </c>
      <c r="O588" t="str">
        <f>("9")</f>
        <v>9</v>
      </c>
      <c r="P588" t="str">
        <f>("Ponsard Christophe")</f>
        <v>Ponsard Christophe</v>
      </c>
      <c r="Q588">
        <v>956</v>
      </c>
      <c r="S588">
        <v>16</v>
      </c>
    </row>
    <row r="589" spans="1:19" x14ac:dyDescent="0.3">
      <c r="A589" t="s">
        <v>0</v>
      </c>
      <c r="B589" s="1">
        <v>45578</v>
      </c>
      <c r="C589" t="str">
        <f t="shared" si="128"/>
        <v>23027</v>
      </c>
      <c r="D589" t="s">
        <v>6</v>
      </c>
      <c r="E589" t="str">
        <f t="shared" si="129"/>
        <v>20</v>
      </c>
      <c r="F589">
        <v>454681</v>
      </c>
      <c r="G589">
        <v>285986</v>
      </c>
      <c r="H589">
        <v>11036</v>
      </c>
      <c r="I589" t="str">
        <f t="shared" si="130"/>
        <v>3</v>
      </c>
      <c r="J589" t="str">
        <f t="shared" si="131"/>
        <v>cd&amp;v</v>
      </c>
      <c r="K589">
        <v>11380</v>
      </c>
      <c r="L589">
        <v>34634</v>
      </c>
      <c r="M589">
        <v>46014</v>
      </c>
      <c r="N589">
        <v>4</v>
      </c>
      <c r="O589" t="str">
        <f>("10")</f>
        <v>10</v>
      </c>
      <c r="P589" t="str">
        <f>("De Schepper Lesley")</f>
        <v>De Schepper Lesley</v>
      </c>
      <c r="Q589">
        <v>1878</v>
      </c>
      <c r="S589">
        <v>8</v>
      </c>
    </row>
    <row r="590" spans="1:19" x14ac:dyDescent="0.3">
      <c r="A590" t="s">
        <v>0</v>
      </c>
      <c r="B590" s="1">
        <v>45578</v>
      </c>
      <c r="C590" t="str">
        <f t="shared" si="128"/>
        <v>23027</v>
      </c>
      <c r="D590" t="s">
        <v>6</v>
      </c>
      <c r="E590" t="str">
        <f t="shared" si="129"/>
        <v>20</v>
      </c>
      <c r="F590">
        <v>454681</v>
      </c>
      <c r="G590">
        <v>285986</v>
      </c>
      <c r="H590">
        <v>11036</v>
      </c>
      <c r="I590" t="str">
        <f t="shared" si="130"/>
        <v>3</v>
      </c>
      <c r="J590" t="str">
        <f t="shared" si="131"/>
        <v>cd&amp;v</v>
      </c>
      <c r="K590">
        <v>11380</v>
      </c>
      <c r="L590">
        <v>34634</v>
      </c>
      <c r="M590">
        <v>46014</v>
      </c>
      <c r="N590">
        <v>4</v>
      </c>
      <c r="O590" t="str">
        <f>("11")</f>
        <v>11</v>
      </c>
      <c r="P590" t="str">
        <f>("Van Humbeeck Bart")</f>
        <v>Van Humbeeck Bart</v>
      </c>
      <c r="Q590">
        <v>1698</v>
      </c>
      <c r="S590">
        <v>10</v>
      </c>
    </row>
    <row r="591" spans="1:19" x14ac:dyDescent="0.3">
      <c r="A591" t="s">
        <v>0</v>
      </c>
      <c r="B591" s="1">
        <v>45578</v>
      </c>
      <c r="C591" t="str">
        <f t="shared" si="128"/>
        <v>23027</v>
      </c>
      <c r="D591" t="s">
        <v>6</v>
      </c>
      <c r="E591" t="str">
        <f t="shared" si="129"/>
        <v>20</v>
      </c>
      <c r="F591">
        <v>454681</v>
      </c>
      <c r="G591">
        <v>285986</v>
      </c>
      <c r="H591">
        <v>11036</v>
      </c>
      <c r="I591" t="str">
        <f t="shared" si="130"/>
        <v>3</v>
      </c>
      <c r="J591" t="str">
        <f t="shared" si="131"/>
        <v>cd&amp;v</v>
      </c>
      <c r="K591">
        <v>11380</v>
      </c>
      <c r="L591">
        <v>34634</v>
      </c>
      <c r="M591">
        <v>46014</v>
      </c>
      <c r="N591">
        <v>4</v>
      </c>
      <c r="O591" t="str">
        <f>("12")</f>
        <v>12</v>
      </c>
      <c r="P591" t="str">
        <f>("Dero Veerle")</f>
        <v>Dero Veerle</v>
      </c>
      <c r="Q591">
        <v>2339</v>
      </c>
      <c r="S591">
        <v>4</v>
      </c>
    </row>
    <row r="592" spans="1:19" x14ac:dyDescent="0.3">
      <c r="A592" t="s">
        <v>0</v>
      </c>
      <c r="B592" s="1">
        <v>45578</v>
      </c>
      <c r="C592" t="str">
        <f t="shared" si="128"/>
        <v>23027</v>
      </c>
      <c r="D592" t="s">
        <v>6</v>
      </c>
      <c r="E592" t="str">
        <f t="shared" si="129"/>
        <v>20</v>
      </c>
      <c r="F592">
        <v>454681</v>
      </c>
      <c r="G592">
        <v>285986</v>
      </c>
      <c r="H592">
        <v>11036</v>
      </c>
      <c r="I592" t="str">
        <f t="shared" si="130"/>
        <v>3</v>
      </c>
      <c r="J592" t="str">
        <f t="shared" si="131"/>
        <v>cd&amp;v</v>
      </c>
      <c r="K592">
        <v>11380</v>
      </c>
      <c r="L592">
        <v>34634</v>
      </c>
      <c r="M592">
        <v>46014</v>
      </c>
      <c r="N592">
        <v>4</v>
      </c>
      <c r="O592" t="str">
        <f>("13")</f>
        <v>13</v>
      </c>
      <c r="P592" t="str">
        <f>("Top Veysel-Karani")</f>
        <v>Top Veysel-Karani</v>
      </c>
      <c r="Q592">
        <v>1377</v>
      </c>
      <c r="S592">
        <v>13</v>
      </c>
    </row>
    <row r="593" spans="1:19" x14ac:dyDescent="0.3">
      <c r="A593" t="s">
        <v>0</v>
      </c>
      <c r="B593" s="1">
        <v>45578</v>
      </c>
      <c r="C593" t="str">
        <f t="shared" si="128"/>
        <v>23027</v>
      </c>
      <c r="D593" t="s">
        <v>6</v>
      </c>
      <c r="E593" t="str">
        <f t="shared" si="129"/>
        <v>20</v>
      </c>
      <c r="F593">
        <v>454681</v>
      </c>
      <c r="G593">
        <v>285986</v>
      </c>
      <c r="H593">
        <v>11036</v>
      </c>
      <c r="I593" t="str">
        <f t="shared" si="130"/>
        <v>3</v>
      </c>
      <c r="J593" t="str">
        <f t="shared" si="131"/>
        <v>cd&amp;v</v>
      </c>
      <c r="K593">
        <v>11380</v>
      </c>
      <c r="L593">
        <v>34634</v>
      </c>
      <c r="M593">
        <v>46014</v>
      </c>
      <c r="N593">
        <v>4</v>
      </c>
      <c r="O593" t="str">
        <f>("14")</f>
        <v>14</v>
      </c>
      <c r="P593" t="str">
        <f>("De Rudder Carmen")</f>
        <v>De Rudder Carmen</v>
      </c>
      <c r="Q593">
        <v>1396</v>
      </c>
      <c r="S593">
        <v>12</v>
      </c>
    </row>
    <row r="594" spans="1:19" x14ac:dyDescent="0.3">
      <c r="A594" t="s">
        <v>0</v>
      </c>
      <c r="B594" s="1">
        <v>45578</v>
      </c>
      <c r="C594" t="str">
        <f t="shared" si="128"/>
        <v>23027</v>
      </c>
      <c r="D594" t="s">
        <v>6</v>
      </c>
      <c r="E594" t="str">
        <f t="shared" si="129"/>
        <v>20</v>
      </c>
      <c r="F594">
        <v>454681</v>
      </c>
      <c r="G594">
        <v>285986</v>
      </c>
      <c r="H594">
        <v>11036</v>
      </c>
      <c r="I594" t="str">
        <f t="shared" si="130"/>
        <v>3</v>
      </c>
      <c r="J594" t="str">
        <f t="shared" si="131"/>
        <v>cd&amp;v</v>
      </c>
      <c r="K594">
        <v>11380</v>
      </c>
      <c r="L594">
        <v>34634</v>
      </c>
      <c r="M594">
        <v>46014</v>
      </c>
      <c r="N594">
        <v>4</v>
      </c>
      <c r="O594" t="str">
        <f>("15")</f>
        <v>15</v>
      </c>
      <c r="P594" t="str">
        <f>("Maetens Willem")</f>
        <v>Maetens Willem</v>
      </c>
      <c r="Q594">
        <v>1176</v>
      </c>
      <c r="S594">
        <v>14</v>
      </c>
    </row>
    <row r="595" spans="1:19" x14ac:dyDescent="0.3">
      <c r="A595" t="s">
        <v>0</v>
      </c>
      <c r="B595" s="1">
        <v>45578</v>
      </c>
      <c r="C595" t="str">
        <f t="shared" si="128"/>
        <v>23027</v>
      </c>
      <c r="D595" t="s">
        <v>6</v>
      </c>
      <c r="E595" t="str">
        <f t="shared" si="129"/>
        <v>20</v>
      </c>
      <c r="F595">
        <v>454681</v>
      </c>
      <c r="G595">
        <v>285986</v>
      </c>
      <c r="H595">
        <v>11036</v>
      </c>
      <c r="I595" t="str">
        <f t="shared" si="130"/>
        <v>3</v>
      </c>
      <c r="J595" t="str">
        <f t="shared" si="131"/>
        <v>cd&amp;v</v>
      </c>
      <c r="K595">
        <v>11380</v>
      </c>
      <c r="L595">
        <v>34634</v>
      </c>
      <c r="M595">
        <v>46014</v>
      </c>
      <c r="N595">
        <v>4</v>
      </c>
      <c r="O595" t="str">
        <f>("16")</f>
        <v>16</v>
      </c>
      <c r="P595" t="str">
        <f>("Van Rompaey Ann")</f>
        <v>Van Rompaey Ann</v>
      </c>
      <c r="Q595">
        <v>2316</v>
      </c>
      <c r="S595">
        <v>5</v>
      </c>
    </row>
    <row r="596" spans="1:19" x14ac:dyDescent="0.3">
      <c r="A596" t="s">
        <v>0</v>
      </c>
      <c r="B596" s="1">
        <v>45578</v>
      </c>
      <c r="C596" t="str">
        <f t="shared" si="128"/>
        <v>23027</v>
      </c>
      <c r="D596" t="s">
        <v>6</v>
      </c>
      <c r="E596" t="str">
        <f t="shared" si="129"/>
        <v>20</v>
      </c>
      <c r="F596">
        <v>454681</v>
      </c>
      <c r="G596">
        <v>285986</v>
      </c>
      <c r="H596">
        <v>11036</v>
      </c>
      <c r="I596" t="str">
        <f t="shared" si="130"/>
        <v>3</v>
      </c>
      <c r="J596" t="str">
        <f t="shared" si="131"/>
        <v>cd&amp;v</v>
      </c>
      <c r="K596">
        <v>11380</v>
      </c>
      <c r="L596">
        <v>34634</v>
      </c>
      <c r="M596">
        <v>46014</v>
      </c>
      <c r="N596">
        <v>4</v>
      </c>
      <c r="O596" t="str">
        <f>("17")</f>
        <v>17</v>
      </c>
      <c r="P596" t="str">
        <f>("Van Rompuy-Windels Geertrui")</f>
        <v>Van Rompuy-Windels Geertrui</v>
      </c>
      <c r="Q596">
        <v>2699</v>
      </c>
      <c r="S596">
        <v>2</v>
      </c>
    </row>
    <row r="597" spans="1:19" x14ac:dyDescent="0.3">
      <c r="A597" t="s">
        <v>0</v>
      </c>
      <c r="B597" s="1">
        <v>45578</v>
      </c>
      <c r="C597" t="str">
        <f t="shared" si="128"/>
        <v>23027</v>
      </c>
      <c r="D597" t="s">
        <v>6</v>
      </c>
      <c r="E597" t="str">
        <f t="shared" si="129"/>
        <v>20</v>
      </c>
      <c r="F597">
        <v>454681</v>
      </c>
      <c r="G597">
        <v>285986</v>
      </c>
      <c r="H597">
        <v>11036</v>
      </c>
      <c r="I597" t="str">
        <f t="shared" si="130"/>
        <v>3</v>
      </c>
      <c r="J597" t="str">
        <f t="shared" si="131"/>
        <v>cd&amp;v</v>
      </c>
      <c r="K597">
        <v>11380</v>
      </c>
      <c r="L597">
        <v>34634</v>
      </c>
      <c r="M597">
        <v>46014</v>
      </c>
      <c r="N597">
        <v>4</v>
      </c>
      <c r="O597" t="str">
        <f>("18")</f>
        <v>18</v>
      </c>
      <c r="P597" t="str">
        <f>("Verhaegen Chris")</f>
        <v>Verhaegen Chris</v>
      </c>
      <c r="Q597">
        <v>1139</v>
      </c>
      <c r="S597">
        <v>15</v>
      </c>
    </row>
    <row r="598" spans="1:19" x14ac:dyDescent="0.3">
      <c r="A598" t="s">
        <v>0</v>
      </c>
      <c r="B598" s="1">
        <v>45578</v>
      </c>
      <c r="C598" t="str">
        <f t="shared" si="128"/>
        <v>23027</v>
      </c>
      <c r="D598" t="s">
        <v>6</v>
      </c>
      <c r="E598" t="str">
        <f t="shared" si="129"/>
        <v>20</v>
      </c>
      <c r="F598">
        <v>454681</v>
      </c>
      <c r="G598">
        <v>285986</v>
      </c>
      <c r="H598">
        <v>11036</v>
      </c>
      <c r="I598" t="str">
        <f t="shared" si="130"/>
        <v>3</v>
      </c>
      <c r="J598" t="str">
        <f t="shared" si="131"/>
        <v>cd&amp;v</v>
      </c>
      <c r="K598">
        <v>11380</v>
      </c>
      <c r="L598">
        <v>34634</v>
      </c>
      <c r="M598">
        <v>46014</v>
      </c>
      <c r="N598">
        <v>4</v>
      </c>
      <c r="O598" t="str">
        <f>("19")</f>
        <v>19</v>
      </c>
      <c r="P598" t="str">
        <f>("Poelaert Kris")</f>
        <v>Poelaert Kris</v>
      </c>
      <c r="Q598">
        <v>7178</v>
      </c>
      <c r="R598">
        <v>4</v>
      </c>
    </row>
    <row r="599" spans="1:19" x14ac:dyDescent="0.3">
      <c r="A599" t="s">
        <v>0</v>
      </c>
      <c r="B599" s="1">
        <v>45578</v>
      </c>
      <c r="C599" t="str">
        <f t="shared" si="128"/>
        <v>23027</v>
      </c>
      <c r="D599" t="s">
        <v>6</v>
      </c>
      <c r="E599" t="str">
        <f t="shared" si="129"/>
        <v>20</v>
      </c>
      <c r="F599">
        <v>454681</v>
      </c>
      <c r="G599">
        <v>285986</v>
      </c>
      <c r="H599">
        <v>11036</v>
      </c>
      <c r="I599" t="str">
        <f t="shared" si="130"/>
        <v>3</v>
      </c>
      <c r="J599" t="str">
        <f t="shared" si="131"/>
        <v>cd&amp;v</v>
      </c>
      <c r="K599">
        <v>11380</v>
      </c>
      <c r="L599">
        <v>34634</v>
      </c>
      <c r="M599">
        <v>46014</v>
      </c>
      <c r="N599">
        <v>4</v>
      </c>
      <c r="O599" t="str">
        <f>("20")</f>
        <v>20</v>
      </c>
      <c r="P599" t="str">
        <f>("Mahdi Sammy")</f>
        <v>Mahdi Sammy</v>
      </c>
      <c r="Q599">
        <v>9819</v>
      </c>
      <c r="R599">
        <v>2</v>
      </c>
    </row>
    <row r="600" spans="1:19" x14ac:dyDescent="0.3">
      <c r="A600" t="s">
        <v>0</v>
      </c>
      <c r="B600" s="1">
        <v>45578</v>
      </c>
      <c r="C600" t="str">
        <f t="shared" si="128"/>
        <v>23027</v>
      </c>
      <c r="D600" t="s">
        <v>6</v>
      </c>
      <c r="E600" t="str">
        <f t="shared" si="129"/>
        <v>20</v>
      </c>
      <c r="F600">
        <v>454681</v>
      </c>
      <c r="G600">
        <v>285986</v>
      </c>
      <c r="H600">
        <v>11036</v>
      </c>
      <c r="I600" t="str">
        <f t="shared" ref="I600:I619" si="132">("4")</f>
        <v>4</v>
      </c>
      <c r="J600" t="str">
        <f t="shared" ref="J600:J619" si="133">("VLAAMS BELANG")</f>
        <v>VLAAMS BELANG</v>
      </c>
      <c r="K600">
        <v>21352</v>
      </c>
      <c r="L600">
        <v>14299</v>
      </c>
      <c r="M600">
        <v>35651</v>
      </c>
      <c r="N600">
        <v>3</v>
      </c>
      <c r="O600" t="str">
        <f>("1")</f>
        <v>1</v>
      </c>
      <c r="P600" t="str">
        <f>("Longeval Eddy")</f>
        <v>Longeval Eddy</v>
      </c>
      <c r="Q600">
        <v>7863</v>
      </c>
      <c r="R600">
        <v>1</v>
      </c>
    </row>
    <row r="601" spans="1:19" x14ac:dyDescent="0.3">
      <c r="A601" t="s">
        <v>0</v>
      </c>
      <c r="B601" s="1">
        <v>45578</v>
      </c>
      <c r="C601" t="str">
        <f t="shared" si="128"/>
        <v>23027</v>
      </c>
      <c r="D601" t="s">
        <v>6</v>
      </c>
      <c r="E601" t="str">
        <f t="shared" si="129"/>
        <v>20</v>
      </c>
      <c r="F601">
        <v>454681</v>
      </c>
      <c r="G601">
        <v>285986</v>
      </c>
      <c r="H601">
        <v>11036</v>
      </c>
      <c r="I601" t="str">
        <f t="shared" si="132"/>
        <v>4</v>
      </c>
      <c r="J601" t="str">
        <f t="shared" si="133"/>
        <v>VLAAMS BELANG</v>
      </c>
      <c r="K601">
        <v>21352</v>
      </c>
      <c r="L601">
        <v>14299</v>
      </c>
      <c r="M601">
        <v>35651</v>
      </c>
      <c r="N601">
        <v>3</v>
      </c>
      <c r="O601" t="str">
        <f>("2")</f>
        <v>2</v>
      </c>
      <c r="P601" t="str">
        <f>("De Mesel Katrien")</f>
        <v>De Mesel Katrien</v>
      </c>
      <c r="Q601">
        <v>4060</v>
      </c>
      <c r="R601">
        <v>3</v>
      </c>
    </row>
    <row r="602" spans="1:19" x14ac:dyDescent="0.3">
      <c r="A602" t="s">
        <v>0</v>
      </c>
      <c r="B602" s="1">
        <v>45578</v>
      </c>
      <c r="C602" t="str">
        <f t="shared" si="128"/>
        <v>23027</v>
      </c>
      <c r="D602" t="s">
        <v>6</v>
      </c>
      <c r="E602" t="str">
        <f t="shared" si="129"/>
        <v>20</v>
      </c>
      <c r="F602">
        <v>454681</v>
      </c>
      <c r="G602">
        <v>285986</v>
      </c>
      <c r="H602">
        <v>11036</v>
      </c>
      <c r="I602" t="str">
        <f t="shared" si="132"/>
        <v>4</v>
      </c>
      <c r="J602" t="str">
        <f t="shared" si="133"/>
        <v>VLAAMS BELANG</v>
      </c>
      <c r="K602">
        <v>21352</v>
      </c>
      <c r="L602">
        <v>14299</v>
      </c>
      <c r="M602">
        <v>35651</v>
      </c>
      <c r="N602">
        <v>3</v>
      </c>
      <c r="O602" t="str">
        <f>("3")</f>
        <v>3</v>
      </c>
      <c r="P602" t="str">
        <f>("Raekelboom Luk")</f>
        <v>Raekelboom Luk</v>
      </c>
      <c r="Q602">
        <v>3187</v>
      </c>
      <c r="S602">
        <v>1</v>
      </c>
    </row>
    <row r="603" spans="1:19" x14ac:dyDescent="0.3">
      <c r="A603" t="s">
        <v>0</v>
      </c>
      <c r="B603" s="1">
        <v>45578</v>
      </c>
      <c r="C603" t="str">
        <f t="shared" si="128"/>
        <v>23027</v>
      </c>
      <c r="D603" t="s">
        <v>6</v>
      </c>
      <c r="E603" t="str">
        <f t="shared" si="129"/>
        <v>20</v>
      </c>
      <c r="F603">
        <v>454681</v>
      </c>
      <c r="G603">
        <v>285986</v>
      </c>
      <c r="H603">
        <v>11036</v>
      </c>
      <c r="I603" t="str">
        <f t="shared" si="132"/>
        <v>4</v>
      </c>
      <c r="J603" t="str">
        <f t="shared" si="133"/>
        <v>VLAAMS BELANG</v>
      </c>
      <c r="K603">
        <v>21352</v>
      </c>
      <c r="L603">
        <v>14299</v>
      </c>
      <c r="M603">
        <v>35651</v>
      </c>
      <c r="N603">
        <v>3</v>
      </c>
      <c r="O603" t="str">
        <f>("4")</f>
        <v>4</v>
      </c>
      <c r="P603" t="str">
        <f>("Fonteyne Daniel")</f>
        <v>Fonteyne Daniel</v>
      </c>
      <c r="Q603">
        <v>2908</v>
      </c>
      <c r="S603">
        <v>4</v>
      </c>
    </row>
    <row r="604" spans="1:19" x14ac:dyDescent="0.3">
      <c r="A604" t="s">
        <v>0</v>
      </c>
      <c r="B604" s="1">
        <v>45578</v>
      </c>
      <c r="C604" t="str">
        <f t="shared" ref="C604:C635" si="134">("23027")</f>
        <v>23027</v>
      </c>
      <c r="D604" t="s">
        <v>6</v>
      </c>
      <c r="E604" t="str">
        <f t="shared" ref="E604:E635" si="135">("20")</f>
        <v>20</v>
      </c>
      <c r="F604">
        <v>454681</v>
      </c>
      <c r="G604">
        <v>285986</v>
      </c>
      <c r="H604">
        <v>11036</v>
      </c>
      <c r="I604" t="str">
        <f t="shared" si="132"/>
        <v>4</v>
      </c>
      <c r="J604" t="str">
        <f t="shared" si="133"/>
        <v>VLAAMS BELANG</v>
      </c>
      <c r="K604">
        <v>21352</v>
      </c>
      <c r="L604">
        <v>14299</v>
      </c>
      <c r="M604">
        <v>35651</v>
      </c>
      <c r="N604">
        <v>3</v>
      </c>
      <c r="O604" t="str">
        <f>("5")</f>
        <v>5</v>
      </c>
      <c r="P604" t="str">
        <f>("Vandenbrande Miranda")</f>
        <v>Vandenbrande Miranda</v>
      </c>
      <c r="Q604">
        <v>3082</v>
      </c>
      <c r="S604">
        <v>3</v>
      </c>
    </row>
    <row r="605" spans="1:19" x14ac:dyDescent="0.3">
      <c r="A605" t="s">
        <v>0</v>
      </c>
      <c r="B605" s="1">
        <v>45578</v>
      </c>
      <c r="C605" t="str">
        <f t="shared" si="134"/>
        <v>23027</v>
      </c>
      <c r="D605" t="s">
        <v>6</v>
      </c>
      <c r="E605" t="str">
        <f t="shared" si="135"/>
        <v>20</v>
      </c>
      <c r="F605">
        <v>454681</v>
      </c>
      <c r="G605">
        <v>285986</v>
      </c>
      <c r="H605">
        <v>11036</v>
      </c>
      <c r="I605" t="str">
        <f t="shared" si="132"/>
        <v>4</v>
      </c>
      <c r="J605" t="str">
        <f t="shared" si="133"/>
        <v>VLAAMS BELANG</v>
      </c>
      <c r="K605">
        <v>21352</v>
      </c>
      <c r="L605">
        <v>14299</v>
      </c>
      <c r="M605">
        <v>35651</v>
      </c>
      <c r="N605">
        <v>3</v>
      </c>
      <c r="O605" t="str">
        <f>("6")</f>
        <v>6</v>
      </c>
      <c r="P605" t="str">
        <f>("Clavelle Marleen")</f>
        <v>Clavelle Marleen</v>
      </c>
      <c r="Q605">
        <v>2606</v>
      </c>
      <c r="S605">
        <v>6</v>
      </c>
    </row>
    <row r="606" spans="1:19" x14ac:dyDescent="0.3">
      <c r="A606" t="s">
        <v>0</v>
      </c>
      <c r="B606" s="1">
        <v>45578</v>
      </c>
      <c r="C606" t="str">
        <f t="shared" si="134"/>
        <v>23027</v>
      </c>
      <c r="D606" t="s">
        <v>6</v>
      </c>
      <c r="E606" t="str">
        <f t="shared" si="135"/>
        <v>20</v>
      </c>
      <c r="F606">
        <v>454681</v>
      </c>
      <c r="G606">
        <v>285986</v>
      </c>
      <c r="H606">
        <v>11036</v>
      </c>
      <c r="I606" t="str">
        <f t="shared" si="132"/>
        <v>4</v>
      </c>
      <c r="J606" t="str">
        <f t="shared" si="133"/>
        <v>VLAAMS BELANG</v>
      </c>
      <c r="K606">
        <v>21352</v>
      </c>
      <c r="L606">
        <v>14299</v>
      </c>
      <c r="M606">
        <v>35651</v>
      </c>
      <c r="N606">
        <v>3</v>
      </c>
      <c r="O606" t="str">
        <f>("7")</f>
        <v>7</v>
      </c>
      <c r="P606" t="str">
        <f>("De Man Hagen")</f>
        <v>De Man Hagen</v>
      </c>
      <c r="Q606">
        <v>2530</v>
      </c>
      <c r="S606">
        <v>8</v>
      </c>
    </row>
    <row r="607" spans="1:19" x14ac:dyDescent="0.3">
      <c r="A607" t="s">
        <v>0</v>
      </c>
      <c r="B607" s="1">
        <v>45578</v>
      </c>
      <c r="C607" t="str">
        <f t="shared" si="134"/>
        <v>23027</v>
      </c>
      <c r="D607" t="s">
        <v>6</v>
      </c>
      <c r="E607" t="str">
        <f t="shared" si="135"/>
        <v>20</v>
      </c>
      <c r="F607">
        <v>454681</v>
      </c>
      <c r="G607">
        <v>285986</v>
      </c>
      <c r="H607">
        <v>11036</v>
      </c>
      <c r="I607" t="str">
        <f t="shared" si="132"/>
        <v>4</v>
      </c>
      <c r="J607" t="str">
        <f t="shared" si="133"/>
        <v>VLAAMS BELANG</v>
      </c>
      <c r="K607">
        <v>21352</v>
      </c>
      <c r="L607">
        <v>14299</v>
      </c>
      <c r="M607">
        <v>35651</v>
      </c>
      <c r="N607">
        <v>3</v>
      </c>
      <c r="O607" t="str">
        <f>("8")</f>
        <v>8</v>
      </c>
      <c r="P607" t="str">
        <f>("De Bolle Ann")</f>
        <v>De Bolle Ann</v>
      </c>
      <c r="Q607">
        <v>3086</v>
      </c>
      <c r="S607">
        <v>2</v>
      </c>
    </row>
    <row r="608" spans="1:19" x14ac:dyDescent="0.3">
      <c r="A608" t="s">
        <v>0</v>
      </c>
      <c r="B608" s="1">
        <v>45578</v>
      </c>
      <c r="C608" t="str">
        <f t="shared" si="134"/>
        <v>23027</v>
      </c>
      <c r="D608" t="s">
        <v>6</v>
      </c>
      <c r="E608" t="str">
        <f t="shared" si="135"/>
        <v>20</v>
      </c>
      <c r="F608">
        <v>454681</v>
      </c>
      <c r="G608">
        <v>285986</v>
      </c>
      <c r="H608">
        <v>11036</v>
      </c>
      <c r="I608" t="str">
        <f t="shared" si="132"/>
        <v>4</v>
      </c>
      <c r="J608" t="str">
        <f t="shared" si="133"/>
        <v>VLAAMS BELANG</v>
      </c>
      <c r="K608">
        <v>21352</v>
      </c>
      <c r="L608">
        <v>14299</v>
      </c>
      <c r="M608">
        <v>35651</v>
      </c>
      <c r="N608">
        <v>3</v>
      </c>
      <c r="O608" t="str">
        <f>("9")</f>
        <v>9</v>
      </c>
      <c r="P608" t="str">
        <f>("Sleewaegen Luc")</f>
        <v>Sleewaegen Luc</v>
      </c>
      <c r="Q608">
        <v>2451</v>
      </c>
      <c r="S608">
        <v>10</v>
      </c>
    </row>
    <row r="609" spans="1:19" x14ac:dyDescent="0.3">
      <c r="A609" t="s">
        <v>0</v>
      </c>
      <c r="B609" s="1">
        <v>45578</v>
      </c>
      <c r="C609" t="str">
        <f t="shared" si="134"/>
        <v>23027</v>
      </c>
      <c r="D609" t="s">
        <v>6</v>
      </c>
      <c r="E609" t="str">
        <f t="shared" si="135"/>
        <v>20</v>
      </c>
      <c r="F609">
        <v>454681</v>
      </c>
      <c r="G609">
        <v>285986</v>
      </c>
      <c r="H609">
        <v>11036</v>
      </c>
      <c r="I609" t="str">
        <f t="shared" si="132"/>
        <v>4</v>
      </c>
      <c r="J609" t="str">
        <f t="shared" si="133"/>
        <v>VLAAMS BELANG</v>
      </c>
      <c r="K609">
        <v>21352</v>
      </c>
      <c r="L609">
        <v>14299</v>
      </c>
      <c r="M609">
        <v>35651</v>
      </c>
      <c r="N609">
        <v>3</v>
      </c>
      <c r="O609" t="str">
        <f>("10")</f>
        <v>10</v>
      </c>
      <c r="P609" t="str">
        <f>("Vankerckhoven Anaïs")</f>
        <v>Vankerckhoven Anaïs</v>
      </c>
      <c r="Q609">
        <v>2513</v>
      </c>
      <c r="S609">
        <v>9</v>
      </c>
    </row>
    <row r="610" spans="1:19" x14ac:dyDescent="0.3">
      <c r="A610" t="s">
        <v>0</v>
      </c>
      <c r="B610" s="1">
        <v>45578</v>
      </c>
      <c r="C610" t="str">
        <f t="shared" si="134"/>
        <v>23027</v>
      </c>
      <c r="D610" t="s">
        <v>6</v>
      </c>
      <c r="E610" t="str">
        <f t="shared" si="135"/>
        <v>20</v>
      </c>
      <c r="F610">
        <v>454681</v>
      </c>
      <c r="G610">
        <v>285986</v>
      </c>
      <c r="H610">
        <v>11036</v>
      </c>
      <c r="I610" t="str">
        <f t="shared" si="132"/>
        <v>4</v>
      </c>
      <c r="J610" t="str">
        <f t="shared" si="133"/>
        <v>VLAAMS BELANG</v>
      </c>
      <c r="K610">
        <v>21352</v>
      </c>
      <c r="L610">
        <v>14299</v>
      </c>
      <c r="M610">
        <v>35651</v>
      </c>
      <c r="N610">
        <v>3</v>
      </c>
      <c r="O610" t="str">
        <f>("11")</f>
        <v>11</v>
      </c>
      <c r="P610" t="str">
        <f>("Conters Patrick")</f>
        <v>Conters Patrick</v>
      </c>
      <c r="Q610">
        <v>2224</v>
      </c>
      <c r="S610">
        <v>16</v>
      </c>
    </row>
    <row r="611" spans="1:19" x14ac:dyDescent="0.3">
      <c r="A611" t="s">
        <v>0</v>
      </c>
      <c r="B611" s="1">
        <v>45578</v>
      </c>
      <c r="C611" t="str">
        <f t="shared" si="134"/>
        <v>23027</v>
      </c>
      <c r="D611" t="s">
        <v>6</v>
      </c>
      <c r="E611" t="str">
        <f t="shared" si="135"/>
        <v>20</v>
      </c>
      <c r="F611">
        <v>454681</v>
      </c>
      <c r="G611">
        <v>285986</v>
      </c>
      <c r="H611">
        <v>11036</v>
      </c>
      <c r="I611" t="str">
        <f t="shared" si="132"/>
        <v>4</v>
      </c>
      <c r="J611" t="str">
        <f t="shared" si="133"/>
        <v>VLAAMS BELANG</v>
      </c>
      <c r="K611">
        <v>21352</v>
      </c>
      <c r="L611">
        <v>14299</v>
      </c>
      <c r="M611">
        <v>35651</v>
      </c>
      <c r="N611">
        <v>3</v>
      </c>
      <c r="O611" t="str">
        <f>("12")</f>
        <v>12</v>
      </c>
      <c r="P611" t="str">
        <f>("Van der Jeught Louise")</f>
        <v>Van der Jeught Louise</v>
      </c>
      <c r="Q611">
        <v>2282</v>
      </c>
      <c r="S611">
        <v>14</v>
      </c>
    </row>
    <row r="612" spans="1:19" x14ac:dyDescent="0.3">
      <c r="A612" t="s">
        <v>0</v>
      </c>
      <c r="B612" s="1">
        <v>45578</v>
      </c>
      <c r="C612" t="str">
        <f t="shared" si="134"/>
        <v>23027</v>
      </c>
      <c r="D612" t="s">
        <v>6</v>
      </c>
      <c r="E612" t="str">
        <f t="shared" si="135"/>
        <v>20</v>
      </c>
      <c r="F612">
        <v>454681</v>
      </c>
      <c r="G612">
        <v>285986</v>
      </c>
      <c r="H612">
        <v>11036</v>
      </c>
      <c r="I612" t="str">
        <f t="shared" si="132"/>
        <v>4</v>
      </c>
      <c r="J612" t="str">
        <f t="shared" si="133"/>
        <v>VLAAMS BELANG</v>
      </c>
      <c r="K612">
        <v>21352</v>
      </c>
      <c r="L612">
        <v>14299</v>
      </c>
      <c r="M612">
        <v>35651</v>
      </c>
      <c r="N612">
        <v>3</v>
      </c>
      <c r="O612" t="str">
        <f>("13")</f>
        <v>13</v>
      </c>
      <c r="P612" t="str">
        <f>("L'Ecluse Evelien")</f>
        <v>L'Ecluse Evelien</v>
      </c>
      <c r="Q612">
        <v>2318</v>
      </c>
      <c r="S612">
        <v>13</v>
      </c>
    </row>
    <row r="613" spans="1:19" x14ac:dyDescent="0.3">
      <c r="A613" t="s">
        <v>0</v>
      </c>
      <c r="B613" s="1">
        <v>45578</v>
      </c>
      <c r="C613" t="str">
        <f t="shared" si="134"/>
        <v>23027</v>
      </c>
      <c r="D613" t="s">
        <v>6</v>
      </c>
      <c r="E613" t="str">
        <f t="shared" si="135"/>
        <v>20</v>
      </c>
      <c r="F613">
        <v>454681</v>
      </c>
      <c r="G613">
        <v>285986</v>
      </c>
      <c r="H613">
        <v>11036</v>
      </c>
      <c r="I613" t="str">
        <f t="shared" si="132"/>
        <v>4</v>
      </c>
      <c r="J613" t="str">
        <f t="shared" si="133"/>
        <v>VLAAMS BELANG</v>
      </c>
      <c r="K613">
        <v>21352</v>
      </c>
      <c r="L613">
        <v>14299</v>
      </c>
      <c r="M613">
        <v>35651</v>
      </c>
      <c r="N613">
        <v>3</v>
      </c>
      <c r="O613" t="str">
        <f>("14")</f>
        <v>14</v>
      </c>
      <c r="P613" t="str">
        <f>("Sergeys Stefan")</f>
        <v>Sergeys Stefan</v>
      </c>
      <c r="Q613">
        <v>2114</v>
      </c>
      <c r="S613">
        <v>17</v>
      </c>
    </row>
    <row r="614" spans="1:19" x14ac:dyDescent="0.3">
      <c r="A614" t="s">
        <v>0</v>
      </c>
      <c r="B614" s="1">
        <v>45578</v>
      </c>
      <c r="C614" t="str">
        <f t="shared" si="134"/>
        <v>23027</v>
      </c>
      <c r="D614" t="s">
        <v>6</v>
      </c>
      <c r="E614" t="str">
        <f t="shared" si="135"/>
        <v>20</v>
      </c>
      <c r="F614">
        <v>454681</v>
      </c>
      <c r="G614">
        <v>285986</v>
      </c>
      <c r="H614">
        <v>11036</v>
      </c>
      <c r="I614" t="str">
        <f t="shared" si="132"/>
        <v>4</v>
      </c>
      <c r="J614" t="str">
        <f t="shared" si="133"/>
        <v>VLAAMS BELANG</v>
      </c>
      <c r="K614">
        <v>21352</v>
      </c>
      <c r="L614">
        <v>14299</v>
      </c>
      <c r="M614">
        <v>35651</v>
      </c>
      <c r="N614">
        <v>3</v>
      </c>
      <c r="O614" t="str">
        <f>("15")</f>
        <v>15</v>
      </c>
      <c r="P614" t="str">
        <f>("Jacobs Suzy")</f>
        <v>Jacobs Suzy</v>
      </c>
      <c r="Q614">
        <v>2328</v>
      </c>
      <c r="S614">
        <v>12</v>
      </c>
    </row>
    <row r="615" spans="1:19" x14ac:dyDescent="0.3">
      <c r="A615" t="s">
        <v>0</v>
      </c>
      <c r="B615" s="1">
        <v>45578</v>
      </c>
      <c r="C615" t="str">
        <f t="shared" si="134"/>
        <v>23027</v>
      </c>
      <c r="D615" t="s">
        <v>6</v>
      </c>
      <c r="E615" t="str">
        <f t="shared" si="135"/>
        <v>20</v>
      </c>
      <c r="F615">
        <v>454681</v>
      </c>
      <c r="G615">
        <v>285986</v>
      </c>
      <c r="H615">
        <v>11036</v>
      </c>
      <c r="I615" t="str">
        <f t="shared" si="132"/>
        <v>4</v>
      </c>
      <c r="J615" t="str">
        <f t="shared" si="133"/>
        <v>VLAAMS BELANG</v>
      </c>
      <c r="K615">
        <v>21352</v>
      </c>
      <c r="L615">
        <v>14299</v>
      </c>
      <c r="M615">
        <v>35651</v>
      </c>
      <c r="N615">
        <v>3</v>
      </c>
      <c r="O615" t="str">
        <f>("16")</f>
        <v>16</v>
      </c>
      <c r="P615" t="str">
        <f>("De Laet Claudia")</f>
        <v>De Laet Claudia</v>
      </c>
      <c r="Q615">
        <v>2382</v>
      </c>
      <c r="S615">
        <v>11</v>
      </c>
    </row>
    <row r="616" spans="1:19" x14ac:dyDescent="0.3">
      <c r="A616" t="s">
        <v>0</v>
      </c>
      <c r="B616" s="1">
        <v>45578</v>
      </c>
      <c r="C616" t="str">
        <f t="shared" si="134"/>
        <v>23027</v>
      </c>
      <c r="D616" t="s">
        <v>6</v>
      </c>
      <c r="E616" t="str">
        <f t="shared" si="135"/>
        <v>20</v>
      </c>
      <c r="F616">
        <v>454681</v>
      </c>
      <c r="G616">
        <v>285986</v>
      </c>
      <c r="H616">
        <v>11036</v>
      </c>
      <c r="I616" t="str">
        <f t="shared" si="132"/>
        <v>4</v>
      </c>
      <c r="J616" t="str">
        <f t="shared" si="133"/>
        <v>VLAAMS BELANG</v>
      </c>
      <c r="K616">
        <v>21352</v>
      </c>
      <c r="L616">
        <v>14299</v>
      </c>
      <c r="M616">
        <v>35651</v>
      </c>
      <c r="N616">
        <v>3</v>
      </c>
      <c r="O616" t="str">
        <f>("17")</f>
        <v>17</v>
      </c>
      <c r="P616" t="str">
        <f>("Peeters Kris")</f>
        <v>Peeters Kris</v>
      </c>
      <c r="Q616">
        <v>2611</v>
      </c>
      <c r="S616">
        <v>5</v>
      </c>
    </row>
    <row r="617" spans="1:19" x14ac:dyDescent="0.3">
      <c r="A617" t="s">
        <v>0</v>
      </c>
      <c r="B617" s="1">
        <v>45578</v>
      </c>
      <c r="C617" t="str">
        <f t="shared" si="134"/>
        <v>23027</v>
      </c>
      <c r="D617" t="s">
        <v>6</v>
      </c>
      <c r="E617" t="str">
        <f t="shared" si="135"/>
        <v>20</v>
      </c>
      <c r="F617">
        <v>454681</v>
      </c>
      <c r="G617">
        <v>285986</v>
      </c>
      <c r="H617">
        <v>11036</v>
      </c>
      <c r="I617" t="str">
        <f t="shared" si="132"/>
        <v>4</v>
      </c>
      <c r="J617" t="str">
        <f t="shared" si="133"/>
        <v>VLAAMS BELANG</v>
      </c>
      <c r="K617">
        <v>21352</v>
      </c>
      <c r="L617">
        <v>14299</v>
      </c>
      <c r="M617">
        <v>35651</v>
      </c>
      <c r="N617">
        <v>3</v>
      </c>
      <c r="O617" t="str">
        <f>("18")</f>
        <v>18</v>
      </c>
      <c r="P617" t="str">
        <f>("Verspecht Pol")</f>
        <v>Verspecht Pol</v>
      </c>
      <c r="Q617">
        <v>2259</v>
      </c>
      <c r="S617">
        <v>15</v>
      </c>
    </row>
    <row r="618" spans="1:19" x14ac:dyDescent="0.3">
      <c r="A618" t="s">
        <v>0</v>
      </c>
      <c r="B618" s="1">
        <v>45578</v>
      </c>
      <c r="C618" t="str">
        <f t="shared" si="134"/>
        <v>23027</v>
      </c>
      <c r="D618" t="s">
        <v>6</v>
      </c>
      <c r="E618" t="str">
        <f t="shared" si="135"/>
        <v>20</v>
      </c>
      <c r="F618">
        <v>454681</v>
      </c>
      <c r="G618">
        <v>285986</v>
      </c>
      <c r="H618">
        <v>11036</v>
      </c>
      <c r="I618" t="str">
        <f t="shared" si="132"/>
        <v>4</v>
      </c>
      <c r="J618" t="str">
        <f t="shared" si="133"/>
        <v>VLAAMS BELANG</v>
      </c>
      <c r="K618">
        <v>21352</v>
      </c>
      <c r="L618">
        <v>14299</v>
      </c>
      <c r="M618">
        <v>35651</v>
      </c>
      <c r="N618">
        <v>3</v>
      </c>
      <c r="O618" t="str">
        <f>("19")</f>
        <v>19</v>
      </c>
      <c r="P618" t="str">
        <f>("Bury Katleen")</f>
        <v>Bury Katleen</v>
      </c>
      <c r="Q618">
        <v>2585</v>
      </c>
      <c r="S618">
        <v>7</v>
      </c>
    </row>
    <row r="619" spans="1:19" x14ac:dyDescent="0.3">
      <c r="A619" t="s">
        <v>0</v>
      </c>
      <c r="B619" s="1">
        <v>45578</v>
      </c>
      <c r="C619" t="str">
        <f t="shared" si="134"/>
        <v>23027</v>
      </c>
      <c r="D619" t="s">
        <v>6</v>
      </c>
      <c r="E619" t="str">
        <f t="shared" si="135"/>
        <v>20</v>
      </c>
      <c r="F619">
        <v>454681</v>
      </c>
      <c r="G619">
        <v>285986</v>
      </c>
      <c r="H619">
        <v>11036</v>
      </c>
      <c r="I619" t="str">
        <f t="shared" si="132"/>
        <v>4</v>
      </c>
      <c r="J619" t="str">
        <f t="shared" si="133"/>
        <v>VLAAMS BELANG</v>
      </c>
      <c r="K619">
        <v>21352</v>
      </c>
      <c r="L619">
        <v>14299</v>
      </c>
      <c r="M619">
        <v>35651</v>
      </c>
      <c r="N619">
        <v>3</v>
      </c>
      <c r="O619" t="str">
        <f>("20")</f>
        <v>20</v>
      </c>
      <c r="P619" t="str">
        <f>("Laeremans Jan")</f>
        <v>Laeremans Jan</v>
      </c>
      <c r="Q619">
        <v>4070</v>
      </c>
      <c r="R619">
        <v>2</v>
      </c>
    </row>
    <row r="620" spans="1:19" x14ac:dyDescent="0.3">
      <c r="A620" t="s">
        <v>0</v>
      </c>
      <c r="B620" s="1">
        <v>45578</v>
      </c>
      <c r="C620" t="str">
        <f t="shared" si="134"/>
        <v>23027</v>
      </c>
      <c r="D620" t="s">
        <v>6</v>
      </c>
      <c r="E620" t="str">
        <f t="shared" si="135"/>
        <v>20</v>
      </c>
      <c r="F620">
        <v>454681</v>
      </c>
      <c r="G620">
        <v>285986</v>
      </c>
      <c r="H620">
        <v>11036</v>
      </c>
      <c r="I620" t="str">
        <f t="shared" ref="I620:I639" si="136">("5")</f>
        <v>5</v>
      </c>
      <c r="J620" t="str">
        <f t="shared" ref="J620:J639" si="137">("N-VA")</f>
        <v>N-VA</v>
      </c>
      <c r="K620">
        <v>37458</v>
      </c>
      <c r="L620">
        <v>31692</v>
      </c>
      <c r="M620">
        <v>69150</v>
      </c>
      <c r="N620">
        <v>6</v>
      </c>
      <c r="O620" t="str">
        <f>("1")</f>
        <v>1</v>
      </c>
      <c r="P620" t="str">
        <f>("Coppens Gunther")</f>
        <v>Coppens Gunther</v>
      </c>
      <c r="Q620">
        <v>12192</v>
      </c>
      <c r="R620">
        <v>1</v>
      </c>
    </row>
    <row r="621" spans="1:19" x14ac:dyDescent="0.3">
      <c r="A621" t="s">
        <v>0</v>
      </c>
      <c r="B621" s="1">
        <v>45578</v>
      </c>
      <c r="C621" t="str">
        <f t="shared" si="134"/>
        <v>23027</v>
      </c>
      <c r="D621" t="s">
        <v>6</v>
      </c>
      <c r="E621" t="str">
        <f t="shared" si="135"/>
        <v>20</v>
      </c>
      <c r="F621">
        <v>454681</v>
      </c>
      <c r="G621">
        <v>285986</v>
      </c>
      <c r="H621">
        <v>11036</v>
      </c>
      <c r="I621" t="str">
        <f t="shared" si="136"/>
        <v>5</v>
      </c>
      <c r="J621" t="str">
        <f t="shared" si="137"/>
        <v>N-VA</v>
      </c>
      <c r="K621">
        <v>37458</v>
      </c>
      <c r="L621">
        <v>31692</v>
      </c>
      <c r="M621">
        <v>69150</v>
      </c>
      <c r="N621">
        <v>6</v>
      </c>
      <c r="O621" t="str">
        <f>("2")</f>
        <v>2</v>
      </c>
      <c r="P621" t="str">
        <f>("Van den Eede Linda")</f>
        <v>Van den Eede Linda</v>
      </c>
      <c r="Q621">
        <v>7176</v>
      </c>
      <c r="R621">
        <v>3</v>
      </c>
    </row>
    <row r="622" spans="1:19" x14ac:dyDescent="0.3">
      <c r="A622" t="s">
        <v>0</v>
      </c>
      <c r="B622" s="1">
        <v>45578</v>
      </c>
      <c r="C622" t="str">
        <f t="shared" si="134"/>
        <v>23027</v>
      </c>
      <c r="D622" t="s">
        <v>6</v>
      </c>
      <c r="E622" t="str">
        <f t="shared" si="135"/>
        <v>20</v>
      </c>
      <c r="F622">
        <v>454681</v>
      </c>
      <c r="G622">
        <v>285986</v>
      </c>
      <c r="H622">
        <v>11036</v>
      </c>
      <c r="I622" t="str">
        <f t="shared" si="136"/>
        <v>5</v>
      </c>
      <c r="J622" t="str">
        <f t="shared" si="137"/>
        <v>N-VA</v>
      </c>
      <c r="K622">
        <v>37458</v>
      </c>
      <c r="L622">
        <v>31692</v>
      </c>
      <c r="M622">
        <v>69150</v>
      </c>
      <c r="N622">
        <v>6</v>
      </c>
      <c r="O622" t="str">
        <f>("3")</f>
        <v>3</v>
      </c>
      <c r="P622" t="str">
        <f>("Ghysels Lena")</f>
        <v>Ghysels Lena</v>
      </c>
      <c r="Q622">
        <v>5201</v>
      </c>
      <c r="R622">
        <v>4</v>
      </c>
    </row>
    <row r="623" spans="1:19" x14ac:dyDescent="0.3">
      <c r="A623" t="s">
        <v>0</v>
      </c>
      <c r="B623" s="1">
        <v>45578</v>
      </c>
      <c r="C623" t="str">
        <f t="shared" si="134"/>
        <v>23027</v>
      </c>
      <c r="D623" t="s">
        <v>6</v>
      </c>
      <c r="E623" t="str">
        <f t="shared" si="135"/>
        <v>20</v>
      </c>
      <c r="F623">
        <v>454681</v>
      </c>
      <c r="G623">
        <v>285986</v>
      </c>
      <c r="H623">
        <v>11036</v>
      </c>
      <c r="I623" t="str">
        <f t="shared" si="136"/>
        <v>5</v>
      </c>
      <c r="J623" t="str">
        <f t="shared" si="137"/>
        <v>N-VA</v>
      </c>
      <c r="K623">
        <v>37458</v>
      </c>
      <c r="L623">
        <v>31692</v>
      </c>
      <c r="M623">
        <v>69150</v>
      </c>
      <c r="N623">
        <v>6</v>
      </c>
      <c r="O623" t="str">
        <f>("4")</f>
        <v>4</v>
      </c>
      <c r="P623" t="str">
        <f>("Van den Cruijce Joris")</f>
        <v>Van den Cruijce Joris</v>
      </c>
      <c r="Q623">
        <v>3968</v>
      </c>
      <c r="R623">
        <v>6</v>
      </c>
    </row>
    <row r="624" spans="1:19" x14ac:dyDescent="0.3">
      <c r="A624" t="s">
        <v>0</v>
      </c>
      <c r="B624" s="1">
        <v>45578</v>
      </c>
      <c r="C624" t="str">
        <f t="shared" si="134"/>
        <v>23027</v>
      </c>
      <c r="D624" t="s">
        <v>6</v>
      </c>
      <c r="E624" t="str">
        <f t="shared" si="135"/>
        <v>20</v>
      </c>
      <c r="F624">
        <v>454681</v>
      </c>
      <c r="G624">
        <v>285986</v>
      </c>
      <c r="H624">
        <v>11036</v>
      </c>
      <c r="I624" t="str">
        <f t="shared" si="136"/>
        <v>5</v>
      </c>
      <c r="J624" t="str">
        <f t="shared" si="137"/>
        <v>N-VA</v>
      </c>
      <c r="K624">
        <v>37458</v>
      </c>
      <c r="L624">
        <v>31692</v>
      </c>
      <c r="M624">
        <v>69150</v>
      </c>
      <c r="N624">
        <v>6</v>
      </c>
      <c r="O624" t="str">
        <f>("5")</f>
        <v>5</v>
      </c>
      <c r="P624" t="str">
        <f>("Van Hove Rudi")</f>
        <v>Van Hove Rudi</v>
      </c>
      <c r="Q624">
        <v>3132</v>
      </c>
      <c r="S624">
        <v>9</v>
      </c>
    </row>
    <row r="625" spans="1:19" x14ac:dyDescent="0.3">
      <c r="A625" t="s">
        <v>0</v>
      </c>
      <c r="B625" s="1">
        <v>45578</v>
      </c>
      <c r="C625" t="str">
        <f t="shared" si="134"/>
        <v>23027</v>
      </c>
      <c r="D625" t="s">
        <v>6</v>
      </c>
      <c r="E625" t="str">
        <f t="shared" si="135"/>
        <v>20</v>
      </c>
      <c r="F625">
        <v>454681</v>
      </c>
      <c r="G625">
        <v>285986</v>
      </c>
      <c r="H625">
        <v>11036</v>
      </c>
      <c r="I625" t="str">
        <f t="shared" si="136"/>
        <v>5</v>
      </c>
      <c r="J625" t="str">
        <f t="shared" si="137"/>
        <v>N-VA</v>
      </c>
      <c r="K625">
        <v>37458</v>
      </c>
      <c r="L625">
        <v>31692</v>
      </c>
      <c r="M625">
        <v>69150</v>
      </c>
      <c r="N625">
        <v>6</v>
      </c>
      <c r="O625" t="str">
        <f>("6")</f>
        <v>6</v>
      </c>
      <c r="P625" t="str">
        <f>("De Cock Philippe")</f>
        <v>De Cock Philippe</v>
      </c>
      <c r="Q625">
        <v>3149</v>
      </c>
      <c r="S625">
        <v>8</v>
      </c>
    </row>
    <row r="626" spans="1:19" x14ac:dyDescent="0.3">
      <c r="A626" t="s">
        <v>0</v>
      </c>
      <c r="B626" s="1">
        <v>45578</v>
      </c>
      <c r="C626" t="str">
        <f t="shared" si="134"/>
        <v>23027</v>
      </c>
      <c r="D626" t="s">
        <v>6</v>
      </c>
      <c r="E626" t="str">
        <f t="shared" si="135"/>
        <v>20</v>
      </c>
      <c r="F626">
        <v>454681</v>
      </c>
      <c r="G626">
        <v>285986</v>
      </c>
      <c r="H626">
        <v>11036</v>
      </c>
      <c r="I626" t="str">
        <f t="shared" si="136"/>
        <v>5</v>
      </c>
      <c r="J626" t="str">
        <f t="shared" si="137"/>
        <v>N-VA</v>
      </c>
      <c r="K626">
        <v>37458</v>
      </c>
      <c r="L626">
        <v>31692</v>
      </c>
      <c r="M626">
        <v>69150</v>
      </c>
      <c r="N626">
        <v>6</v>
      </c>
      <c r="O626" t="str">
        <f>("7")</f>
        <v>7</v>
      </c>
      <c r="P626" t="str">
        <f>("Eeckelers Sanne")</f>
        <v>Eeckelers Sanne</v>
      </c>
      <c r="Q626">
        <v>4092</v>
      </c>
      <c r="R626">
        <v>5</v>
      </c>
    </row>
    <row r="627" spans="1:19" x14ac:dyDescent="0.3">
      <c r="A627" t="s">
        <v>0</v>
      </c>
      <c r="B627" s="1">
        <v>45578</v>
      </c>
      <c r="C627" t="str">
        <f t="shared" si="134"/>
        <v>23027</v>
      </c>
      <c r="D627" t="s">
        <v>6</v>
      </c>
      <c r="E627" t="str">
        <f t="shared" si="135"/>
        <v>20</v>
      </c>
      <c r="F627">
        <v>454681</v>
      </c>
      <c r="G627">
        <v>285986</v>
      </c>
      <c r="H627">
        <v>11036</v>
      </c>
      <c r="I627" t="str">
        <f t="shared" si="136"/>
        <v>5</v>
      </c>
      <c r="J627" t="str">
        <f t="shared" si="137"/>
        <v>N-VA</v>
      </c>
      <c r="K627">
        <v>37458</v>
      </c>
      <c r="L627">
        <v>31692</v>
      </c>
      <c r="M627">
        <v>69150</v>
      </c>
      <c r="N627">
        <v>6</v>
      </c>
      <c r="O627" t="str">
        <f>("8")</f>
        <v>8</v>
      </c>
      <c r="P627" t="str">
        <f>("Sluys Marc")</f>
        <v>Sluys Marc</v>
      </c>
      <c r="Q627">
        <v>3343</v>
      </c>
      <c r="S627">
        <v>5</v>
      </c>
    </row>
    <row r="628" spans="1:19" x14ac:dyDescent="0.3">
      <c r="A628" t="s">
        <v>0</v>
      </c>
      <c r="B628" s="1">
        <v>45578</v>
      </c>
      <c r="C628" t="str">
        <f t="shared" si="134"/>
        <v>23027</v>
      </c>
      <c r="D628" t="s">
        <v>6</v>
      </c>
      <c r="E628" t="str">
        <f t="shared" si="135"/>
        <v>20</v>
      </c>
      <c r="F628">
        <v>454681</v>
      </c>
      <c r="G628">
        <v>285986</v>
      </c>
      <c r="H628">
        <v>11036</v>
      </c>
      <c r="I628" t="str">
        <f t="shared" si="136"/>
        <v>5</v>
      </c>
      <c r="J628" t="str">
        <f t="shared" si="137"/>
        <v>N-VA</v>
      </c>
      <c r="K628">
        <v>37458</v>
      </c>
      <c r="L628">
        <v>31692</v>
      </c>
      <c r="M628">
        <v>69150</v>
      </c>
      <c r="N628">
        <v>6</v>
      </c>
      <c r="O628" t="str">
        <f>("9")</f>
        <v>9</v>
      </c>
      <c r="P628" t="str">
        <f>("De Buyst Véronique")</f>
        <v>De Buyst Véronique</v>
      </c>
      <c r="Q628">
        <v>3828</v>
      </c>
      <c r="S628">
        <v>1</v>
      </c>
    </row>
    <row r="629" spans="1:19" x14ac:dyDescent="0.3">
      <c r="A629" t="s">
        <v>0</v>
      </c>
      <c r="B629" s="1">
        <v>45578</v>
      </c>
      <c r="C629" t="str">
        <f t="shared" si="134"/>
        <v>23027</v>
      </c>
      <c r="D629" t="s">
        <v>6</v>
      </c>
      <c r="E629" t="str">
        <f t="shared" si="135"/>
        <v>20</v>
      </c>
      <c r="F629">
        <v>454681</v>
      </c>
      <c r="G629">
        <v>285986</v>
      </c>
      <c r="H629">
        <v>11036</v>
      </c>
      <c r="I629" t="str">
        <f t="shared" si="136"/>
        <v>5</v>
      </c>
      <c r="J629" t="str">
        <f t="shared" si="137"/>
        <v>N-VA</v>
      </c>
      <c r="K629">
        <v>37458</v>
      </c>
      <c r="L629">
        <v>31692</v>
      </c>
      <c r="M629">
        <v>69150</v>
      </c>
      <c r="N629">
        <v>6</v>
      </c>
      <c r="O629" t="str">
        <f>("10")</f>
        <v>10</v>
      </c>
      <c r="P629" t="str">
        <f>("Wuyts Eddy")</f>
        <v>Wuyts Eddy</v>
      </c>
      <c r="Q629">
        <v>2411</v>
      </c>
      <c r="S629">
        <v>13</v>
      </c>
    </row>
    <row r="630" spans="1:19" x14ac:dyDescent="0.3">
      <c r="A630" t="s">
        <v>0</v>
      </c>
      <c r="B630" s="1">
        <v>45578</v>
      </c>
      <c r="C630" t="str">
        <f t="shared" si="134"/>
        <v>23027</v>
      </c>
      <c r="D630" t="s">
        <v>6</v>
      </c>
      <c r="E630" t="str">
        <f t="shared" si="135"/>
        <v>20</v>
      </c>
      <c r="F630">
        <v>454681</v>
      </c>
      <c r="G630">
        <v>285986</v>
      </c>
      <c r="H630">
        <v>11036</v>
      </c>
      <c r="I630" t="str">
        <f t="shared" si="136"/>
        <v>5</v>
      </c>
      <c r="J630" t="str">
        <f t="shared" si="137"/>
        <v>N-VA</v>
      </c>
      <c r="K630">
        <v>37458</v>
      </c>
      <c r="L630">
        <v>31692</v>
      </c>
      <c r="M630">
        <v>69150</v>
      </c>
      <c r="N630">
        <v>6</v>
      </c>
      <c r="O630" t="str">
        <f>("11")</f>
        <v>11</v>
      </c>
      <c r="P630" t="str">
        <f>("Spooren Ilse")</f>
        <v>Spooren Ilse</v>
      </c>
      <c r="Q630">
        <v>3689</v>
      </c>
      <c r="S630">
        <v>2</v>
      </c>
    </row>
    <row r="631" spans="1:19" x14ac:dyDescent="0.3">
      <c r="A631" t="s">
        <v>0</v>
      </c>
      <c r="B631" s="1">
        <v>45578</v>
      </c>
      <c r="C631" t="str">
        <f t="shared" si="134"/>
        <v>23027</v>
      </c>
      <c r="D631" t="s">
        <v>6</v>
      </c>
      <c r="E631" t="str">
        <f t="shared" si="135"/>
        <v>20</v>
      </c>
      <c r="F631">
        <v>454681</v>
      </c>
      <c r="G631">
        <v>285986</v>
      </c>
      <c r="H631">
        <v>11036</v>
      </c>
      <c r="I631" t="str">
        <f t="shared" si="136"/>
        <v>5</v>
      </c>
      <c r="J631" t="str">
        <f t="shared" si="137"/>
        <v>N-VA</v>
      </c>
      <c r="K631">
        <v>37458</v>
      </c>
      <c r="L631">
        <v>31692</v>
      </c>
      <c r="M631">
        <v>69150</v>
      </c>
      <c r="N631">
        <v>6</v>
      </c>
      <c r="O631" t="str">
        <f>("12")</f>
        <v>12</v>
      </c>
      <c r="P631" t="str">
        <f>("De Godt Joanna")</f>
        <v>De Godt Joanna</v>
      </c>
      <c r="Q631">
        <v>2943</v>
      </c>
      <c r="S631">
        <v>11</v>
      </c>
    </row>
    <row r="632" spans="1:19" x14ac:dyDescent="0.3">
      <c r="A632" t="s">
        <v>0</v>
      </c>
      <c r="B632" s="1">
        <v>45578</v>
      </c>
      <c r="C632" t="str">
        <f t="shared" si="134"/>
        <v>23027</v>
      </c>
      <c r="D632" t="s">
        <v>6</v>
      </c>
      <c r="E632" t="str">
        <f t="shared" si="135"/>
        <v>20</v>
      </c>
      <c r="F632">
        <v>454681</v>
      </c>
      <c r="G632">
        <v>285986</v>
      </c>
      <c r="H632">
        <v>11036</v>
      </c>
      <c r="I632" t="str">
        <f t="shared" si="136"/>
        <v>5</v>
      </c>
      <c r="J632" t="str">
        <f t="shared" si="137"/>
        <v>N-VA</v>
      </c>
      <c r="K632">
        <v>37458</v>
      </c>
      <c r="L632">
        <v>31692</v>
      </c>
      <c r="M632">
        <v>69150</v>
      </c>
      <c r="N632">
        <v>6</v>
      </c>
      <c r="O632" t="str">
        <f>("13")</f>
        <v>13</v>
      </c>
      <c r="P632" t="str">
        <f>("Depuydt Sanne")</f>
        <v>Depuydt Sanne</v>
      </c>
      <c r="Q632">
        <v>3118</v>
      </c>
      <c r="S632">
        <v>10</v>
      </c>
    </row>
    <row r="633" spans="1:19" x14ac:dyDescent="0.3">
      <c r="A633" t="s">
        <v>0</v>
      </c>
      <c r="B633" s="1">
        <v>45578</v>
      </c>
      <c r="C633" t="str">
        <f t="shared" si="134"/>
        <v>23027</v>
      </c>
      <c r="D633" t="s">
        <v>6</v>
      </c>
      <c r="E633" t="str">
        <f t="shared" si="135"/>
        <v>20</v>
      </c>
      <c r="F633">
        <v>454681</v>
      </c>
      <c r="G633">
        <v>285986</v>
      </c>
      <c r="H633">
        <v>11036</v>
      </c>
      <c r="I633" t="str">
        <f t="shared" si="136"/>
        <v>5</v>
      </c>
      <c r="J633" t="str">
        <f t="shared" si="137"/>
        <v>N-VA</v>
      </c>
      <c r="K633">
        <v>37458</v>
      </c>
      <c r="L633">
        <v>31692</v>
      </c>
      <c r="M633">
        <v>69150</v>
      </c>
      <c r="N633">
        <v>6</v>
      </c>
      <c r="O633" t="str">
        <f>("14")</f>
        <v>14</v>
      </c>
      <c r="P633" t="str">
        <f>("Hermans Luc")</f>
        <v>Hermans Luc</v>
      </c>
      <c r="Q633">
        <v>2207</v>
      </c>
      <c r="S633">
        <v>14</v>
      </c>
    </row>
    <row r="634" spans="1:19" x14ac:dyDescent="0.3">
      <c r="A634" t="s">
        <v>0</v>
      </c>
      <c r="B634" s="1">
        <v>45578</v>
      </c>
      <c r="C634" t="str">
        <f t="shared" si="134"/>
        <v>23027</v>
      </c>
      <c r="D634" t="s">
        <v>6</v>
      </c>
      <c r="E634" t="str">
        <f t="shared" si="135"/>
        <v>20</v>
      </c>
      <c r="F634">
        <v>454681</v>
      </c>
      <c r="G634">
        <v>285986</v>
      </c>
      <c r="H634">
        <v>11036</v>
      </c>
      <c r="I634" t="str">
        <f t="shared" si="136"/>
        <v>5</v>
      </c>
      <c r="J634" t="str">
        <f t="shared" si="137"/>
        <v>N-VA</v>
      </c>
      <c r="K634">
        <v>37458</v>
      </c>
      <c r="L634">
        <v>31692</v>
      </c>
      <c r="M634">
        <v>69150</v>
      </c>
      <c r="N634">
        <v>6</v>
      </c>
      <c r="O634" t="str">
        <f>("15")</f>
        <v>15</v>
      </c>
      <c r="P634" t="str">
        <f>("Van Merris Valérie")</f>
        <v>Van Merris Valérie</v>
      </c>
      <c r="Q634">
        <v>3247</v>
      </c>
      <c r="S634">
        <v>7</v>
      </c>
    </row>
    <row r="635" spans="1:19" x14ac:dyDescent="0.3">
      <c r="A635" t="s">
        <v>0</v>
      </c>
      <c r="B635" s="1">
        <v>45578</v>
      </c>
      <c r="C635" t="str">
        <f t="shared" si="134"/>
        <v>23027</v>
      </c>
      <c r="D635" t="s">
        <v>6</v>
      </c>
      <c r="E635" t="str">
        <f t="shared" si="135"/>
        <v>20</v>
      </c>
      <c r="F635">
        <v>454681</v>
      </c>
      <c r="G635">
        <v>285986</v>
      </c>
      <c r="H635">
        <v>11036</v>
      </c>
      <c r="I635" t="str">
        <f t="shared" si="136"/>
        <v>5</v>
      </c>
      <c r="J635" t="str">
        <f t="shared" si="137"/>
        <v>N-VA</v>
      </c>
      <c r="K635">
        <v>37458</v>
      </c>
      <c r="L635">
        <v>31692</v>
      </c>
      <c r="M635">
        <v>69150</v>
      </c>
      <c r="N635">
        <v>6</v>
      </c>
      <c r="O635" t="str">
        <f>("16")</f>
        <v>16</v>
      </c>
      <c r="P635" t="str">
        <f>("Van de Velde Ilse")</f>
        <v>Van de Velde Ilse</v>
      </c>
      <c r="Q635">
        <v>3273</v>
      </c>
      <c r="S635">
        <v>6</v>
      </c>
    </row>
    <row r="636" spans="1:19" x14ac:dyDescent="0.3">
      <c r="A636" t="s">
        <v>0</v>
      </c>
      <c r="B636" s="1">
        <v>45578</v>
      </c>
      <c r="C636" t="str">
        <f t="shared" ref="C636:C667" si="138">("23027")</f>
        <v>23027</v>
      </c>
      <c r="D636" t="s">
        <v>6</v>
      </c>
      <c r="E636" t="str">
        <f t="shared" ref="E636:E667" si="139">("20")</f>
        <v>20</v>
      </c>
      <c r="F636">
        <v>454681</v>
      </c>
      <c r="G636">
        <v>285986</v>
      </c>
      <c r="H636">
        <v>11036</v>
      </c>
      <c r="I636" t="str">
        <f t="shared" si="136"/>
        <v>5</v>
      </c>
      <c r="J636" t="str">
        <f t="shared" si="137"/>
        <v>N-VA</v>
      </c>
      <c r="K636">
        <v>37458</v>
      </c>
      <c r="L636">
        <v>31692</v>
      </c>
      <c r="M636">
        <v>69150</v>
      </c>
      <c r="N636">
        <v>6</v>
      </c>
      <c r="O636" t="str">
        <f>("17")</f>
        <v>17</v>
      </c>
      <c r="P636" t="str">
        <f>("De Slagmeulder Lien")</f>
        <v>De Slagmeulder Lien</v>
      </c>
      <c r="Q636">
        <v>3501</v>
      </c>
      <c r="S636">
        <v>3</v>
      </c>
    </row>
    <row r="637" spans="1:19" x14ac:dyDescent="0.3">
      <c r="A637" t="s">
        <v>0</v>
      </c>
      <c r="B637" s="1">
        <v>45578</v>
      </c>
      <c r="C637" t="str">
        <f t="shared" si="138"/>
        <v>23027</v>
      </c>
      <c r="D637" t="s">
        <v>6</v>
      </c>
      <c r="E637" t="str">
        <f t="shared" si="139"/>
        <v>20</v>
      </c>
      <c r="F637">
        <v>454681</v>
      </c>
      <c r="G637">
        <v>285986</v>
      </c>
      <c r="H637">
        <v>11036</v>
      </c>
      <c r="I637" t="str">
        <f t="shared" si="136"/>
        <v>5</v>
      </c>
      <c r="J637" t="str">
        <f t="shared" si="137"/>
        <v>N-VA</v>
      </c>
      <c r="K637">
        <v>37458</v>
      </c>
      <c r="L637">
        <v>31692</v>
      </c>
      <c r="M637">
        <v>69150</v>
      </c>
      <c r="N637">
        <v>6</v>
      </c>
      <c r="O637" t="str">
        <f>("18")</f>
        <v>18</v>
      </c>
      <c r="P637" t="str">
        <f>("Kelchtermans Joris")</f>
        <v>Kelchtermans Joris</v>
      </c>
      <c r="Q637">
        <v>2814</v>
      </c>
      <c r="S637">
        <v>12</v>
      </c>
    </row>
    <row r="638" spans="1:19" x14ac:dyDescent="0.3">
      <c r="A638" t="s">
        <v>0</v>
      </c>
      <c r="B638" s="1">
        <v>45578</v>
      </c>
      <c r="C638" t="str">
        <f t="shared" si="138"/>
        <v>23027</v>
      </c>
      <c r="D638" t="s">
        <v>6</v>
      </c>
      <c r="E638" t="str">
        <f t="shared" si="139"/>
        <v>20</v>
      </c>
      <c r="F638">
        <v>454681</v>
      </c>
      <c r="G638">
        <v>285986</v>
      </c>
      <c r="H638">
        <v>11036</v>
      </c>
      <c r="I638" t="str">
        <f t="shared" si="136"/>
        <v>5</v>
      </c>
      <c r="J638" t="str">
        <f t="shared" si="137"/>
        <v>N-VA</v>
      </c>
      <c r="K638">
        <v>37458</v>
      </c>
      <c r="L638">
        <v>31692</v>
      </c>
      <c r="M638">
        <v>69150</v>
      </c>
      <c r="N638">
        <v>6</v>
      </c>
      <c r="O638" t="str">
        <f>("19")</f>
        <v>19</v>
      </c>
      <c r="P638" t="str">
        <f>("Couck Jan")</f>
        <v>Couck Jan</v>
      </c>
      <c r="Q638">
        <v>3481</v>
      </c>
      <c r="S638">
        <v>4</v>
      </c>
    </row>
    <row r="639" spans="1:19" x14ac:dyDescent="0.3">
      <c r="A639" t="s">
        <v>0</v>
      </c>
      <c r="B639" s="1">
        <v>45578</v>
      </c>
      <c r="C639" t="str">
        <f t="shared" si="138"/>
        <v>23027</v>
      </c>
      <c r="D639" t="s">
        <v>6</v>
      </c>
      <c r="E639" t="str">
        <f t="shared" si="139"/>
        <v>20</v>
      </c>
      <c r="F639">
        <v>454681</v>
      </c>
      <c r="G639">
        <v>285986</v>
      </c>
      <c r="H639">
        <v>11036</v>
      </c>
      <c r="I639" t="str">
        <f t="shared" si="136"/>
        <v>5</v>
      </c>
      <c r="J639" t="str">
        <f t="shared" si="137"/>
        <v>N-VA</v>
      </c>
      <c r="K639">
        <v>37458</v>
      </c>
      <c r="L639">
        <v>31692</v>
      </c>
      <c r="M639">
        <v>69150</v>
      </c>
      <c r="N639">
        <v>6</v>
      </c>
      <c r="O639" t="str">
        <f>("20")</f>
        <v>20</v>
      </c>
      <c r="P639" t="str">
        <f>("Weyts Ben")</f>
        <v>Weyts Ben</v>
      </c>
      <c r="Q639">
        <v>9190</v>
      </c>
      <c r="R639">
        <v>2</v>
      </c>
    </row>
    <row r="640" spans="1:19" x14ac:dyDescent="0.3">
      <c r="A640" t="s">
        <v>0</v>
      </c>
      <c r="B640" s="1">
        <v>45578</v>
      </c>
      <c r="C640" t="str">
        <f t="shared" si="138"/>
        <v>23027</v>
      </c>
      <c r="D640" t="s">
        <v>6</v>
      </c>
      <c r="E640" t="str">
        <f t="shared" si="139"/>
        <v>20</v>
      </c>
      <c r="F640">
        <v>454681</v>
      </c>
      <c r="G640">
        <v>285986</v>
      </c>
      <c r="H640">
        <v>11036</v>
      </c>
      <c r="I640" t="str">
        <f t="shared" ref="I640:I659" si="140">("6")</f>
        <v>6</v>
      </c>
      <c r="J640" t="str">
        <f t="shared" ref="J640:J659" si="141">("Open Vld")</f>
        <v>Open Vld</v>
      </c>
      <c r="K640">
        <v>11914</v>
      </c>
      <c r="L640">
        <v>18416</v>
      </c>
      <c r="M640">
        <v>30330</v>
      </c>
      <c r="N640">
        <v>2</v>
      </c>
      <c r="O640" t="str">
        <f>("1")</f>
        <v>1</v>
      </c>
      <c r="P640" t="str">
        <f>("De Neve Ella")</f>
        <v>De Neve Ella</v>
      </c>
      <c r="Q640">
        <v>7182</v>
      </c>
      <c r="R640">
        <v>1</v>
      </c>
    </row>
    <row r="641" spans="1:19" x14ac:dyDescent="0.3">
      <c r="A641" t="s">
        <v>0</v>
      </c>
      <c r="B641" s="1">
        <v>45578</v>
      </c>
      <c r="C641" t="str">
        <f t="shared" si="138"/>
        <v>23027</v>
      </c>
      <c r="D641" t="s">
        <v>6</v>
      </c>
      <c r="E641" t="str">
        <f t="shared" si="139"/>
        <v>20</v>
      </c>
      <c r="F641">
        <v>454681</v>
      </c>
      <c r="G641">
        <v>285986</v>
      </c>
      <c r="H641">
        <v>11036</v>
      </c>
      <c r="I641" t="str">
        <f t="shared" si="140"/>
        <v>6</v>
      </c>
      <c r="J641" t="str">
        <f t="shared" si="141"/>
        <v>Open Vld</v>
      </c>
      <c r="K641">
        <v>11914</v>
      </c>
      <c r="L641">
        <v>18416</v>
      </c>
      <c r="M641">
        <v>30330</v>
      </c>
      <c r="N641">
        <v>2</v>
      </c>
      <c r="O641" t="str">
        <f>("2")</f>
        <v>2</v>
      </c>
      <c r="P641" t="str">
        <f>("Herzeel Tim")</f>
        <v>Herzeel Tim</v>
      </c>
      <c r="Q641">
        <v>2070</v>
      </c>
      <c r="S641">
        <v>3</v>
      </c>
    </row>
    <row r="642" spans="1:19" x14ac:dyDescent="0.3">
      <c r="A642" t="s">
        <v>0</v>
      </c>
      <c r="B642" s="1">
        <v>45578</v>
      </c>
      <c r="C642" t="str">
        <f t="shared" si="138"/>
        <v>23027</v>
      </c>
      <c r="D642" t="s">
        <v>6</v>
      </c>
      <c r="E642" t="str">
        <f t="shared" si="139"/>
        <v>20</v>
      </c>
      <c r="F642">
        <v>454681</v>
      </c>
      <c r="G642">
        <v>285986</v>
      </c>
      <c r="H642">
        <v>11036</v>
      </c>
      <c r="I642" t="str">
        <f t="shared" si="140"/>
        <v>6</v>
      </c>
      <c r="J642" t="str">
        <f t="shared" si="141"/>
        <v>Open Vld</v>
      </c>
      <c r="K642">
        <v>11914</v>
      </c>
      <c r="L642">
        <v>18416</v>
      </c>
      <c r="M642">
        <v>30330</v>
      </c>
      <c r="N642">
        <v>2</v>
      </c>
      <c r="O642" t="str">
        <f>("3")</f>
        <v>3</v>
      </c>
      <c r="P642" t="str">
        <f>("De Bleeker Eva")</f>
        <v>De Bleeker Eva</v>
      </c>
      <c r="Q642">
        <v>4919</v>
      </c>
      <c r="R642">
        <v>2</v>
      </c>
    </row>
    <row r="643" spans="1:19" x14ac:dyDescent="0.3">
      <c r="A643" t="s">
        <v>0</v>
      </c>
      <c r="B643" s="1">
        <v>45578</v>
      </c>
      <c r="C643" t="str">
        <f t="shared" si="138"/>
        <v>23027</v>
      </c>
      <c r="D643" t="s">
        <v>6</v>
      </c>
      <c r="E643" t="str">
        <f t="shared" si="139"/>
        <v>20</v>
      </c>
      <c r="F643">
        <v>454681</v>
      </c>
      <c r="G643">
        <v>285986</v>
      </c>
      <c r="H643">
        <v>11036</v>
      </c>
      <c r="I643" t="str">
        <f t="shared" si="140"/>
        <v>6</v>
      </c>
      <c r="J643" t="str">
        <f t="shared" si="141"/>
        <v>Open Vld</v>
      </c>
      <c r="K643">
        <v>11914</v>
      </c>
      <c r="L643">
        <v>18416</v>
      </c>
      <c r="M643">
        <v>30330</v>
      </c>
      <c r="N643">
        <v>2</v>
      </c>
      <c r="O643" t="str">
        <f>("4")</f>
        <v>4</v>
      </c>
      <c r="P643" t="str">
        <f>("Delgouffe Niel")</f>
        <v>Delgouffe Niel</v>
      </c>
      <c r="Q643">
        <v>1325</v>
      </c>
      <c r="S643">
        <v>7</v>
      </c>
    </row>
    <row r="644" spans="1:19" x14ac:dyDescent="0.3">
      <c r="A644" t="s">
        <v>0</v>
      </c>
      <c r="B644" s="1">
        <v>45578</v>
      </c>
      <c r="C644" t="str">
        <f t="shared" si="138"/>
        <v>23027</v>
      </c>
      <c r="D644" t="s">
        <v>6</v>
      </c>
      <c r="E644" t="str">
        <f t="shared" si="139"/>
        <v>20</v>
      </c>
      <c r="F644">
        <v>454681</v>
      </c>
      <c r="G644">
        <v>285986</v>
      </c>
      <c r="H644">
        <v>11036</v>
      </c>
      <c r="I644" t="str">
        <f t="shared" si="140"/>
        <v>6</v>
      </c>
      <c r="J644" t="str">
        <f t="shared" si="141"/>
        <v>Open Vld</v>
      </c>
      <c r="K644">
        <v>11914</v>
      </c>
      <c r="L644">
        <v>18416</v>
      </c>
      <c r="M644">
        <v>30330</v>
      </c>
      <c r="N644">
        <v>2</v>
      </c>
      <c r="O644" t="str">
        <f>("5")</f>
        <v>5</v>
      </c>
      <c r="P644" t="str">
        <f>("Selleslagh Chris")</f>
        <v>Selleslagh Chris</v>
      </c>
      <c r="Q644">
        <v>1602</v>
      </c>
      <c r="S644">
        <v>6</v>
      </c>
    </row>
    <row r="645" spans="1:19" x14ac:dyDescent="0.3">
      <c r="A645" t="s">
        <v>0</v>
      </c>
      <c r="B645" s="1">
        <v>45578</v>
      </c>
      <c r="C645" t="str">
        <f t="shared" si="138"/>
        <v>23027</v>
      </c>
      <c r="D645" t="s">
        <v>6</v>
      </c>
      <c r="E645" t="str">
        <f t="shared" si="139"/>
        <v>20</v>
      </c>
      <c r="F645">
        <v>454681</v>
      </c>
      <c r="G645">
        <v>285986</v>
      </c>
      <c r="H645">
        <v>11036</v>
      </c>
      <c r="I645" t="str">
        <f t="shared" si="140"/>
        <v>6</v>
      </c>
      <c r="J645" t="str">
        <f t="shared" si="141"/>
        <v>Open Vld</v>
      </c>
      <c r="K645">
        <v>11914</v>
      </c>
      <c r="L645">
        <v>18416</v>
      </c>
      <c r="M645">
        <v>30330</v>
      </c>
      <c r="N645">
        <v>2</v>
      </c>
      <c r="O645" t="str">
        <f>("6")</f>
        <v>6</v>
      </c>
      <c r="P645" t="str">
        <f>("Verbelen Céline")</f>
        <v>Verbelen Céline</v>
      </c>
      <c r="Q645">
        <v>1263</v>
      </c>
      <c r="S645">
        <v>9</v>
      </c>
    </row>
    <row r="646" spans="1:19" x14ac:dyDescent="0.3">
      <c r="A646" t="s">
        <v>0</v>
      </c>
      <c r="B646" s="1">
        <v>45578</v>
      </c>
      <c r="C646" t="str">
        <f t="shared" si="138"/>
        <v>23027</v>
      </c>
      <c r="D646" t="s">
        <v>6</v>
      </c>
      <c r="E646" t="str">
        <f t="shared" si="139"/>
        <v>20</v>
      </c>
      <c r="F646">
        <v>454681</v>
      </c>
      <c r="G646">
        <v>285986</v>
      </c>
      <c r="H646">
        <v>11036</v>
      </c>
      <c r="I646" t="str">
        <f t="shared" si="140"/>
        <v>6</v>
      </c>
      <c r="J646" t="str">
        <f t="shared" si="141"/>
        <v>Open Vld</v>
      </c>
      <c r="K646">
        <v>11914</v>
      </c>
      <c r="L646">
        <v>18416</v>
      </c>
      <c r="M646">
        <v>30330</v>
      </c>
      <c r="N646">
        <v>2</v>
      </c>
      <c r="O646" t="str">
        <f>("7")</f>
        <v>7</v>
      </c>
      <c r="P646" t="str">
        <f>("El Bachiri Hanna")</f>
        <v>El Bachiri Hanna</v>
      </c>
      <c r="Q646">
        <v>1083</v>
      </c>
      <c r="S646">
        <v>11</v>
      </c>
    </row>
    <row r="647" spans="1:19" x14ac:dyDescent="0.3">
      <c r="A647" t="s">
        <v>0</v>
      </c>
      <c r="B647" s="1">
        <v>45578</v>
      </c>
      <c r="C647" t="str">
        <f t="shared" si="138"/>
        <v>23027</v>
      </c>
      <c r="D647" t="s">
        <v>6</v>
      </c>
      <c r="E647" t="str">
        <f t="shared" si="139"/>
        <v>20</v>
      </c>
      <c r="F647">
        <v>454681</v>
      </c>
      <c r="G647">
        <v>285986</v>
      </c>
      <c r="H647">
        <v>11036</v>
      </c>
      <c r="I647" t="str">
        <f t="shared" si="140"/>
        <v>6</v>
      </c>
      <c r="J647" t="str">
        <f t="shared" si="141"/>
        <v>Open Vld</v>
      </c>
      <c r="K647">
        <v>11914</v>
      </c>
      <c r="L647">
        <v>18416</v>
      </c>
      <c r="M647">
        <v>30330</v>
      </c>
      <c r="N647">
        <v>2</v>
      </c>
      <c r="O647" t="str">
        <f>("8")</f>
        <v>8</v>
      </c>
      <c r="P647" t="str">
        <f>("Willems Björn")</f>
        <v>Willems Björn</v>
      </c>
      <c r="Q647">
        <v>845</v>
      </c>
      <c r="S647">
        <v>15</v>
      </c>
    </row>
    <row r="648" spans="1:19" x14ac:dyDescent="0.3">
      <c r="A648" t="s">
        <v>0</v>
      </c>
      <c r="B648" s="1">
        <v>45578</v>
      </c>
      <c r="C648" t="str">
        <f t="shared" si="138"/>
        <v>23027</v>
      </c>
      <c r="D648" t="s">
        <v>6</v>
      </c>
      <c r="E648" t="str">
        <f t="shared" si="139"/>
        <v>20</v>
      </c>
      <c r="F648">
        <v>454681</v>
      </c>
      <c r="G648">
        <v>285986</v>
      </c>
      <c r="H648">
        <v>11036</v>
      </c>
      <c r="I648" t="str">
        <f t="shared" si="140"/>
        <v>6</v>
      </c>
      <c r="J648" t="str">
        <f t="shared" si="141"/>
        <v>Open Vld</v>
      </c>
      <c r="K648">
        <v>11914</v>
      </c>
      <c r="L648">
        <v>18416</v>
      </c>
      <c r="M648">
        <v>30330</v>
      </c>
      <c r="N648">
        <v>2</v>
      </c>
      <c r="O648" t="str">
        <f>("9")</f>
        <v>9</v>
      </c>
      <c r="P648" t="str">
        <f>("Nevens Bart")</f>
        <v>Nevens Bart</v>
      </c>
      <c r="Q648">
        <v>1032</v>
      </c>
      <c r="S648">
        <v>12</v>
      </c>
    </row>
    <row r="649" spans="1:19" x14ac:dyDescent="0.3">
      <c r="A649" t="s">
        <v>0</v>
      </c>
      <c r="B649" s="1">
        <v>45578</v>
      </c>
      <c r="C649" t="str">
        <f t="shared" si="138"/>
        <v>23027</v>
      </c>
      <c r="D649" t="s">
        <v>6</v>
      </c>
      <c r="E649" t="str">
        <f t="shared" si="139"/>
        <v>20</v>
      </c>
      <c r="F649">
        <v>454681</v>
      </c>
      <c r="G649">
        <v>285986</v>
      </c>
      <c r="H649">
        <v>11036</v>
      </c>
      <c r="I649" t="str">
        <f t="shared" si="140"/>
        <v>6</v>
      </c>
      <c r="J649" t="str">
        <f t="shared" si="141"/>
        <v>Open Vld</v>
      </c>
      <c r="K649">
        <v>11914</v>
      </c>
      <c r="L649">
        <v>18416</v>
      </c>
      <c r="M649">
        <v>30330</v>
      </c>
      <c r="N649">
        <v>2</v>
      </c>
      <c r="O649" t="str">
        <f>("10")</f>
        <v>10</v>
      </c>
      <c r="P649" t="str">
        <f>("Beeckman Barbara")</f>
        <v>Beeckman Barbara</v>
      </c>
      <c r="Q649">
        <v>1877</v>
      </c>
      <c r="S649">
        <v>4</v>
      </c>
    </row>
    <row r="650" spans="1:19" x14ac:dyDescent="0.3">
      <c r="A650" t="s">
        <v>0</v>
      </c>
      <c r="B650" s="1">
        <v>45578</v>
      </c>
      <c r="C650" t="str">
        <f t="shared" si="138"/>
        <v>23027</v>
      </c>
      <c r="D650" t="s">
        <v>6</v>
      </c>
      <c r="E650" t="str">
        <f t="shared" si="139"/>
        <v>20</v>
      </c>
      <c r="F650">
        <v>454681</v>
      </c>
      <c r="G650">
        <v>285986</v>
      </c>
      <c r="H650">
        <v>11036</v>
      </c>
      <c r="I650" t="str">
        <f t="shared" si="140"/>
        <v>6</v>
      </c>
      <c r="J650" t="str">
        <f t="shared" si="141"/>
        <v>Open Vld</v>
      </c>
      <c r="K650">
        <v>11914</v>
      </c>
      <c r="L650">
        <v>18416</v>
      </c>
      <c r="M650">
        <v>30330</v>
      </c>
      <c r="N650">
        <v>2</v>
      </c>
      <c r="O650" t="str">
        <f>("11")</f>
        <v>11</v>
      </c>
      <c r="P650" t="str">
        <f>("Dumont de Chassart Pierre-Emmanuel")</f>
        <v>Dumont de Chassart Pierre-Emmanuel</v>
      </c>
      <c r="Q650">
        <v>1609</v>
      </c>
      <c r="S650">
        <v>5</v>
      </c>
    </row>
    <row r="651" spans="1:19" x14ac:dyDescent="0.3">
      <c r="A651" t="s">
        <v>0</v>
      </c>
      <c r="B651" s="1">
        <v>45578</v>
      </c>
      <c r="C651" t="str">
        <f t="shared" si="138"/>
        <v>23027</v>
      </c>
      <c r="D651" t="s">
        <v>6</v>
      </c>
      <c r="E651" t="str">
        <f t="shared" si="139"/>
        <v>20</v>
      </c>
      <c r="F651">
        <v>454681</v>
      </c>
      <c r="G651">
        <v>285986</v>
      </c>
      <c r="H651">
        <v>11036</v>
      </c>
      <c r="I651" t="str">
        <f t="shared" si="140"/>
        <v>6</v>
      </c>
      <c r="J651" t="str">
        <f t="shared" si="141"/>
        <v>Open Vld</v>
      </c>
      <c r="K651">
        <v>11914</v>
      </c>
      <c r="L651">
        <v>18416</v>
      </c>
      <c r="M651">
        <v>30330</v>
      </c>
      <c r="N651">
        <v>2</v>
      </c>
      <c r="O651" t="str">
        <f>("12")</f>
        <v>12</v>
      </c>
      <c r="P651" t="str">
        <f>("Vandendael Sven")</f>
        <v>Vandendael Sven</v>
      </c>
      <c r="Q651">
        <v>699</v>
      </c>
      <c r="S651">
        <v>18</v>
      </c>
    </row>
    <row r="652" spans="1:19" x14ac:dyDescent="0.3">
      <c r="A652" t="s">
        <v>0</v>
      </c>
      <c r="B652" s="1">
        <v>45578</v>
      </c>
      <c r="C652" t="str">
        <f t="shared" si="138"/>
        <v>23027</v>
      </c>
      <c r="D652" t="s">
        <v>6</v>
      </c>
      <c r="E652" t="str">
        <f t="shared" si="139"/>
        <v>20</v>
      </c>
      <c r="F652">
        <v>454681</v>
      </c>
      <c r="G652">
        <v>285986</v>
      </c>
      <c r="H652">
        <v>11036</v>
      </c>
      <c r="I652" t="str">
        <f t="shared" si="140"/>
        <v>6</v>
      </c>
      <c r="J652" t="str">
        <f t="shared" si="141"/>
        <v>Open Vld</v>
      </c>
      <c r="K652">
        <v>11914</v>
      </c>
      <c r="L652">
        <v>18416</v>
      </c>
      <c r="M652">
        <v>30330</v>
      </c>
      <c r="N652">
        <v>2</v>
      </c>
      <c r="O652" t="str">
        <f>("13")</f>
        <v>13</v>
      </c>
      <c r="P652" t="str">
        <f>("De Naeyer Milan")</f>
        <v>De Naeyer Milan</v>
      </c>
      <c r="Q652">
        <v>738</v>
      </c>
      <c r="S652">
        <v>16</v>
      </c>
    </row>
    <row r="653" spans="1:19" x14ac:dyDescent="0.3">
      <c r="A653" t="s">
        <v>0</v>
      </c>
      <c r="B653" s="1">
        <v>45578</v>
      </c>
      <c r="C653" t="str">
        <f t="shared" si="138"/>
        <v>23027</v>
      </c>
      <c r="D653" t="s">
        <v>6</v>
      </c>
      <c r="E653" t="str">
        <f t="shared" si="139"/>
        <v>20</v>
      </c>
      <c r="F653">
        <v>454681</v>
      </c>
      <c r="G653">
        <v>285986</v>
      </c>
      <c r="H653">
        <v>11036</v>
      </c>
      <c r="I653" t="str">
        <f t="shared" si="140"/>
        <v>6</v>
      </c>
      <c r="J653" t="str">
        <f t="shared" si="141"/>
        <v>Open Vld</v>
      </c>
      <c r="K653">
        <v>11914</v>
      </c>
      <c r="L653">
        <v>18416</v>
      </c>
      <c r="M653">
        <v>30330</v>
      </c>
      <c r="N653">
        <v>2</v>
      </c>
      <c r="O653" t="str">
        <f>("14")</f>
        <v>14</v>
      </c>
      <c r="P653" t="str">
        <f>("Boyata Mandungu")</f>
        <v>Boyata Mandungu</v>
      </c>
      <c r="Q653">
        <v>863</v>
      </c>
      <c r="S653">
        <v>14</v>
      </c>
    </row>
    <row r="654" spans="1:19" x14ac:dyDescent="0.3">
      <c r="A654" t="s">
        <v>0</v>
      </c>
      <c r="B654" s="1">
        <v>45578</v>
      </c>
      <c r="C654" t="str">
        <f t="shared" si="138"/>
        <v>23027</v>
      </c>
      <c r="D654" t="s">
        <v>6</v>
      </c>
      <c r="E654" t="str">
        <f t="shared" si="139"/>
        <v>20</v>
      </c>
      <c r="F654">
        <v>454681</v>
      </c>
      <c r="G654">
        <v>285986</v>
      </c>
      <c r="H654">
        <v>11036</v>
      </c>
      <c r="I654" t="str">
        <f t="shared" si="140"/>
        <v>6</v>
      </c>
      <c r="J654" t="str">
        <f t="shared" si="141"/>
        <v>Open Vld</v>
      </c>
      <c r="K654">
        <v>11914</v>
      </c>
      <c r="L654">
        <v>18416</v>
      </c>
      <c r="M654">
        <v>30330</v>
      </c>
      <c r="N654">
        <v>2</v>
      </c>
      <c r="O654" t="str">
        <f>("15")</f>
        <v>15</v>
      </c>
      <c r="P654" t="str">
        <f>("Engels Cathy")</f>
        <v>Engels Cathy</v>
      </c>
      <c r="Q654">
        <v>975</v>
      </c>
      <c r="S654">
        <v>13</v>
      </c>
    </row>
    <row r="655" spans="1:19" x14ac:dyDescent="0.3">
      <c r="A655" t="s">
        <v>0</v>
      </c>
      <c r="B655" s="1">
        <v>45578</v>
      </c>
      <c r="C655" t="str">
        <f t="shared" si="138"/>
        <v>23027</v>
      </c>
      <c r="D655" t="s">
        <v>6</v>
      </c>
      <c r="E655" t="str">
        <f t="shared" si="139"/>
        <v>20</v>
      </c>
      <c r="F655">
        <v>454681</v>
      </c>
      <c r="G655">
        <v>285986</v>
      </c>
      <c r="H655">
        <v>11036</v>
      </c>
      <c r="I655" t="str">
        <f t="shared" si="140"/>
        <v>6</v>
      </c>
      <c r="J655" t="str">
        <f t="shared" si="141"/>
        <v>Open Vld</v>
      </c>
      <c r="K655">
        <v>11914</v>
      </c>
      <c r="L655">
        <v>18416</v>
      </c>
      <c r="M655">
        <v>30330</v>
      </c>
      <c r="N655">
        <v>2</v>
      </c>
      <c r="O655" t="str">
        <f>("16")</f>
        <v>16</v>
      </c>
      <c r="P655" t="str">
        <f>("Ockerman Chloë")</f>
        <v>Ockerman Chloë</v>
      </c>
      <c r="Q655">
        <v>1266</v>
      </c>
      <c r="S655">
        <v>8</v>
      </c>
    </row>
    <row r="656" spans="1:19" x14ac:dyDescent="0.3">
      <c r="A656" t="s">
        <v>0</v>
      </c>
      <c r="B656" s="1">
        <v>45578</v>
      </c>
      <c r="C656" t="str">
        <f t="shared" si="138"/>
        <v>23027</v>
      </c>
      <c r="D656" t="s">
        <v>6</v>
      </c>
      <c r="E656" t="str">
        <f t="shared" si="139"/>
        <v>20</v>
      </c>
      <c r="F656">
        <v>454681</v>
      </c>
      <c r="G656">
        <v>285986</v>
      </c>
      <c r="H656">
        <v>11036</v>
      </c>
      <c r="I656" t="str">
        <f t="shared" si="140"/>
        <v>6</v>
      </c>
      <c r="J656" t="str">
        <f t="shared" si="141"/>
        <v>Open Vld</v>
      </c>
      <c r="K656">
        <v>11914</v>
      </c>
      <c r="L656">
        <v>18416</v>
      </c>
      <c r="M656">
        <v>30330</v>
      </c>
      <c r="N656">
        <v>2</v>
      </c>
      <c r="O656" t="str">
        <f>("17")</f>
        <v>17</v>
      </c>
      <c r="P656" t="str">
        <f>("Van Den Brande Kathleen")</f>
        <v>Van Den Brande Kathleen</v>
      </c>
      <c r="Q656">
        <v>1198</v>
      </c>
      <c r="S656">
        <v>10</v>
      </c>
    </row>
    <row r="657" spans="1:19" x14ac:dyDescent="0.3">
      <c r="A657" t="s">
        <v>0</v>
      </c>
      <c r="B657" s="1">
        <v>45578</v>
      </c>
      <c r="C657" t="str">
        <f t="shared" si="138"/>
        <v>23027</v>
      </c>
      <c r="D657" t="s">
        <v>6</v>
      </c>
      <c r="E657" t="str">
        <f t="shared" si="139"/>
        <v>20</v>
      </c>
      <c r="F657">
        <v>454681</v>
      </c>
      <c r="G657">
        <v>285986</v>
      </c>
      <c r="H657">
        <v>11036</v>
      </c>
      <c r="I657" t="str">
        <f t="shared" si="140"/>
        <v>6</v>
      </c>
      <c r="J657" t="str">
        <f t="shared" si="141"/>
        <v>Open Vld</v>
      </c>
      <c r="K657">
        <v>11914</v>
      </c>
      <c r="L657">
        <v>18416</v>
      </c>
      <c r="M657">
        <v>30330</v>
      </c>
      <c r="N657">
        <v>2</v>
      </c>
      <c r="O657" t="str">
        <f>("18")</f>
        <v>18</v>
      </c>
      <c r="P657" t="str">
        <f>("Bettens Jeroen")</f>
        <v>Bettens Jeroen</v>
      </c>
      <c r="Q657">
        <v>704</v>
      </c>
      <c r="S657">
        <v>17</v>
      </c>
    </row>
    <row r="658" spans="1:19" x14ac:dyDescent="0.3">
      <c r="A658" t="s">
        <v>0</v>
      </c>
      <c r="B658" s="1">
        <v>45578</v>
      </c>
      <c r="C658" t="str">
        <f t="shared" si="138"/>
        <v>23027</v>
      </c>
      <c r="D658" t="s">
        <v>6</v>
      </c>
      <c r="E658" t="str">
        <f t="shared" si="139"/>
        <v>20</v>
      </c>
      <c r="F658">
        <v>454681</v>
      </c>
      <c r="G658">
        <v>285986</v>
      </c>
      <c r="H658">
        <v>11036</v>
      </c>
      <c r="I658" t="str">
        <f t="shared" si="140"/>
        <v>6</v>
      </c>
      <c r="J658" t="str">
        <f t="shared" si="141"/>
        <v>Open Vld</v>
      </c>
      <c r="K658">
        <v>11914</v>
      </c>
      <c r="L658">
        <v>18416</v>
      </c>
      <c r="M658">
        <v>30330</v>
      </c>
      <c r="N658">
        <v>2</v>
      </c>
      <c r="O658" t="str">
        <f>("19")</f>
        <v>19</v>
      </c>
      <c r="P658" t="str">
        <f>("Liekens Goedele")</f>
        <v>Liekens Goedele</v>
      </c>
      <c r="Q658">
        <v>2537</v>
      </c>
      <c r="S658">
        <v>2</v>
      </c>
    </row>
    <row r="659" spans="1:19" x14ac:dyDescent="0.3">
      <c r="A659" t="s">
        <v>0</v>
      </c>
      <c r="B659" s="1">
        <v>45578</v>
      </c>
      <c r="C659" t="str">
        <f t="shared" si="138"/>
        <v>23027</v>
      </c>
      <c r="D659" t="s">
        <v>6</v>
      </c>
      <c r="E659" t="str">
        <f t="shared" si="139"/>
        <v>20</v>
      </c>
      <c r="F659">
        <v>454681</v>
      </c>
      <c r="G659">
        <v>285986</v>
      </c>
      <c r="H659">
        <v>11036</v>
      </c>
      <c r="I659" t="str">
        <f t="shared" si="140"/>
        <v>6</v>
      </c>
      <c r="J659" t="str">
        <f t="shared" si="141"/>
        <v>Open Vld</v>
      </c>
      <c r="K659">
        <v>11914</v>
      </c>
      <c r="L659">
        <v>18416</v>
      </c>
      <c r="M659">
        <v>30330</v>
      </c>
      <c r="N659">
        <v>2</v>
      </c>
      <c r="O659" t="str">
        <f>("20")</f>
        <v>20</v>
      </c>
      <c r="P659" t="str">
        <f>("De Knop Irina")</f>
        <v>De Knop Irina</v>
      </c>
      <c r="Q659">
        <v>3542</v>
      </c>
      <c r="S659">
        <v>1</v>
      </c>
    </row>
    <row r="660" spans="1:19" x14ac:dyDescent="0.3">
      <c r="A660" t="s">
        <v>0</v>
      </c>
      <c r="B660" s="1">
        <v>45578</v>
      </c>
      <c r="C660" t="str">
        <f t="shared" si="138"/>
        <v>23027</v>
      </c>
      <c r="D660" t="s">
        <v>6</v>
      </c>
      <c r="E660" t="str">
        <f t="shared" si="139"/>
        <v>20</v>
      </c>
      <c r="F660">
        <v>454681</v>
      </c>
      <c r="G660">
        <v>285986</v>
      </c>
      <c r="H660">
        <v>11036</v>
      </c>
      <c r="I660" t="str">
        <f t="shared" ref="I660:I679" si="142">("7")</f>
        <v>7</v>
      </c>
      <c r="J660" t="str">
        <f t="shared" ref="J660:J679" si="143">("GROEN")</f>
        <v>GROEN</v>
      </c>
      <c r="K660">
        <v>11750</v>
      </c>
      <c r="L660">
        <v>9870</v>
      </c>
      <c r="M660">
        <v>21620</v>
      </c>
      <c r="N660">
        <v>1</v>
      </c>
      <c r="O660" t="str">
        <f>("1")</f>
        <v>1</v>
      </c>
      <c r="P660" t="str">
        <f>("Lombaert Peter")</f>
        <v>Lombaert Peter</v>
      </c>
      <c r="Q660">
        <v>2815</v>
      </c>
      <c r="S660">
        <v>1</v>
      </c>
    </row>
    <row r="661" spans="1:19" x14ac:dyDescent="0.3">
      <c r="A661" t="s">
        <v>0</v>
      </c>
      <c r="B661" s="1">
        <v>45578</v>
      </c>
      <c r="C661" t="str">
        <f t="shared" si="138"/>
        <v>23027</v>
      </c>
      <c r="D661" t="s">
        <v>6</v>
      </c>
      <c r="E661" t="str">
        <f t="shared" si="139"/>
        <v>20</v>
      </c>
      <c r="F661">
        <v>454681</v>
      </c>
      <c r="G661">
        <v>285986</v>
      </c>
      <c r="H661">
        <v>11036</v>
      </c>
      <c r="I661" t="str">
        <f t="shared" si="142"/>
        <v>7</v>
      </c>
      <c r="J661" t="str">
        <f t="shared" si="143"/>
        <v>GROEN</v>
      </c>
      <c r="K661">
        <v>11750</v>
      </c>
      <c r="L661">
        <v>9870</v>
      </c>
      <c r="M661">
        <v>21620</v>
      </c>
      <c r="N661">
        <v>1</v>
      </c>
      <c r="O661" t="str">
        <f>("2")</f>
        <v>2</v>
      </c>
      <c r="P661" t="str">
        <f>("de Bakker Barbara")</f>
        <v>de Bakker Barbara</v>
      </c>
      <c r="Q661">
        <v>3591</v>
      </c>
      <c r="R661">
        <v>1</v>
      </c>
    </row>
    <row r="662" spans="1:19" x14ac:dyDescent="0.3">
      <c r="A662" t="s">
        <v>0</v>
      </c>
      <c r="B662" s="1">
        <v>45578</v>
      </c>
      <c r="C662" t="str">
        <f t="shared" si="138"/>
        <v>23027</v>
      </c>
      <c r="D662" t="s">
        <v>6</v>
      </c>
      <c r="E662" t="str">
        <f t="shared" si="139"/>
        <v>20</v>
      </c>
      <c r="F662">
        <v>454681</v>
      </c>
      <c r="G662">
        <v>285986</v>
      </c>
      <c r="H662">
        <v>11036</v>
      </c>
      <c r="I662" t="str">
        <f t="shared" si="142"/>
        <v>7</v>
      </c>
      <c r="J662" t="str">
        <f t="shared" si="143"/>
        <v>GROEN</v>
      </c>
      <c r="K662">
        <v>11750</v>
      </c>
      <c r="L662">
        <v>9870</v>
      </c>
      <c r="M662">
        <v>21620</v>
      </c>
      <c r="N662">
        <v>1</v>
      </c>
      <c r="O662" t="str">
        <f>("3")</f>
        <v>3</v>
      </c>
      <c r="P662" t="str">
        <f>("Jacobs Finke")</f>
        <v>Jacobs Finke</v>
      </c>
      <c r="Q662">
        <v>2115</v>
      </c>
      <c r="S662">
        <v>4</v>
      </c>
    </row>
    <row r="663" spans="1:19" x14ac:dyDescent="0.3">
      <c r="A663" t="s">
        <v>0</v>
      </c>
      <c r="B663" s="1">
        <v>45578</v>
      </c>
      <c r="C663" t="str">
        <f t="shared" si="138"/>
        <v>23027</v>
      </c>
      <c r="D663" t="s">
        <v>6</v>
      </c>
      <c r="E663" t="str">
        <f t="shared" si="139"/>
        <v>20</v>
      </c>
      <c r="F663">
        <v>454681</v>
      </c>
      <c r="G663">
        <v>285986</v>
      </c>
      <c r="H663">
        <v>11036</v>
      </c>
      <c r="I663" t="str">
        <f t="shared" si="142"/>
        <v>7</v>
      </c>
      <c r="J663" t="str">
        <f t="shared" si="143"/>
        <v>GROEN</v>
      </c>
      <c r="K663">
        <v>11750</v>
      </c>
      <c r="L663">
        <v>9870</v>
      </c>
      <c r="M663">
        <v>21620</v>
      </c>
      <c r="N663">
        <v>1</v>
      </c>
      <c r="O663" t="str">
        <f>("4")</f>
        <v>4</v>
      </c>
      <c r="P663" t="str">
        <f>("Vandenhirtz Kilian")</f>
        <v>Vandenhirtz Kilian</v>
      </c>
      <c r="Q663">
        <v>983</v>
      </c>
      <c r="S663">
        <v>15</v>
      </c>
    </row>
    <row r="664" spans="1:19" x14ac:dyDescent="0.3">
      <c r="A664" t="s">
        <v>0</v>
      </c>
      <c r="B664" s="1">
        <v>45578</v>
      </c>
      <c r="C664" t="str">
        <f t="shared" si="138"/>
        <v>23027</v>
      </c>
      <c r="D664" t="s">
        <v>6</v>
      </c>
      <c r="E664" t="str">
        <f t="shared" si="139"/>
        <v>20</v>
      </c>
      <c r="F664">
        <v>454681</v>
      </c>
      <c r="G664">
        <v>285986</v>
      </c>
      <c r="H664">
        <v>11036</v>
      </c>
      <c r="I664" t="str">
        <f t="shared" si="142"/>
        <v>7</v>
      </c>
      <c r="J664" t="str">
        <f t="shared" si="143"/>
        <v>GROEN</v>
      </c>
      <c r="K664">
        <v>11750</v>
      </c>
      <c r="L664">
        <v>9870</v>
      </c>
      <c r="M664">
        <v>21620</v>
      </c>
      <c r="N664">
        <v>1</v>
      </c>
      <c r="O664" t="str">
        <f>("5")</f>
        <v>5</v>
      </c>
      <c r="P664" t="str">
        <f>("Lamberts Fien")</f>
        <v>Lamberts Fien</v>
      </c>
      <c r="Q664">
        <v>1998</v>
      </c>
      <c r="S664">
        <v>5</v>
      </c>
    </row>
    <row r="665" spans="1:19" x14ac:dyDescent="0.3">
      <c r="A665" t="s">
        <v>0</v>
      </c>
      <c r="B665" s="1">
        <v>45578</v>
      </c>
      <c r="C665" t="str">
        <f t="shared" si="138"/>
        <v>23027</v>
      </c>
      <c r="D665" t="s">
        <v>6</v>
      </c>
      <c r="E665" t="str">
        <f t="shared" si="139"/>
        <v>20</v>
      </c>
      <c r="F665">
        <v>454681</v>
      </c>
      <c r="G665">
        <v>285986</v>
      </c>
      <c r="H665">
        <v>11036</v>
      </c>
      <c r="I665" t="str">
        <f t="shared" si="142"/>
        <v>7</v>
      </c>
      <c r="J665" t="str">
        <f t="shared" si="143"/>
        <v>GROEN</v>
      </c>
      <c r="K665">
        <v>11750</v>
      </c>
      <c r="L665">
        <v>9870</v>
      </c>
      <c r="M665">
        <v>21620</v>
      </c>
      <c r="N665">
        <v>1</v>
      </c>
      <c r="O665" t="str">
        <f>("6")</f>
        <v>6</v>
      </c>
      <c r="P665" t="str">
        <f>("Métens Karine")</f>
        <v>Métens Karine</v>
      </c>
      <c r="Q665">
        <v>1976</v>
      </c>
      <c r="S665">
        <v>6</v>
      </c>
    </row>
    <row r="666" spans="1:19" x14ac:dyDescent="0.3">
      <c r="A666" t="s">
        <v>0</v>
      </c>
      <c r="B666" s="1">
        <v>45578</v>
      </c>
      <c r="C666" t="str">
        <f t="shared" si="138"/>
        <v>23027</v>
      </c>
      <c r="D666" t="s">
        <v>6</v>
      </c>
      <c r="E666" t="str">
        <f t="shared" si="139"/>
        <v>20</v>
      </c>
      <c r="F666">
        <v>454681</v>
      </c>
      <c r="G666">
        <v>285986</v>
      </c>
      <c r="H666">
        <v>11036</v>
      </c>
      <c r="I666" t="str">
        <f t="shared" si="142"/>
        <v>7</v>
      </c>
      <c r="J666" t="str">
        <f t="shared" si="143"/>
        <v>GROEN</v>
      </c>
      <c r="K666">
        <v>11750</v>
      </c>
      <c r="L666">
        <v>9870</v>
      </c>
      <c r="M666">
        <v>21620</v>
      </c>
      <c r="N666">
        <v>1</v>
      </c>
      <c r="O666" t="str">
        <f>("7")</f>
        <v>7</v>
      </c>
      <c r="P666" t="str">
        <f>("Vandenbroecke Bram")</f>
        <v>Vandenbroecke Bram</v>
      </c>
      <c r="Q666">
        <v>1045</v>
      </c>
      <c r="S666">
        <v>14</v>
      </c>
    </row>
    <row r="667" spans="1:19" x14ac:dyDescent="0.3">
      <c r="A667" t="s">
        <v>0</v>
      </c>
      <c r="B667" s="1">
        <v>45578</v>
      </c>
      <c r="C667" t="str">
        <f t="shared" si="138"/>
        <v>23027</v>
      </c>
      <c r="D667" t="s">
        <v>6</v>
      </c>
      <c r="E667" t="str">
        <f t="shared" si="139"/>
        <v>20</v>
      </c>
      <c r="F667">
        <v>454681</v>
      </c>
      <c r="G667">
        <v>285986</v>
      </c>
      <c r="H667">
        <v>11036</v>
      </c>
      <c r="I667" t="str">
        <f t="shared" si="142"/>
        <v>7</v>
      </c>
      <c r="J667" t="str">
        <f t="shared" si="143"/>
        <v>GROEN</v>
      </c>
      <c r="K667">
        <v>11750</v>
      </c>
      <c r="L667">
        <v>9870</v>
      </c>
      <c r="M667">
        <v>21620</v>
      </c>
      <c r="N667">
        <v>1</v>
      </c>
      <c r="O667" t="str">
        <f>("8")</f>
        <v>8</v>
      </c>
      <c r="P667" t="str">
        <f>("Singulé Inge")</f>
        <v>Singulé Inge</v>
      </c>
      <c r="Q667">
        <v>1774</v>
      </c>
      <c r="S667">
        <v>9</v>
      </c>
    </row>
    <row r="668" spans="1:19" x14ac:dyDescent="0.3">
      <c r="A668" t="s">
        <v>0</v>
      </c>
      <c r="B668" s="1">
        <v>45578</v>
      </c>
      <c r="C668" t="str">
        <f t="shared" ref="C668:C699" si="144">("23027")</f>
        <v>23027</v>
      </c>
      <c r="D668" t="s">
        <v>6</v>
      </c>
      <c r="E668" t="str">
        <f t="shared" ref="E668:E699" si="145">("20")</f>
        <v>20</v>
      </c>
      <c r="F668">
        <v>454681</v>
      </c>
      <c r="G668">
        <v>285986</v>
      </c>
      <c r="H668">
        <v>11036</v>
      </c>
      <c r="I668" t="str">
        <f t="shared" si="142"/>
        <v>7</v>
      </c>
      <c r="J668" t="str">
        <f t="shared" si="143"/>
        <v>GROEN</v>
      </c>
      <c r="K668">
        <v>11750</v>
      </c>
      <c r="L668">
        <v>9870</v>
      </c>
      <c r="M668">
        <v>21620</v>
      </c>
      <c r="N668">
        <v>1</v>
      </c>
      <c r="O668" t="str">
        <f>("9")</f>
        <v>9</v>
      </c>
      <c r="P668" t="str">
        <f>("Van Ingelgom Marc")</f>
        <v>Van Ingelgom Marc</v>
      </c>
      <c r="Q668">
        <v>956</v>
      </c>
      <c r="S668">
        <v>16</v>
      </c>
    </row>
    <row r="669" spans="1:19" x14ac:dyDescent="0.3">
      <c r="A669" t="s">
        <v>0</v>
      </c>
      <c r="B669" s="1">
        <v>45578</v>
      </c>
      <c r="C669" t="str">
        <f t="shared" si="144"/>
        <v>23027</v>
      </c>
      <c r="D669" t="s">
        <v>6</v>
      </c>
      <c r="E669" t="str">
        <f t="shared" si="145"/>
        <v>20</v>
      </c>
      <c r="F669">
        <v>454681</v>
      </c>
      <c r="G669">
        <v>285986</v>
      </c>
      <c r="H669">
        <v>11036</v>
      </c>
      <c r="I669" t="str">
        <f t="shared" si="142"/>
        <v>7</v>
      </c>
      <c r="J669" t="str">
        <f t="shared" si="143"/>
        <v>GROEN</v>
      </c>
      <c r="K669">
        <v>11750</v>
      </c>
      <c r="L669">
        <v>9870</v>
      </c>
      <c r="M669">
        <v>21620</v>
      </c>
      <c r="N669">
        <v>1</v>
      </c>
      <c r="O669" t="str">
        <f>("10")</f>
        <v>10</v>
      </c>
      <c r="P669" t="str">
        <f>("Leroy Veerle")</f>
        <v>Leroy Veerle</v>
      </c>
      <c r="Q669">
        <v>2436</v>
      </c>
      <c r="S669">
        <v>2</v>
      </c>
    </row>
    <row r="670" spans="1:19" x14ac:dyDescent="0.3">
      <c r="A670" t="s">
        <v>0</v>
      </c>
      <c r="B670" s="1">
        <v>45578</v>
      </c>
      <c r="C670" t="str">
        <f t="shared" si="144"/>
        <v>23027</v>
      </c>
      <c r="D670" t="s">
        <v>6</v>
      </c>
      <c r="E670" t="str">
        <f t="shared" si="145"/>
        <v>20</v>
      </c>
      <c r="F670">
        <v>454681</v>
      </c>
      <c r="G670">
        <v>285986</v>
      </c>
      <c r="H670">
        <v>11036</v>
      </c>
      <c r="I670" t="str">
        <f t="shared" si="142"/>
        <v>7</v>
      </c>
      <c r="J670" t="str">
        <f t="shared" si="143"/>
        <v>GROEN</v>
      </c>
      <c r="K670">
        <v>11750</v>
      </c>
      <c r="L670">
        <v>9870</v>
      </c>
      <c r="M670">
        <v>21620</v>
      </c>
      <c r="N670">
        <v>1</v>
      </c>
      <c r="O670" t="str">
        <f>("11")</f>
        <v>11</v>
      </c>
      <c r="P670" t="str">
        <f>("Alaoui Mhammedi Ahmed")</f>
        <v>Alaoui Mhammedi Ahmed</v>
      </c>
      <c r="Q670">
        <v>1436</v>
      </c>
      <c r="S670">
        <v>12</v>
      </c>
    </row>
    <row r="671" spans="1:19" x14ac:dyDescent="0.3">
      <c r="A671" t="s">
        <v>0</v>
      </c>
      <c r="B671" s="1">
        <v>45578</v>
      </c>
      <c r="C671" t="str">
        <f t="shared" si="144"/>
        <v>23027</v>
      </c>
      <c r="D671" t="s">
        <v>6</v>
      </c>
      <c r="E671" t="str">
        <f t="shared" si="145"/>
        <v>20</v>
      </c>
      <c r="F671">
        <v>454681</v>
      </c>
      <c r="G671">
        <v>285986</v>
      </c>
      <c r="H671">
        <v>11036</v>
      </c>
      <c r="I671" t="str">
        <f t="shared" si="142"/>
        <v>7</v>
      </c>
      <c r="J671" t="str">
        <f t="shared" si="143"/>
        <v>GROEN</v>
      </c>
      <c r="K671">
        <v>11750</v>
      </c>
      <c r="L671">
        <v>9870</v>
      </c>
      <c r="M671">
        <v>21620</v>
      </c>
      <c r="N671">
        <v>1</v>
      </c>
      <c r="O671" t="str">
        <f>("12")</f>
        <v>12</v>
      </c>
      <c r="P671" t="str">
        <f>("Nicol Wendy")</f>
        <v>Nicol Wendy</v>
      </c>
      <c r="Q671">
        <v>1692</v>
      </c>
      <c r="S671">
        <v>11</v>
      </c>
    </row>
    <row r="672" spans="1:19" x14ac:dyDescent="0.3">
      <c r="A672" t="s">
        <v>0</v>
      </c>
      <c r="B672" s="1">
        <v>45578</v>
      </c>
      <c r="C672" t="str">
        <f t="shared" si="144"/>
        <v>23027</v>
      </c>
      <c r="D672" t="s">
        <v>6</v>
      </c>
      <c r="E672" t="str">
        <f t="shared" si="145"/>
        <v>20</v>
      </c>
      <c r="F672">
        <v>454681</v>
      </c>
      <c r="G672">
        <v>285986</v>
      </c>
      <c r="H672">
        <v>11036</v>
      </c>
      <c r="I672" t="str">
        <f t="shared" si="142"/>
        <v>7</v>
      </c>
      <c r="J672" t="str">
        <f t="shared" si="143"/>
        <v>GROEN</v>
      </c>
      <c r="K672">
        <v>11750</v>
      </c>
      <c r="L672">
        <v>9870</v>
      </c>
      <c r="M672">
        <v>21620</v>
      </c>
      <c r="N672">
        <v>1</v>
      </c>
      <c r="O672" t="str">
        <f>("13")</f>
        <v>13</v>
      </c>
      <c r="P672" t="str">
        <f>("Luyckx Luc")</f>
        <v>Luyckx Luc</v>
      </c>
      <c r="Q672">
        <v>881</v>
      </c>
      <c r="S672">
        <v>18</v>
      </c>
    </row>
    <row r="673" spans="1:19" x14ac:dyDescent="0.3">
      <c r="A673" t="s">
        <v>0</v>
      </c>
      <c r="B673" s="1">
        <v>45578</v>
      </c>
      <c r="C673" t="str">
        <f t="shared" si="144"/>
        <v>23027</v>
      </c>
      <c r="D673" t="s">
        <v>6</v>
      </c>
      <c r="E673" t="str">
        <f t="shared" si="145"/>
        <v>20</v>
      </c>
      <c r="F673">
        <v>454681</v>
      </c>
      <c r="G673">
        <v>285986</v>
      </c>
      <c r="H673">
        <v>11036</v>
      </c>
      <c r="I673" t="str">
        <f t="shared" si="142"/>
        <v>7</v>
      </c>
      <c r="J673" t="str">
        <f t="shared" si="143"/>
        <v>GROEN</v>
      </c>
      <c r="K673">
        <v>11750</v>
      </c>
      <c r="L673">
        <v>9870</v>
      </c>
      <c r="M673">
        <v>21620</v>
      </c>
      <c r="N673">
        <v>1</v>
      </c>
      <c r="O673" t="str">
        <f>("14")</f>
        <v>14</v>
      </c>
      <c r="P673" t="str">
        <f>("Dehasque Sylvie")</f>
        <v>Dehasque Sylvie</v>
      </c>
      <c r="Q673">
        <v>1746</v>
      </c>
      <c r="S673">
        <v>10</v>
      </c>
    </row>
    <row r="674" spans="1:19" x14ac:dyDescent="0.3">
      <c r="A674" t="s">
        <v>0</v>
      </c>
      <c r="B674" s="1">
        <v>45578</v>
      </c>
      <c r="C674" t="str">
        <f t="shared" si="144"/>
        <v>23027</v>
      </c>
      <c r="D674" t="s">
        <v>6</v>
      </c>
      <c r="E674" t="str">
        <f t="shared" si="145"/>
        <v>20</v>
      </c>
      <c r="F674">
        <v>454681</v>
      </c>
      <c r="G674">
        <v>285986</v>
      </c>
      <c r="H674">
        <v>11036</v>
      </c>
      <c r="I674" t="str">
        <f t="shared" si="142"/>
        <v>7</v>
      </c>
      <c r="J674" t="str">
        <f t="shared" si="143"/>
        <v>GROEN</v>
      </c>
      <c r="K674">
        <v>11750</v>
      </c>
      <c r="L674">
        <v>9870</v>
      </c>
      <c r="M674">
        <v>21620</v>
      </c>
      <c r="N674">
        <v>1</v>
      </c>
      <c r="O674" t="str">
        <f>("15")</f>
        <v>15</v>
      </c>
      <c r="P674" t="str">
        <f>("Godfroid Werner")</f>
        <v>Godfroid Werner</v>
      </c>
      <c r="Q674">
        <v>891</v>
      </c>
      <c r="S674">
        <v>17</v>
      </c>
    </row>
    <row r="675" spans="1:19" x14ac:dyDescent="0.3">
      <c r="A675" t="s">
        <v>0</v>
      </c>
      <c r="B675" s="1">
        <v>45578</v>
      </c>
      <c r="C675" t="str">
        <f t="shared" si="144"/>
        <v>23027</v>
      </c>
      <c r="D675" t="s">
        <v>6</v>
      </c>
      <c r="E675" t="str">
        <f t="shared" si="145"/>
        <v>20</v>
      </c>
      <c r="F675">
        <v>454681</v>
      </c>
      <c r="G675">
        <v>285986</v>
      </c>
      <c r="H675">
        <v>11036</v>
      </c>
      <c r="I675" t="str">
        <f t="shared" si="142"/>
        <v>7</v>
      </c>
      <c r="J675" t="str">
        <f t="shared" si="143"/>
        <v>GROEN</v>
      </c>
      <c r="K675">
        <v>11750</v>
      </c>
      <c r="L675">
        <v>9870</v>
      </c>
      <c r="M675">
        <v>21620</v>
      </c>
      <c r="N675">
        <v>1</v>
      </c>
      <c r="O675" t="str">
        <f>("16")</f>
        <v>16</v>
      </c>
      <c r="P675" t="str">
        <f>("Schoukens Hendrik")</f>
        <v>Schoukens Hendrik</v>
      </c>
      <c r="Q675">
        <v>1211</v>
      </c>
      <c r="S675">
        <v>13</v>
      </c>
    </row>
    <row r="676" spans="1:19" x14ac:dyDescent="0.3">
      <c r="A676" t="s">
        <v>0</v>
      </c>
      <c r="B676" s="1">
        <v>45578</v>
      </c>
      <c r="C676" t="str">
        <f t="shared" si="144"/>
        <v>23027</v>
      </c>
      <c r="D676" t="s">
        <v>6</v>
      </c>
      <c r="E676" t="str">
        <f t="shared" si="145"/>
        <v>20</v>
      </c>
      <c r="F676">
        <v>454681</v>
      </c>
      <c r="G676">
        <v>285986</v>
      </c>
      <c r="H676">
        <v>11036</v>
      </c>
      <c r="I676" t="str">
        <f t="shared" si="142"/>
        <v>7</v>
      </c>
      <c r="J676" t="str">
        <f t="shared" si="143"/>
        <v>GROEN</v>
      </c>
      <c r="K676">
        <v>11750</v>
      </c>
      <c r="L676">
        <v>9870</v>
      </c>
      <c r="M676">
        <v>21620</v>
      </c>
      <c r="N676">
        <v>1</v>
      </c>
      <c r="O676" t="str">
        <f>("17")</f>
        <v>17</v>
      </c>
      <c r="P676" t="str">
        <f>("Christiaens Ronan")</f>
        <v>Christiaens Ronan</v>
      </c>
      <c r="Q676">
        <v>813</v>
      </c>
      <c r="S676">
        <v>19</v>
      </c>
    </row>
    <row r="677" spans="1:19" x14ac:dyDescent="0.3">
      <c r="A677" t="s">
        <v>0</v>
      </c>
      <c r="B677" s="1">
        <v>45578</v>
      </c>
      <c r="C677" t="str">
        <f t="shared" si="144"/>
        <v>23027</v>
      </c>
      <c r="D677" t="s">
        <v>6</v>
      </c>
      <c r="E677" t="str">
        <f t="shared" si="145"/>
        <v>20</v>
      </c>
      <c r="F677">
        <v>454681</v>
      </c>
      <c r="G677">
        <v>285986</v>
      </c>
      <c r="H677">
        <v>11036</v>
      </c>
      <c r="I677" t="str">
        <f t="shared" si="142"/>
        <v>7</v>
      </c>
      <c r="J677" t="str">
        <f t="shared" si="143"/>
        <v>GROEN</v>
      </c>
      <c r="K677">
        <v>11750</v>
      </c>
      <c r="L677">
        <v>9870</v>
      </c>
      <c r="M677">
        <v>21620</v>
      </c>
      <c r="N677">
        <v>1</v>
      </c>
      <c r="O677" t="str">
        <f>("18")</f>
        <v>18</v>
      </c>
      <c r="P677" t="str">
        <f>("Mousaid Noor")</f>
        <v>Mousaid Noor</v>
      </c>
      <c r="Q677">
        <v>1806</v>
      </c>
      <c r="S677">
        <v>8</v>
      </c>
    </row>
    <row r="678" spans="1:19" x14ac:dyDescent="0.3">
      <c r="A678" t="s">
        <v>0</v>
      </c>
      <c r="B678" s="1">
        <v>45578</v>
      </c>
      <c r="C678" t="str">
        <f t="shared" si="144"/>
        <v>23027</v>
      </c>
      <c r="D678" t="s">
        <v>6</v>
      </c>
      <c r="E678" t="str">
        <f t="shared" si="145"/>
        <v>20</v>
      </c>
      <c r="F678">
        <v>454681</v>
      </c>
      <c r="G678">
        <v>285986</v>
      </c>
      <c r="H678">
        <v>11036</v>
      </c>
      <c r="I678" t="str">
        <f t="shared" si="142"/>
        <v>7</v>
      </c>
      <c r="J678" t="str">
        <f t="shared" si="143"/>
        <v>GROEN</v>
      </c>
      <c r="K678">
        <v>11750</v>
      </c>
      <c r="L678">
        <v>9870</v>
      </c>
      <c r="M678">
        <v>21620</v>
      </c>
      <c r="N678">
        <v>1</v>
      </c>
      <c r="O678" t="str">
        <f>("19")</f>
        <v>19</v>
      </c>
      <c r="P678" t="str">
        <f>("Van Aken Leentje")</f>
        <v>Van Aken Leentje</v>
      </c>
      <c r="Q678">
        <v>1920</v>
      </c>
      <c r="S678">
        <v>7</v>
      </c>
    </row>
    <row r="679" spans="1:19" x14ac:dyDescent="0.3">
      <c r="A679" t="s">
        <v>0</v>
      </c>
      <c r="B679" s="1">
        <v>45578</v>
      </c>
      <c r="C679" t="str">
        <f t="shared" si="144"/>
        <v>23027</v>
      </c>
      <c r="D679" t="s">
        <v>6</v>
      </c>
      <c r="E679" t="str">
        <f t="shared" si="145"/>
        <v>20</v>
      </c>
      <c r="F679">
        <v>454681</v>
      </c>
      <c r="G679">
        <v>285986</v>
      </c>
      <c r="H679">
        <v>11036</v>
      </c>
      <c r="I679" t="str">
        <f t="shared" si="142"/>
        <v>7</v>
      </c>
      <c r="J679" t="str">
        <f t="shared" si="143"/>
        <v>GROEN</v>
      </c>
      <c r="K679">
        <v>11750</v>
      </c>
      <c r="L679">
        <v>9870</v>
      </c>
      <c r="M679">
        <v>21620</v>
      </c>
      <c r="N679">
        <v>1</v>
      </c>
      <c r="O679" t="str">
        <f>("20")</f>
        <v>20</v>
      </c>
      <c r="P679" t="str">
        <f>("Aelvoet Magda")</f>
        <v>Aelvoet Magda</v>
      </c>
      <c r="Q679">
        <v>2418</v>
      </c>
      <c r="S679">
        <v>3</v>
      </c>
    </row>
    <row r="680" spans="1:19" x14ac:dyDescent="0.3">
      <c r="A680" t="s">
        <v>0</v>
      </c>
      <c r="B680" s="1">
        <v>45578</v>
      </c>
      <c r="C680" t="str">
        <f t="shared" si="144"/>
        <v>23027</v>
      </c>
      <c r="D680" t="s">
        <v>6</v>
      </c>
      <c r="E680" t="str">
        <f t="shared" si="145"/>
        <v>20</v>
      </c>
      <c r="F680">
        <v>454681</v>
      </c>
      <c r="G680">
        <v>285986</v>
      </c>
      <c r="H680">
        <v>11036</v>
      </c>
      <c r="I680" t="str">
        <f t="shared" ref="I680:I699" si="146">("8")</f>
        <v>8</v>
      </c>
      <c r="J680" t="str">
        <f t="shared" ref="J680:J699" si="147">("UF Union Francophone")</f>
        <v>UF Union Francophone</v>
      </c>
      <c r="K680">
        <v>14449</v>
      </c>
      <c r="L680">
        <v>14642</v>
      </c>
      <c r="M680">
        <v>29091</v>
      </c>
      <c r="N680">
        <v>2</v>
      </c>
      <c r="O680" t="str">
        <f>("1")</f>
        <v>1</v>
      </c>
      <c r="P680" t="str">
        <f>("Petit Frédéric")</f>
        <v>Petit Frédéric</v>
      </c>
      <c r="Q680">
        <v>6180</v>
      </c>
      <c r="R680">
        <v>1</v>
      </c>
    </row>
    <row r="681" spans="1:19" x14ac:dyDescent="0.3">
      <c r="A681" t="s">
        <v>0</v>
      </c>
      <c r="B681" s="1">
        <v>45578</v>
      </c>
      <c r="C681" t="str">
        <f t="shared" si="144"/>
        <v>23027</v>
      </c>
      <c r="D681" t="s">
        <v>6</v>
      </c>
      <c r="E681" t="str">
        <f t="shared" si="145"/>
        <v>20</v>
      </c>
      <c r="F681">
        <v>454681</v>
      </c>
      <c r="G681">
        <v>285986</v>
      </c>
      <c r="H681">
        <v>11036</v>
      </c>
      <c r="I681" t="str">
        <f t="shared" si="146"/>
        <v>8</v>
      </c>
      <c r="J681" t="str">
        <f t="shared" si="147"/>
        <v>UF Union Francophone</v>
      </c>
      <c r="K681">
        <v>14449</v>
      </c>
      <c r="L681">
        <v>14642</v>
      </c>
      <c r="M681">
        <v>29091</v>
      </c>
      <c r="N681">
        <v>2</v>
      </c>
      <c r="O681" t="str">
        <f>("2")</f>
        <v>2</v>
      </c>
      <c r="P681" t="str">
        <f>("Boucau-Mineur Fabienne")</f>
        <v>Boucau-Mineur Fabienne</v>
      </c>
      <c r="Q681">
        <v>2616</v>
      </c>
      <c r="S681">
        <v>3</v>
      </c>
    </row>
    <row r="682" spans="1:19" x14ac:dyDescent="0.3">
      <c r="A682" t="s">
        <v>0</v>
      </c>
      <c r="B682" s="1">
        <v>45578</v>
      </c>
      <c r="C682" t="str">
        <f t="shared" si="144"/>
        <v>23027</v>
      </c>
      <c r="D682" t="s">
        <v>6</v>
      </c>
      <c r="E682" t="str">
        <f t="shared" si="145"/>
        <v>20</v>
      </c>
      <c r="F682">
        <v>454681</v>
      </c>
      <c r="G682">
        <v>285986</v>
      </c>
      <c r="H682">
        <v>11036</v>
      </c>
      <c r="I682" t="str">
        <f t="shared" si="146"/>
        <v>8</v>
      </c>
      <c r="J682" t="str">
        <f t="shared" si="147"/>
        <v>UF Union Francophone</v>
      </c>
      <c r="K682">
        <v>14449</v>
      </c>
      <c r="L682">
        <v>14642</v>
      </c>
      <c r="M682">
        <v>29091</v>
      </c>
      <c r="N682">
        <v>2</v>
      </c>
      <c r="O682" t="str">
        <f>("3")</f>
        <v>3</v>
      </c>
      <c r="P682" t="str">
        <f>("Devleeschouwer Françoise")</f>
        <v>Devleeschouwer Françoise</v>
      </c>
      <c r="Q682">
        <v>2899</v>
      </c>
      <c r="R682">
        <v>2</v>
      </c>
    </row>
    <row r="683" spans="1:19" x14ac:dyDescent="0.3">
      <c r="A683" t="s">
        <v>0</v>
      </c>
      <c r="B683" s="1">
        <v>45578</v>
      </c>
      <c r="C683" t="str">
        <f t="shared" si="144"/>
        <v>23027</v>
      </c>
      <c r="D683" t="s">
        <v>6</v>
      </c>
      <c r="E683" t="str">
        <f t="shared" si="145"/>
        <v>20</v>
      </c>
      <c r="F683">
        <v>454681</v>
      </c>
      <c r="G683">
        <v>285986</v>
      </c>
      <c r="H683">
        <v>11036</v>
      </c>
      <c r="I683" t="str">
        <f t="shared" si="146"/>
        <v>8</v>
      </c>
      <c r="J683" t="str">
        <f t="shared" si="147"/>
        <v>UF Union Francophone</v>
      </c>
      <c r="K683">
        <v>14449</v>
      </c>
      <c r="L683">
        <v>14642</v>
      </c>
      <c r="M683">
        <v>29091</v>
      </c>
      <c r="N683">
        <v>2</v>
      </c>
      <c r="O683" t="str">
        <f>("4")</f>
        <v>4</v>
      </c>
      <c r="P683" t="str">
        <f>("Karamanis Georgios")</f>
        <v>Karamanis Georgios</v>
      </c>
      <c r="Q683">
        <v>1320</v>
      </c>
      <c r="S683">
        <v>6</v>
      </c>
    </row>
    <row r="684" spans="1:19" x14ac:dyDescent="0.3">
      <c r="A684" t="s">
        <v>0</v>
      </c>
      <c r="B684" s="1">
        <v>45578</v>
      </c>
      <c r="C684" t="str">
        <f t="shared" si="144"/>
        <v>23027</v>
      </c>
      <c r="D684" t="s">
        <v>6</v>
      </c>
      <c r="E684" t="str">
        <f t="shared" si="145"/>
        <v>20</v>
      </c>
      <c r="F684">
        <v>454681</v>
      </c>
      <c r="G684">
        <v>285986</v>
      </c>
      <c r="H684">
        <v>11036</v>
      </c>
      <c r="I684" t="str">
        <f t="shared" si="146"/>
        <v>8</v>
      </c>
      <c r="J684" t="str">
        <f t="shared" si="147"/>
        <v>UF Union Francophone</v>
      </c>
      <c r="K684">
        <v>14449</v>
      </c>
      <c r="L684">
        <v>14642</v>
      </c>
      <c r="M684">
        <v>29091</v>
      </c>
      <c r="N684">
        <v>2</v>
      </c>
      <c r="O684" t="str">
        <f>("5")</f>
        <v>5</v>
      </c>
      <c r="P684" t="str">
        <f>("de Foestraets-d'Ursel Elisabeth")</f>
        <v>de Foestraets-d'Ursel Elisabeth</v>
      </c>
      <c r="Q684">
        <v>2654</v>
      </c>
      <c r="S684">
        <v>2</v>
      </c>
    </row>
    <row r="685" spans="1:19" x14ac:dyDescent="0.3">
      <c r="A685" t="s">
        <v>0</v>
      </c>
      <c r="B685" s="1">
        <v>45578</v>
      </c>
      <c r="C685" t="str">
        <f t="shared" si="144"/>
        <v>23027</v>
      </c>
      <c r="D685" t="s">
        <v>6</v>
      </c>
      <c r="E685" t="str">
        <f t="shared" si="145"/>
        <v>20</v>
      </c>
      <c r="F685">
        <v>454681</v>
      </c>
      <c r="G685">
        <v>285986</v>
      </c>
      <c r="H685">
        <v>11036</v>
      </c>
      <c r="I685" t="str">
        <f t="shared" si="146"/>
        <v>8</v>
      </c>
      <c r="J685" t="str">
        <f t="shared" si="147"/>
        <v>UF Union Francophone</v>
      </c>
      <c r="K685">
        <v>14449</v>
      </c>
      <c r="L685">
        <v>14642</v>
      </c>
      <c r="M685">
        <v>29091</v>
      </c>
      <c r="N685">
        <v>2</v>
      </c>
      <c r="O685" t="str">
        <f>("6")</f>
        <v>6</v>
      </c>
      <c r="P685" t="str">
        <f>("Rohonyi Sophie")</f>
        <v>Rohonyi Sophie</v>
      </c>
      <c r="Q685">
        <v>2782</v>
      </c>
      <c r="S685">
        <v>1</v>
      </c>
    </row>
    <row r="686" spans="1:19" x14ac:dyDescent="0.3">
      <c r="A686" t="s">
        <v>0</v>
      </c>
      <c r="B686" s="1">
        <v>45578</v>
      </c>
      <c r="C686" t="str">
        <f t="shared" si="144"/>
        <v>23027</v>
      </c>
      <c r="D686" t="s">
        <v>6</v>
      </c>
      <c r="E686" t="str">
        <f t="shared" si="145"/>
        <v>20</v>
      </c>
      <c r="F686">
        <v>454681</v>
      </c>
      <c r="G686">
        <v>285986</v>
      </c>
      <c r="H686">
        <v>11036</v>
      </c>
      <c r="I686" t="str">
        <f t="shared" si="146"/>
        <v>8</v>
      </c>
      <c r="J686" t="str">
        <f t="shared" si="147"/>
        <v>UF Union Francophone</v>
      </c>
      <c r="K686">
        <v>14449</v>
      </c>
      <c r="L686">
        <v>14642</v>
      </c>
      <c r="M686">
        <v>29091</v>
      </c>
      <c r="N686">
        <v>2</v>
      </c>
      <c r="O686" t="str">
        <f>("7")</f>
        <v>7</v>
      </c>
      <c r="P686" t="str">
        <f>("Delcommune Alexandre")</f>
        <v>Delcommune Alexandre</v>
      </c>
      <c r="Q686">
        <v>1148</v>
      </c>
      <c r="S686">
        <v>9</v>
      </c>
    </row>
    <row r="687" spans="1:19" x14ac:dyDescent="0.3">
      <c r="A687" t="s">
        <v>0</v>
      </c>
      <c r="B687" s="1">
        <v>45578</v>
      </c>
      <c r="C687" t="str">
        <f t="shared" si="144"/>
        <v>23027</v>
      </c>
      <c r="D687" t="s">
        <v>6</v>
      </c>
      <c r="E687" t="str">
        <f t="shared" si="145"/>
        <v>20</v>
      </c>
      <c r="F687">
        <v>454681</v>
      </c>
      <c r="G687">
        <v>285986</v>
      </c>
      <c r="H687">
        <v>11036</v>
      </c>
      <c r="I687" t="str">
        <f t="shared" si="146"/>
        <v>8</v>
      </c>
      <c r="J687" t="str">
        <f t="shared" si="147"/>
        <v>UF Union Francophone</v>
      </c>
      <c r="K687">
        <v>14449</v>
      </c>
      <c r="L687">
        <v>14642</v>
      </c>
      <c r="M687">
        <v>29091</v>
      </c>
      <c r="N687">
        <v>2</v>
      </c>
      <c r="O687" t="str">
        <f>("8")</f>
        <v>8</v>
      </c>
      <c r="P687" t="str">
        <f>("Krotoszyner Julie")</f>
        <v>Krotoszyner Julie</v>
      </c>
      <c r="Q687">
        <v>1160</v>
      </c>
      <c r="S687">
        <v>8</v>
      </c>
    </row>
    <row r="688" spans="1:19" x14ac:dyDescent="0.3">
      <c r="A688" t="s">
        <v>0</v>
      </c>
      <c r="B688" s="1">
        <v>45578</v>
      </c>
      <c r="C688" t="str">
        <f t="shared" si="144"/>
        <v>23027</v>
      </c>
      <c r="D688" t="s">
        <v>6</v>
      </c>
      <c r="E688" t="str">
        <f t="shared" si="145"/>
        <v>20</v>
      </c>
      <c r="F688">
        <v>454681</v>
      </c>
      <c r="G688">
        <v>285986</v>
      </c>
      <c r="H688">
        <v>11036</v>
      </c>
      <c r="I688" t="str">
        <f t="shared" si="146"/>
        <v>8</v>
      </c>
      <c r="J688" t="str">
        <f t="shared" si="147"/>
        <v>UF Union Francophone</v>
      </c>
      <c r="K688">
        <v>14449</v>
      </c>
      <c r="L688">
        <v>14642</v>
      </c>
      <c r="M688">
        <v>29091</v>
      </c>
      <c r="N688">
        <v>2</v>
      </c>
      <c r="O688" t="str">
        <f>("9")</f>
        <v>9</v>
      </c>
      <c r="P688" t="str">
        <f>("Cowé Bernadette")</f>
        <v>Cowé Bernadette</v>
      </c>
      <c r="Q688">
        <v>1028</v>
      </c>
      <c r="S688">
        <v>11</v>
      </c>
    </row>
    <row r="689" spans="1:19" x14ac:dyDescent="0.3">
      <c r="A689" t="s">
        <v>0</v>
      </c>
      <c r="B689" s="1">
        <v>45578</v>
      </c>
      <c r="C689" t="str">
        <f t="shared" si="144"/>
        <v>23027</v>
      </c>
      <c r="D689" t="s">
        <v>6</v>
      </c>
      <c r="E689" t="str">
        <f t="shared" si="145"/>
        <v>20</v>
      </c>
      <c r="F689">
        <v>454681</v>
      </c>
      <c r="G689">
        <v>285986</v>
      </c>
      <c r="H689">
        <v>11036</v>
      </c>
      <c r="I689" t="str">
        <f t="shared" si="146"/>
        <v>8</v>
      </c>
      <c r="J689" t="str">
        <f t="shared" si="147"/>
        <v>UF Union Francophone</v>
      </c>
      <c r="K689">
        <v>14449</v>
      </c>
      <c r="L689">
        <v>14642</v>
      </c>
      <c r="M689">
        <v>29091</v>
      </c>
      <c r="N689">
        <v>2</v>
      </c>
      <c r="O689" t="str">
        <f>("10")</f>
        <v>10</v>
      </c>
      <c r="P689" t="str">
        <f>("Defraigne Jean-Guy")</f>
        <v>Defraigne Jean-Guy</v>
      </c>
      <c r="Q689">
        <v>922</v>
      </c>
      <c r="S689">
        <v>15</v>
      </c>
    </row>
    <row r="690" spans="1:19" x14ac:dyDescent="0.3">
      <c r="A690" t="s">
        <v>0</v>
      </c>
      <c r="B690" s="1">
        <v>45578</v>
      </c>
      <c r="C690" t="str">
        <f t="shared" si="144"/>
        <v>23027</v>
      </c>
      <c r="D690" t="s">
        <v>6</v>
      </c>
      <c r="E690" t="str">
        <f t="shared" si="145"/>
        <v>20</v>
      </c>
      <c r="F690">
        <v>454681</v>
      </c>
      <c r="G690">
        <v>285986</v>
      </c>
      <c r="H690">
        <v>11036</v>
      </c>
      <c r="I690" t="str">
        <f t="shared" si="146"/>
        <v>8</v>
      </c>
      <c r="J690" t="str">
        <f t="shared" si="147"/>
        <v>UF Union Francophone</v>
      </c>
      <c r="K690">
        <v>14449</v>
      </c>
      <c r="L690">
        <v>14642</v>
      </c>
      <c r="M690">
        <v>29091</v>
      </c>
      <c r="N690">
        <v>2</v>
      </c>
      <c r="O690" t="str">
        <f>("11")</f>
        <v>11</v>
      </c>
      <c r="P690" t="str">
        <f>("Mativa Jean-Marc")</f>
        <v>Mativa Jean-Marc</v>
      </c>
      <c r="Q690">
        <v>949</v>
      </c>
      <c r="S690">
        <v>14</v>
      </c>
    </row>
    <row r="691" spans="1:19" x14ac:dyDescent="0.3">
      <c r="A691" t="s">
        <v>0</v>
      </c>
      <c r="B691" s="1">
        <v>45578</v>
      </c>
      <c r="C691" t="str">
        <f t="shared" si="144"/>
        <v>23027</v>
      </c>
      <c r="D691" t="s">
        <v>6</v>
      </c>
      <c r="E691" t="str">
        <f t="shared" si="145"/>
        <v>20</v>
      </c>
      <c r="F691">
        <v>454681</v>
      </c>
      <c r="G691">
        <v>285986</v>
      </c>
      <c r="H691">
        <v>11036</v>
      </c>
      <c r="I691" t="str">
        <f t="shared" si="146"/>
        <v>8</v>
      </c>
      <c r="J691" t="str">
        <f t="shared" si="147"/>
        <v>UF Union Francophone</v>
      </c>
      <c r="K691">
        <v>14449</v>
      </c>
      <c r="L691">
        <v>14642</v>
      </c>
      <c r="M691">
        <v>29091</v>
      </c>
      <c r="N691">
        <v>2</v>
      </c>
      <c r="O691" t="str">
        <f>("12")</f>
        <v>12</v>
      </c>
      <c r="P691" t="str">
        <f>("Vernaeve Baptiste")</f>
        <v>Vernaeve Baptiste</v>
      </c>
      <c r="Q691">
        <v>1076</v>
      </c>
      <c r="S691">
        <v>10</v>
      </c>
    </row>
    <row r="692" spans="1:19" x14ac:dyDescent="0.3">
      <c r="A692" t="s">
        <v>0</v>
      </c>
      <c r="B692" s="1">
        <v>45578</v>
      </c>
      <c r="C692" t="str">
        <f t="shared" si="144"/>
        <v>23027</v>
      </c>
      <c r="D692" t="s">
        <v>6</v>
      </c>
      <c r="E692" t="str">
        <f t="shared" si="145"/>
        <v>20</v>
      </c>
      <c r="F692">
        <v>454681</v>
      </c>
      <c r="G692">
        <v>285986</v>
      </c>
      <c r="H692">
        <v>11036</v>
      </c>
      <c r="I692" t="str">
        <f t="shared" si="146"/>
        <v>8</v>
      </c>
      <c r="J692" t="str">
        <f t="shared" si="147"/>
        <v>UF Union Francophone</v>
      </c>
      <c r="K692">
        <v>14449</v>
      </c>
      <c r="L692">
        <v>14642</v>
      </c>
      <c r="M692">
        <v>29091</v>
      </c>
      <c r="N692">
        <v>2</v>
      </c>
      <c r="O692" t="str">
        <f>("13")</f>
        <v>13</v>
      </c>
      <c r="P692" t="str">
        <f>("Daems Nicolas")</f>
        <v>Daems Nicolas</v>
      </c>
      <c r="Q692">
        <v>756</v>
      </c>
      <c r="S692">
        <v>18</v>
      </c>
    </row>
    <row r="693" spans="1:19" x14ac:dyDescent="0.3">
      <c r="A693" t="s">
        <v>0</v>
      </c>
      <c r="B693" s="1">
        <v>45578</v>
      </c>
      <c r="C693" t="str">
        <f t="shared" si="144"/>
        <v>23027</v>
      </c>
      <c r="D693" t="s">
        <v>6</v>
      </c>
      <c r="E693" t="str">
        <f t="shared" si="145"/>
        <v>20</v>
      </c>
      <c r="F693">
        <v>454681</v>
      </c>
      <c r="G693">
        <v>285986</v>
      </c>
      <c r="H693">
        <v>11036</v>
      </c>
      <c r="I693" t="str">
        <f t="shared" si="146"/>
        <v>8</v>
      </c>
      <c r="J693" t="str">
        <f t="shared" si="147"/>
        <v>UF Union Francophone</v>
      </c>
      <c r="K693">
        <v>14449</v>
      </c>
      <c r="L693">
        <v>14642</v>
      </c>
      <c r="M693">
        <v>29091</v>
      </c>
      <c r="N693">
        <v>2</v>
      </c>
      <c r="O693" t="str">
        <f>("14")</f>
        <v>14</v>
      </c>
      <c r="P693" t="str">
        <f>("Danis-Khoudiacoff Catherine")</f>
        <v>Danis-Khoudiacoff Catherine</v>
      </c>
      <c r="Q693">
        <v>1016</v>
      </c>
      <c r="S693">
        <v>12</v>
      </c>
    </row>
    <row r="694" spans="1:19" x14ac:dyDescent="0.3">
      <c r="A694" t="s">
        <v>0</v>
      </c>
      <c r="B694" s="1">
        <v>45578</v>
      </c>
      <c r="C694" t="str">
        <f t="shared" si="144"/>
        <v>23027</v>
      </c>
      <c r="D694" t="s">
        <v>6</v>
      </c>
      <c r="E694" t="str">
        <f t="shared" si="145"/>
        <v>20</v>
      </c>
      <c r="F694">
        <v>454681</v>
      </c>
      <c r="G694">
        <v>285986</v>
      </c>
      <c r="H694">
        <v>11036</v>
      </c>
      <c r="I694" t="str">
        <f t="shared" si="146"/>
        <v>8</v>
      </c>
      <c r="J694" t="str">
        <f t="shared" si="147"/>
        <v>UF Union Francophone</v>
      </c>
      <c r="K694">
        <v>14449</v>
      </c>
      <c r="L694">
        <v>14642</v>
      </c>
      <c r="M694">
        <v>29091</v>
      </c>
      <c r="N694">
        <v>2</v>
      </c>
      <c r="O694" t="str">
        <f>("15")</f>
        <v>15</v>
      </c>
      <c r="P694" t="str">
        <f>("Graillet André")</f>
        <v>Graillet André</v>
      </c>
      <c r="Q694">
        <v>794</v>
      </c>
      <c r="S694">
        <v>16</v>
      </c>
    </row>
    <row r="695" spans="1:19" x14ac:dyDescent="0.3">
      <c r="A695" t="s">
        <v>0</v>
      </c>
      <c r="B695" s="1">
        <v>45578</v>
      </c>
      <c r="C695" t="str">
        <f t="shared" si="144"/>
        <v>23027</v>
      </c>
      <c r="D695" t="s">
        <v>6</v>
      </c>
      <c r="E695" t="str">
        <f t="shared" si="145"/>
        <v>20</v>
      </c>
      <c r="F695">
        <v>454681</v>
      </c>
      <c r="G695">
        <v>285986</v>
      </c>
      <c r="H695">
        <v>11036</v>
      </c>
      <c r="I695" t="str">
        <f t="shared" si="146"/>
        <v>8</v>
      </c>
      <c r="J695" t="str">
        <f t="shared" si="147"/>
        <v>UF Union Francophone</v>
      </c>
      <c r="K695">
        <v>14449</v>
      </c>
      <c r="L695">
        <v>14642</v>
      </c>
      <c r="M695">
        <v>29091</v>
      </c>
      <c r="N695">
        <v>2</v>
      </c>
      <c r="O695" t="str">
        <f>("16")</f>
        <v>16</v>
      </c>
      <c r="P695" t="str">
        <f>("Karamanis Constant")</f>
        <v>Karamanis Constant</v>
      </c>
      <c r="Q695">
        <v>777</v>
      </c>
      <c r="S695">
        <v>17</v>
      </c>
    </row>
    <row r="696" spans="1:19" x14ac:dyDescent="0.3">
      <c r="A696" t="s">
        <v>0</v>
      </c>
      <c r="B696" s="1">
        <v>45578</v>
      </c>
      <c r="C696" t="str">
        <f t="shared" si="144"/>
        <v>23027</v>
      </c>
      <c r="D696" t="s">
        <v>6</v>
      </c>
      <c r="E696" t="str">
        <f t="shared" si="145"/>
        <v>20</v>
      </c>
      <c r="F696">
        <v>454681</v>
      </c>
      <c r="G696">
        <v>285986</v>
      </c>
      <c r="H696">
        <v>11036</v>
      </c>
      <c r="I696" t="str">
        <f t="shared" si="146"/>
        <v>8</v>
      </c>
      <c r="J696" t="str">
        <f t="shared" si="147"/>
        <v>UF Union Francophone</v>
      </c>
      <c r="K696">
        <v>14449</v>
      </c>
      <c r="L696">
        <v>14642</v>
      </c>
      <c r="M696">
        <v>29091</v>
      </c>
      <c r="N696">
        <v>2</v>
      </c>
      <c r="O696" t="str">
        <f>("17")</f>
        <v>17</v>
      </c>
      <c r="P696" t="str">
        <f>("Gauthier Françoise")</f>
        <v>Gauthier Françoise</v>
      </c>
      <c r="Q696">
        <v>1626</v>
      </c>
      <c r="S696">
        <v>5</v>
      </c>
    </row>
    <row r="697" spans="1:19" x14ac:dyDescent="0.3">
      <c r="A697" t="s">
        <v>0</v>
      </c>
      <c r="B697" s="1">
        <v>45578</v>
      </c>
      <c r="C697" t="str">
        <f t="shared" si="144"/>
        <v>23027</v>
      </c>
      <c r="D697" t="s">
        <v>6</v>
      </c>
      <c r="E697" t="str">
        <f t="shared" si="145"/>
        <v>20</v>
      </c>
      <c r="F697">
        <v>454681</v>
      </c>
      <c r="G697">
        <v>285986</v>
      </c>
      <c r="H697">
        <v>11036</v>
      </c>
      <c r="I697" t="str">
        <f t="shared" si="146"/>
        <v>8</v>
      </c>
      <c r="J697" t="str">
        <f t="shared" si="147"/>
        <v>UF Union Francophone</v>
      </c>
      <c r="K697">
        <v>14449</v>
      </c>
      <c r="L697">
        <v>14642</v>
      </c>
      <c r="M697">
        <v>29091</v>
      </c>
      <c r="N697">
        <v>2</v>
      </c>
      <c r="O697" t="str">
        <f>("18")</f>
        <v>18</v>
      </c>
      <c r="P697" t="str">
        <f>("Tatou Halim")</f>
        <v>Tatou Halim</v>
      </c>
      <c r="Q697">
        <v>1199</v>
      </c>
      <c r="S697">
        <v>7</v>
      </c>
    </row>
    <row r="698" spans="1:19" x14ac:dyDescent="0.3">
      <c r="A698" t="s">
        <v>0</v>
      </c>
      <c r="B698" s="1">
        <v>45578</v>
      </c>
      <c r="C698" t="str">
        <f t="shared" si="144"/>
        <v>23027</v>
      </c>
      <c r="D698" t="s">
        <v>6</v>
      </c>
      <c r="E698" t="str">
        <f t="shared" si="145"/>
        <v>20</v>
      </c>
      <c r="F698">
        <v>454681</v>
      </c>
      <c r="G698">
        <v>285986</v>
      </c>
      <c r="H698">
        <v>11036</v>
      </c>
      <c r="I698" t="str">
        <f t="shared" si="146"/>
        <v>8</v>
      </c>
      <c r="J698" t="str">
        <f t="shared" si="147"/>
        <v>UF Union Francophone</v>
      </c>
      <c r="K698">
        <v>14449</v>
      </c>
      <c r="L698">
        <v>14642</v>
      </c>
      <c r="M698">
        <v>29091</v>
      </c>
      <c r="N698">
        <v>2</v>
      </c>
      <c r="O698" t="str">
        <f>("19")</f>
        <v>19</v>
      </c>
      <c r="P698" t="str">
        <f>("Mestdag Anne-Marie")</f>
        <v>Mestdag Anne-Marie</v>
      </c>
      <c r="Q698">
        <v>988</v>
      </c>
      <c r="S698">
        <v>13</v>
      </c>
    </row>
    <row r="699" spans="1:19" x14ac:dyDescent="0.3">
      <c r="A699" t="s">
        <v>0</v>
      </c>
      <c r="B699" s="1">
        <v>45578</v>
      </c>
      <c r="C699" t="str">
        <f t="shared" si="144"/>
        <v>23027</v>
      </c>
      <c r="D699" t="s">
        <v>6</v>
      </c>
      <c r="E699" t="str">
        <f t="shared" si="145"/>
        <v>20</v>
      </c>
      <c r="F699">
        <v>454681</v>
      </c>
      <c r="G699">
        <v>285986</v>
      </c>
      <c r="H699">
        <v>11036</v>
      </c>
      <c r="I699" t="str">
        <f t="shared" si="146"/>
        <v>8</v>
      </c>
      <c r="J699" t="str">
        <f t="shared" si="147"/>
        <v>UF Union Francophone</v>
      </c>
      <c r="K699">
        <v>14449</v>
      </c>
      <c r="L699">
        <v>14642</v>
      </c>
      <c r="M699">
        <v>29091</v>
      </c>
      <c r="N699">
        <v>2</v>
      </c>
      <c r="O699" t="str">
        <f>("20")</f>
        <v>20</v>
      </c>
      <c r="P699" t="str">
        <f>("Roland Nicole")</f>
        <v>Roland Nicole</v>
      </c>
      <c r="Q699">
        <v>1666</v>
      </c>
      <c r="S699">
        <v>4</v>
      </c>
    </row>
    <row r="700" spans="1:19" x14ac:dyDescent="0.3">
      <c r="A700" t="s">
        <v>0</v>
      </c>
      <c r="B700" s="1">
        <v>45578</v>
      </c>
      <c r="C700" t="str">
        <f t="shared" ref="C700:C706" si="148">("23027")</f>
        <v>23027</v>
      </c>
      <c r="D700" t="s">
        <v>6</v>
      </c>
      <c r="E700" t="str">
        <f t="shared" ref="E700:E706" si="149">("20")</f>
        <v>20</v>
      </c>
      <c r="F700">
        <v>454681</v>
      </c>
      <c r="G700">
        <v>285986</v>
      </c>
      <c r="H700">
        <v>11036</v>
      </c>
      <c r="I700" t="str">
        <f t="shared" ref="I700:I706" si="150">("9")</f>
        <v>9</v>
      </c>
      <c r="J700" t="str">
        <f t="shared" ref="J700:J706" si="151">("TeamFouadAhidar+1800")</f>
        <v>TeamFouadAhidar+1800</v>
      </c>
      <c r="K700">
        <v>1398</v>
      </c>
      <c r="L700">
        <v>3852</v>
      </c>
      <c r="M700">
        <v>5250</v>
      </c>
      <c r="N700">
        <v>0</v>
      </c>
      <c r="O700" t="str">
        <f>("1")</f>
        <v>1</v>
      </c>
      <c r="P700" t="str">
        <f>("Benamar Mimoun")</f>
        <v>Benamar Mimoun</v>
      </c>
      <c r="Q700">
        <v>2200</v>
      </c>
    </row>
    <row r="701" spans="1:19" x14ac:dyDescent="0.3">
      <c r="A701" t="s">
        <v>0</v>
      </c>
      <c r="B701" s="1">
        <v>45578</v>
      </c>
      <c r="C701" t="str">
        <f t="shared" si="148"/>
        <v>23027</v>
      </c>
      <c r="D701" t="s">
        <v>6</v>
      </c>
      <c r="E701" t="str">
        <f t="shared" si="149"/>
        <v>20</v>
      </c>
      <c r="F701">
        <v>454681</v>
      </c>
      <c r="G701">
        <v>285986</v>
      </c>
      <c r="H701">
        <v>11036</v>
      </c>
      <c r="I701" t="str">
        <f t="shared" si="150"/>
        <v>9</v>
      </c>
      <c r="J701" t="str">
        <f t="shared" si="151"/>
        <v>TeamFouadAhidar+1800</v>
      </c>
      <c r="K701">
        <v>1398</v>
      </c>
      <c r="L701">
        <v>3852</v>
      </c>
      <c r="M701">
        <v>5250</v>
      </c>
      <c r="N701">
        <v>0</v>
      </c>
      <c r="O701" t="str">
        <f>("2")</f>
        <v>2</v>
      </c>
      <c r="P701" t="str">
        <f>("Kaya Betül")</f>
        <v>Kaya Betül</v>
      </c>
      <c r="Q701">
        <v>935</v>
      </c>
    </row>
    <row r="702" spans="1:19" x14ac:dyDescent="0.3">
      <c r="A702" t="s">
        <v>0</v>
      </c>
      <c r="B702" s="1">
        <v>45578</v>
      </c>
      <c r="C702" t="str">
        <f t="shared" si="148"/>
        <v>23027</v>
      </c>
      <c r="D702" t="s">
        <v>6</v>
      </c>
      <c r="E702" t="str">
        <f t="shared" si="149"/>
        <v>20</v>
      </c>
      <c r="F702">
        <v>454681</v>
      </c>
      <c r="G702">
        <v>285986</v>
      </c>
      <c r="H702">
        <v>11036</v>
      </c>
      <c r="I702" t="str">
        <f t="shared" si="150"/>
        <v>9</v>
      </c>
      <c r="J702" t="str">
        <f t="shared" si="151"/>
        <v>TeamFouadAhidar+1800</v>
      </c>
      <c r="K702">
        <v>1398</v>
      </c>
      <c r="L702">
        <v>3852</v>
      </c>
      <c r="M702">
        <v>5250</v>
      </c>
      <c r="N702">
        <v>0</v>
      </c>
      <c r="O702" t="str">
        <f>("3")</f>
        <v>3</v>
      </c>
      <c r="P702" t="str">
        <f>("Duran Kadir")</f>
        <v>Duran Kadir</v>
      </c>
      <c r="Q702">
        <v>826</v>
      </c>
    </row>
    <row r="703" spans="1:19" x14ac:dyDescent="0.3">
      <c r="A703" t="s">
        <v>0</v>
      </c>
      <c r="B703" s="1">
        <v>45578</v>
      </c>
      <c r="C703" t="str">
        <f t="shared" si="148"/>
        <v>23027</v>
      </c>
      <c r="D703" t="s">
        <v>6</v>
      </c>
      <c r="E703" t="str">
        <f t="shared" si="149"/>
        <v>20</v>
      </c>
      <c r="F703">
        <v>454681</v>
      </c>
      <c r="G703">
        <v>285986</v>
      </c>
      <c r="H703">
        <v>11036</v>
      </c>
      <c r="I703" t="str">
        <f t="shared" si="150"/>
        <v>9</v>
      </c>
      <c r="J703" t="str">
        <f t="shared" si="151"/>
        <v>TeamFouadAhidar+1800</v>
      </c>
      <c r="K703">
        <v>1398</v>
      </c>
      <c r="L703">
        <v>3852</v>
      </c>
      <c r="M703">
        <v>5250</v>
      </c>
      <c r="N703">
        <v>0</v>
      </c>
      <c r="O703" t="str">
        <f>("4")</f>
        <v>4</v>
      </c>
      <c r="P703" t="str">
        <f>("De Lauw Kristine")</f>
        <v>De Lauw Kristine</v>
      </c>
      <c r="Q703">
        <v>567</v>
      </c>
    </row>
    <row r="704" spans="1:19" x14ac:dyDescent="0.3">
      <c r="A704" t="s">
        <v>0</v>
      </c>
      <c r="B704" s="1">
        <v>45578</v>
      </c>
      <c r="C704" t="str">
        <f t="shared" si="148"/>
        <v>23027</v>
      </c>
      <c r="D704" t="s">
        <v>6</v>
      </c>
      <c r="E704" t="str">
        <f t="shared" si="149"/>
        <v>20</v>
      </c>
      <c r="F704">
        <v>454681</v>
      </c>
      <c r="G704">
        <v>285986</v>
      </c>
      <c r="H704">
        <v>11036</v>
      </c>
      <c r="I704" t="str">
        <f t="shared" si="150"/>
        <v>9</v>
      </c>
      <c r="J704" t="str">
        <f t="shared" si="151"/>
        <v>TeamFouadAhidar+1800</v>
      </c>
      <c r="K704">
        <v>1398</v>
      </c>
      <c r="L704">
        <v>3852</v>
      </c>
      <c r="M704">
        <v>5250</v>
      </c>
      <c r="N704">
        <v>0</v>
      </c>
      <c r="O704" t="str">
        <f>("5")</f>
        <v>5</v>
      </c>
      <c r="P704" t="str">
        <f>("Deknudt Nick")</f>
        <v>Deknudt Nick</v>
      </c>
      <c r="Q704">
        <v>525</v>
      </c>
    </row>
    <row r="705" spans="1:19" x14ac:dyDescent="0.3">
      <c r="A705" t="s">
        <v>0</v>
      </c>
      <c r="B705" s="1">
        <v>45578</v>
      </c>
      <c r="C705" t="str">
        <f t="shared" si="148"/>
        <v>23027</v>
      </c>
      <c r="D705" t="s">
        <v>6</v>
      </c>
      <c r="E705" t="str">
        <f t="shared" si="149"/>
        <v>20</v>
      </c>
      <c r="F705">
        <v>454681</v>
      </c>
      <c r="G705">
        <v>285986</v>
      </c>
      <c r="H705">
        <v>11036</v>
      </c>
      <c r="I705" t="str">
        <f t="shared" si="150"/>
        <v>9</v>
      </c>
      <c r="J705" t="str">
        <f t="shared" si="151"/>
        <v>TeamFouadAhidar+1800</v>
      </c>
      <c r="K705">
        <v>1398</v>
      </c>
      <c r="L705">
        <v>3852</v>
      </c>
      <c r="M705">
        <v>5250</v>
      </c>
      <c r="N705">
        <v>0</v>
      </c>
      <c r="O705" t="str">
        <f>("6")</f>
        <v>6</v>
      </c>
      <c r="P705" t="str">
        <f>("Saelens Agnes")</f>
        <v>Saelens Agnes</v>
      </c>
      <c r="Q705">
        <v>477</v>
      </c>
    </row>
    <row r="706" spans="1:19" x14ac:dyDescent="0.3">
      <c r="A706" t="s">
        <v>0</v>
      </c>
      <c r="B706" s="1">
        <v>45578</v>
      </c>
      <c r="C706" t="str">
        <f t="shared" si="148"/>
        <v>23027</v>
      </c>
      <c r="D706" t="s">
        <v>6</v>
      </c>
      <c r="E706" t="str">
        <f t="shared" si="149"/>
        <v>20</v>
      </c>
      <c r="F706">
        <v>454681</v>
      </c>
      <c r="G706">
        <v>285986</v>
      </c>
      <c r="H706">
        <v>11036</v>
      </c>
      <c r="I706" t="str">
        <f t="shared" si="150"/>
        <v>9</v>
      </c>
      <c r="J706" t="str">
        <f t="shared" si="151"/>
        <v>TeamFouadAhidar+1800</v>
      </c>
      <c r="K706">
        <v>1398</v>
      </c>
      <c r="L706">
        <v>3852</v>
      </c>
      <c r="M706">
        <v>5250</v>
      </c>
      <c r="N706">
        <v>0</v>
      </c>
      <c r="O706" t="str">
        <f>("7")</f>
        <v>7</v>
      </c>
      <c r="P706" t="str">
        <f>("Ahidar Ridouan")</f>
        <v>Ahidar Ridouan</v>
      </c>
      <c r="Q706">
        <v>1992</v>
      </c>
    </row>
    <row r="707" spans="1:19" x14ac:dyDescent="0.3">
      <c r="A707" t="s">
        <v>0</v>
      </c>
      <c r="B707" s="1">
        <v>45578</v>
      </c>
      <c r="C707" t="str">
        <f t="shared" ref="C707:C738" si="152">("71022")</f>
        <v>71022</v>
      </c>
      <c r="D707" t="s">
        <v>7</v>
      </c>
      <c r="E707" t="str">
        <f t="shared" ref="E707:E738" si="153">("15")</f>
        <v>15</v>
      </c>
      <c r="F707">
        <v>330544</v>
      </c>
      <c r="G707">
        <v>205503</v>
      </c>
      <c r="H707">
        <v>6453</v>
      </c>
      <c r="I707" t="str">
        <f t="shared" ref="I707:I721" si="154">("1")</f>
        <v>1</v>
      </c>
      <c r="J707" t="str">
        <f t="shared" ref="J707:J721" si="155">("Vooruit")</f>
        <v>Vooruit</v>
      </c>
      <c r="K707">
        <v>11182</v>
      </c>
      <c r="L707">
        <v>21090</v>
      </c>
      <c r="M707">
        <v>32272</v>
      </c>
      <c r="N707">
        <v>2</v>
      </c>
      <c r="O707" t="str">
        <f>("1")</f>
        <v>1</v>
      </c>
      <c r="P707" t="str">
        <f>("Robeyns Els")</f>
        <v>Robeyns Els</v>
      </c>
      <c r="Q707">
        <v>9419</v>
      </c>
      <c r="R707">
        <v>1</v>
      </c>
    </row>
    <row r="708" spans="1:19" x14ac:dyDescent="0.3">
      <c r="A708" t="s">
        <v>0</v>
      </c>
      <c r="B708" s="1">
        <v>45578</v>
      </c>
      <c r="C708" t="str">
        <f t="shared" si="152"/>
        <v>71022</v>
      </c>
      <c r="D708" t="s">
        <v>7</v>
      </c>
      <c r="E708" t="str">
        <f t="shared" si="153"/>
        <v>15</v>
      </c>
      <c r="F708">
        <v>330544</v>
      </c>
      <c r="G708">
        <v>205503</v>
      </c>
      <c r="H708">
        <v>6453</v>
      </c>
      <c r="I708" t="str">
        <f t="shared" si="154"/>
        <v>1</v>
      </c>
      <c r="J708" t="str">
        <f t="shared" si="155"/>
        <v>Vooruit</v>
      </c>
      <c r="K708">
        <v>11182</v>
      </c>
      <c r="L708">
        <v>21090</v>
      </c>
      <c r="M708">
        <v>32272</v>
      </c>
      <c r="N708">
        <v>2</v>
      </c>
      <c r="O708" t="str">
        <f>("2")</f>
        <v>2</v>
      </c>
      <c r="P708" t="str">
        <f>("El Ouakili Habib")</f>
        <v>El Ouakili Habib</v>
      </c>
      <c r="Q708">
        <v>5559</v>
      </c>
      <c r="S708">
        <v>1</v>
      </c>
    </row>
    <row r="709" spans="1:19" x14ac:dyDescent="0.3">
      <c r="A709" t="s">
        <v>0</v>
      </c>
      <c r="B709" s="1">
        <v>45578</v>
      </c>
      <c r="C709" t="str">
        <f t="shared" si="152"/>
        <v>71022</v>
      </c>
      <c r="D709" t="s">
        <v>7</v>
      </c>
      <c r="E709" t="str">
        <f t="shared" si="153"/>
        <v>15</v>
      </c>
      <c r="F709">
        <v>330544</v>
      </c>
      <c r="G709">
        <v>205503</v>
      </c>
      <c r="H709">
        <v>6453</v>
      </c>
      <c r="I709" t="str">
        <f t="shared" si="154"/>
        <v>1</v>
      </c>
      <c r="J709" t="str">
        <f t="shared" si="155"/>
        <v>Vooruit</v>
      </c>
      <c r="K709">
        <v>11182</v>
      </c>
      <c r="L709">
        <v>21090</v>
      </c>
      <c r="M709">
        <v>32272</v>
      </c>
      <c r="N709">
        <v>2</v>
      </c>
      <c r="O709" t="str">
        <f>("3")</f>
        <v>3</v>
      </c>
      <c r="P709" t="str">
        <f>("Akyil Kenan")</f>
        <v>Akyil Kenan</v>
      </c>
      <c r="Q709">
        <v>4519</v>
      </c>
      <c r="S709">
        <v>2</v>
      </c>
    </row>
    <row r="710" spans="1:19" x14ac:dyDescent="0.3">
      <c r="A710" t="s">
        <v>0</v>
      </c>
      <c r="B710" s="1">
        <v>45578</v>
      </c>
      <c r="C710" t="str">
        <f t="shared" si="152"/>
        <v>71022</v>
      </c>
      <c r="D710" t="s">
        <v>7</v>
      </c>
      <c r="E710" t="str">
        <f t="shared" si="153"/>
        <v>15</v>
      </c>
      <c r="F710">
        <v>330544</v>
      </c>
      <c r="G710">
        <v>205503</v>
      </c>
      <c r="H710">
        <v>6453</v>
      </c>
      <c r="I710" t="str">
        <f t="shared" si="154"/>
        <v>1</v>
      </c>
      <c r="J710" t="str">
        <f t="shared" si="155"/>
        <v>Vooruit</v>
      </c>
      <c r="K710">
        <v>11182</v>
      </c>
      <c r="L710">
        <v>21090</v>
      </c>
      <c r="M710">
        <v>32272</v>
      </c>
      <c r="N710">
        <v>2</v>
      </c>
      <c r="O710" t="str">
        <f>("4")</f>
        <v>4</v>
      </c>
      <c r="P710" t="str">
        <f>("De Waele Sofie")</f>
        <v>De Waele Sofie</v>
      </c>
      <c r="Q710">
        <v>4051</v>
      </c>
      <c r="S710">
        <v>3</v>
      </c>
    </row>
    <row r="711" spans="1:19" x14ac:dyDescent="0.3">
      <c r="A711" t="s">
        <v>0</v>
      </c>
      <c r="B711" s="1">
        <v>45578</v>
      </c>
      <c r="C711" t="str">
        <f t="shared" si="152"/>
        <v>71022</v>
      </c>
      <c r="D711" t="s">
        <v>7</v>
      </c>
      <c r="E711" t="str">
        <f t="shared" si="153"/>
        <v>15</v>
      </c>
      <c r="F711">
        <v>330544</v>
      </c>
      <c r="G711">
        <v>205503</v>
      </c>
      <c r="H711">
        <v>6453</v>
      </c>
      <c r="I711" t="str">
        <f t="shared" si="154"/>
        <v>1</v>
      </c>
      <c r="J711" t="str">
        <f t="shared" si="155"/>
        <v>Vooruit</v>
      </c>
      <c r="K711">
        <v>11182</v>
      </c>
      <c r="L711">
        <v>21090</v>
      </c>
      <c r="M711">
        <v>32272</v>
      </c>
      <c r="N711">
        <v>2</v>
      </c>
      <c r="O711" t="str">
        <f>("5")</f>
        <v>5</v>
      </c>
      <c r="P711" t="str">
        <f>("Geerts Ine")</f>
        <v>Geerts Ine</v>
      </c>
      <c r="Q711">
        <v>3389</v>
      </c>
      <c r="S711">
        <v>5</v>
      </c>
    </row>
    <row r="712" spans="1:19" x14ac:dyDescent="0.3">
      <c r="A712" t="s">
        <v>0</v>
      </c>
      <c r="B712" s="1">
        <v>45578</v>
      </c>
      <c r="C712" t="str">
        <f t="shared" si="152"/>
        <v>71022</v>
      </c>
      <c r="D712" t="s">
        <v>7</v>
      </c>
      <c r="E712" t="str">
        <f t="shared" si="153"/>
        <v>15</v>
      </c>
      <c r="F712">
        <v>330544</v>
      </c>
      <c r="G712">
        <v>205503</v>
      </c>
      <c r="H712">
        <v>6453</v>
      </c>
      <c r="I712" t="str">
        <f t="shared" si="154"/>
        <v>1</v>
      </c>
      <c r="J712" t="str">
        <f t="shared" si="155"/>
        <v>Vooruit</v>
      </c>
      <c r="K712">
        <v>11182</v>
      </c>
      <c r="L712">
        <v>21090</v>
      </c>
      <c r="M712">
        <v>32272</v>
      </c>
      <c r="N712">
        <v>2</v>
      </c>
      <c r="O712" t="str">
        <f>("6")</f>
        <v>6</v>
      </c>
      <c r="P712" t="str">
        <f>("Salvaggio Renato")</f>
        <v>Salvaggio Renato</v>
      </c>
      <c r="Q712">
        <v>2341</v>
      </c>
      <c r="S712">
        <v>13</v>
      </c>
    </row>
    <row r="713" spans="1:19" x14ac:dyDescent="0.3">
      <c r="A713" t="s">
        <v>0</v>
      </c>
      <c r="B713" s="1">
        <v>45578</v>
      </c>
      <c r="C713" t="str">
        <f t="shared" si="152"/>
        <v>71022</v>
      </c>
      <c r="D713" t="s">
        <v>7</v>
      </c>
      <c r="E713" t="str">
        <f t="shared" si="153"/>
        <v>15</v>
      </c>
      <c r="F713">
        <v>330544</v>
      </c>
      <c r="G713">
        <v>205503</v>
      </c>
      <c r="H713">
        <v>6453</v>
      </c>
      <c r="I713" t="str">
        <f t="shared" si="154"/>
        <v>1</v>
      </c>
      <c r="J713" t="str">
        <f t="shared" si="155"/>
        <v>Vooruit</v>
      </c>
      <c r="K713">
        <v>11182</v>
      </c>
      <c r="L713">
        <v>21090</v>
      </c>
      <c r="M713">
        <v>32272</v>
      </c>
      <c r="N713">
        <v>2</v>
      </c>
      <c r="O713" t="str">
        <f>("7")</f>
        <v>7</v>
      </c>
      <c r="P713" t="str">
        <f>("Schouterden Kevin")</f>
        <v>Schouterden Kevin</v>
      </c>
      <c r="Q713">
        <v>3538</v>
      </c>
      <c r="S713">
        <v>4</v>
      </c>
    </row>
    <row r="714" spans="1:19" x14ac:dyDescent="0.3">
      <c r="A714" t="s">
        <v>0</v>
      </c>
      <c r="B714" s="1">
        <v>45578</v>
      </c>
      <c r="C714" t="str">
        <f t="shared" si="152"/>
        <v>71022</v>
      </c>
      <c r="D714" t="s">
        <v>7</v>
      </c>
      <c r="E714" t="str">
        <f t="shared" si="153"/>
        <v>15</v>
      </c>
      <c r="F714">
        <v>330544</v>
      </c>
      <c r="G714">
        <v>205503</v>
      </c>
      <c r="H714">
        <v>6453</v>
      </c>
      <c r="I714" t="str">
        <f t="shared" si="154"/>
        <v>1</v>
      </c>
      <c r="J714" t="str">
        <f t="shared" si="155"/>
        <v>Vooruit</v>
      </c>
      <c r="K714">
        <v>11182</v>
      </c>
      <c r="L714">
        <v>21090</v>
      </c>
      <c r="M714">
        <v>32272</v>
      </c>
      <c r="N714">
        <v>2</v>
      </c>
      <c r="O714" t="str">
        <f>("8")</f>
        <v>8</v>
      </c>
      <c r="P714" t="str">
        <f>("Gielen Julien")</f>
        <v>Gielen Julien</v>
      </c>
      <c r="Q714">
        <v>2539</v>
      </c>
      <c r="S714">
        <v>12</v>
      </c>
    </row>
    <row r="715" spans="1:19" x14ac:dyDescent="0.3">
      <c r="A715" t="s">
        <v>0</v>
      </c>
      <c r="B715" s="1">
        <v>45578</v>
      </c>
      <c r="C715" t="str">
        <f t="shared" si="152"/>
        <v>71022</v>
      </c>
      <c r="D715" t="s">
        <v>7</v>
      </c>
      <c r="E715" t="str">
        <f t="shared" si="153"/>
        <v>15</v>
      </c>
      <c r="F715">
        <v>330544</v>
      </c>
      <c r="G715">
        <v>205503</v>
      </c>
      <c r="H715">
        <v>6453</v>
      </c>
      <c r="I715" t="str">
        <f t="shared" si="154"/>
        <v>1</v>
      </c>
      <c r="J715" t="str">
        <f t="shared" si="155"/>
        <v>Vooruit</v>
      </c>
      <c r="K715">
        <v>11182</v>
      </c>
      <c r="L715">
        <v>21090</v>
      </c>
      <c r="M715">
        <v>32272</v>
      </c>
      <c r="N715">
        <v>2</v>
      </c>
      <c r="O715" t="str">
        <f>("9")</f>
        <v>9</v>
      </c>
      <c r="P715" t="str">
        <f>("Vanhoudt Leonie")</f>
        <v>Vanhoudt Leonie</v>
      </c>
      <c r="Q715">
        <v>2807</v>
      </c>
      <c r="S715">
        <v>9</v>
      </c>
    </row>
    <row r="716" spans="1:19" x14ac:dyDescent="0.3">
      <c r="A716" t="s">
        <v>0</v>
      </c>
      <c r="B716" s="1">
        <v>45578</v>
      </c>
      <c r="C716" t="str">
        <f t="shared" si="152"/>
        <v>71022</v>
      </c>
      <c r="D716" t="s">
        <v>7</v>
      </c>
      <c r="E716" t="str">
        <f t="shared" si="153"/>
        <v>15</v>
      </c>
      <c r="F716">
        <v>330544</v>
      </c>
      <c r="G716">
        <v>205503</v>
      </c>
      <c r="H716">
        <v>6453</v>
      </c>
      <c r="I716" t="str">
        <f t="shared" si="154"/>
        <v>1</v>
      </c>
      <c r="J716" t="str">
        <f t="shared" si="155"/>
        <v>Vooruit</v>
      </c>
      <c r="K716">
        <v>11182</v>
      </c>
      <c r="L716">
        <v>21090</v>
      </c>
      <c r="M716">
        <v>32272</v>
      </c>
      <c r="N716">
        <v>2</v>
      </c>
      <c r="O716" t="str">
        <f>("10")</f>
        <v>10</v>
      </c>
      <c r="P716" t="str">
        <f>("Pernet Lieve")</f>
        <v>Pernet Lieve</v>
      </c>
      <c r="Q716">
        <v>2661</v>
      </c>
      <c r="S716">
        <v>11</v>
      </c>
    </row>
    <row r="717" spans="1:19" x14ac:dyDescent="0.3">
      <c r="A717" t="s">
        <v>0</v>
      </c>
      <c r="B717" s="1">
        <v>45578</v>
      </c>
      <c r="C717" t="str">
        <f t="shared" si="152"/>
        <v>71022</v>
      </c>
      <c r="D717" t="s">
        <v>7</v>
      </c>
      <c r="E717" t="str">
        <f t="shared" si="153"/>
        <v>15</v>
      </c>
      <c r="F717">
        <v>330544</v>
      </c>
      <c r="G717">
        <v>205503</v>
      </c>
      <c r="H717">
        <v>6453</v>
      </c>
      <c r="I717" t="str">
        <f t="shared" si="154"/>
        <v>1</v>
      </c>
      <c r="J717" t="str">
        <f t="shared" si="155"/>
        <v>Vooruit</v>
      </c>
      <c r="K717">
        <v>11182</v>
      </c>
      <c r="L717">
        <v>21090</v>
      </c>
      <c r="M717">
        <v>32272</v>
      </c>
      <c r="N717">
        <v>2</v>
      </c>
      <c r="O717" t="str">
        <f>("11")</f>
        <v>11</v>
      </c>
      <c r="P717" t="str">
        <f>("Wouters Pim")</f>
        <v>Wouters Pim</v>
      </c>
      <c r="Q717">
        <v>2874</v>
      </c>
      <c r="S717">
        <v>8</v>
      </c>
    </row>
    <row r="718" spans="1:19" x14ac:dyDescent="0.3">
      <c r="A718" t="s">
        <v>0</v>
      </c>
      <c r="B718" s="1">
        <v>45578</v>
      </c>
      <c r="C718" t="str">
        <f t="shared" si="152"/>
        <v>71022</v>
      </c>
      <c r="D718" t="s">
        <v>7</v>
      </c>
      <c r="E718" t="str">
        <f t="shared" si="153"/>
        <v>15</v>
      </c>
      <c r="F718">
        <v>330544</v>
      </c>
      <c r="G718">
        <v>205503</v>
      </c>
      <c r="H718">
        <v>6453</v>
      </c>
      <c r="I718" t="str">
        <f t="shared" si="154"/>
        <v>1</v>
      </c>
      <c r="J718" t="str">
        <f t="shared" si="155"/>
        <v>Vooruit</v>
      </c>
      <c r="K718">
        <v>11182</v>
      </c>
      <c r="L718">
        <v>21090</v>
      </c>
      <c r="M718">
        <v>32272</v>
      </c>
      <c r="N718">
        <v>2</v>
      </c>
      <c r="O718" t="str">
        <f>("12")</f>
        <v>12</v>
      </c>
      <c r="P718" t="str">
        <f>("Vermeulen Katja")</f>
        <v>Vermeulen Katja</v>
      </c>
      <c r="Q718">
        <v>3340</v>
      </c>
      <c r="S718">
        <v>6</v>
      </c>
    </row>
    <row r="719" spans="1:19" x14ac:dyDescent="0.3">
      <c r="A719" t="s">
        <v>0</v>
      </c>
      <c r="B719" s="1">
        <v>45578</v>
      </c>
      <c r="C719" t="str">
        <f t="shared" si="152"/>
        <v>71022</v>
      </c>
      <c r="D719" t="s">
        <v>7</v>
      </c>
      <c r="E719" t="str">
        <f t="shared" si="153"/>
        <v>15</v>
      </c>
      <c r="F719">
        <v>330544</v>
      </c>
      <c r="G719">
        <v>205503</v>
      </c>
      <c r="H719">
        <v>6453</v>
      </c>
      <c r="I719" t="str">
        <f t="shared" si="154"/>
        <v>1</v>
      </c>
      <c r="J719" t="str">
        <f t="shared" si="155"/>
        <v>Vooruit</v>
      </c>
      <c r="K719">
        <v>11182</v>
      </c>
      <c r="L719">
        <v>21090</v>
      </c>
      <c r="M719">
        <v>32272</v>
      </c>
      <c r="N719">
        <v>2</v>
      </c>
      <c r="O719" t="str">
        <f>("13")</f>
        <v>13</v>
      </c>
      <c r="P719" t="str">
        <f>("Vaes Erwin")</f>
        <v>Vaes Erwin</v>
      </c>
      <c r="Q719">
        <v>3320</v>
      </c>
      <c r="S719">
        <v>7</v>
      </c>
    </row>
    <row r="720" spans="1:19" x14ac:dyDescent="0.3">
      <c r="A720" t="s">
        <v>0</v>
      </c>
      <c r="B720" s="1">
        <v>45578</v>
      </c>
      <c r="C720" t="str">
        <f t="shared" si="152"/>
        <v>71022</v>
      </c>
      <c r="D720" t="s">
        <v>7</v>
      </c>
      <c r="E720" t="str">
        <f t="shared" si="153"/>
        <v>15</v>
      </c>
      <c r="F720">
        <v>330544</v>
      </c>
      <c r="G720">
        <v>205503</v>
      </c>
      <c r="H720">
        <v>6453</v>
      </c>
      <c r="I720" t="str">
        <f t="shared" si="154"/>
        <v>1</v>
      </c>
      <c r="J720" t="str">
        <f t="shared" si="155"/>
        <v>Vooruit</v>
      </c>
      <c r="K720">
        <v>11182</v>
      </c>
      <c r="L720">
        <v>21090</v>
      </c>
      <c r="M720">
        <v>32272</v>
      </c>
      <c r="N720">
        <v>2</v>
      </c>
      <c r="O720" t="str">
        <f>("14")</f>
        <v>14</v>
      </c>
      <c r="P720" t="str">
        <f>("Singh Akashdeep")</f>
        <v>Singh Akashdeep</v>
      </c>
      <c r="Q720">
        <v>2678</v>
      </c>
      <c r="S720">
        <v>10</v>
      </c>
    </row>
    <row r="721" spans="1:18" x14ac:dyDescent="0.3">
      <c r="A721" t="s">
        <v>0</v>
      </c>
      <c r="B721" s="1">
        <v>45578</v>
      </c>
      <c r="C721" t="str">
        <f t="shared" si="152"/>
        <v>71022</v>
      </c>
      <c r="D721" t="s">
        <v>7</v>
      </c>
      <c r="E721" t="str">
        <f t="shared" si="153"/>
        <v>15</v>
      </c>
      <c r="F721">
        <v>330544</v>
      </c>
      <c r="G721">
        <v>205503</v>
      </c>
      <c r="H721">
        <v>6453</v>
      </c>
      <c r="I721" t="str">
        <f t="shared" si="154"/>
        <v>1</v>
      </c>
      <c r="J721" t="str">
        <f t="shared" si="155"/>
        <v>Vooruit</v>
      </c>
      <c r="K721">
        <v>11182</v>
      </c>
      <c r="L721">
        <v>21090</v>
      </c>
      <c r="M721">
        <v>32272</v>
      </c>
      <c r="N721">
        <v>2</v>
      </c>
      <c r="O721" t="str">
        <f>("15")</f>
        <v>15</v>
      </c>
      <c r="P721" t="str">
        <f>("Oru Funda")</f>
        <v>Oru Funda</v>
      </c>
      <c r="Q721">
        <v>5896</v>
      </c>
      <c r="R721">
        <v>2</v>
      </c>
    </row>
    <row r="722" spans="1:18" x14ac:dyDescent="0.3">
      <c r="A722" t="s">
        <v>0</v>
      </c>
      <c r="B722" s="1">
        <v>45578</v>
      </c>
      <c r="C722" t="str">
        <f t="shared" si="152"/>
        <v>71022</v>
      </c>
      <c r="D722" t="s">
        <v>7</v>
      </c>
      <c r="E722" t="str">
        <f t="shared" si="153"/>
        <v>15</v>
      </c>
      <c r="F722">
        <v>330544</v>
      </c>
      <c r="G722">
        <v>205503</v>
      </c>
      <c r="H722">
        <v>6453</v>
      </c>
      <c r="I722" t="str">
        <f t="shared" ref="I722:I736" si="156">("2")</f>
        <v>2</v>
      </c>
      <c r="J722" t="str">
        <f t="shared" ref="J722:J736" si="157">("PVDA")</f>
        <v>PVDA</v>
      </c>
      <c r="K722">
        <v>3654</v>
      </c>
      <c r="L722">
        <v>5944</v>
      </c>
      <c r="M722">
        <v>9598</v>
      </c>
      <c r="N722">
        <v>0</v>
      </c>
      <c r="O722" t="str">
        <f>("1")</f>
        <v>1</v>
      </c>
      <c r="P722" t="str">
        <f>("Decoene Aurélie")</f>
        <v>Decoene Aurélie</v>
      </c>
      <c r="Q722">
        <v>2536</v>
      </c>
    </row>
    <row r="723" spans="1:18" x14ac:dyDescent="0.3">
      <c r="A723" t="s">
        <v>0</v>
      </c>
      <c r="B723" s="1">
        <v>45578</v>
      </c>
      <c r="C723" t="str">
        <f t="shared" si="152"/>
        <v>71022</v>
      </c>
      <c r="D723" t="s">
        <v>7</v>
      </c>
      <c r="E723" t="str">
        <f t="shared" si="153"/>
        <v>15</v>
      </c>
      <c r="F723">
        <v>330544</v>
      </c>
      <c r="G723">
        <v>205503</v>
      </c>
      <c r="H723">
        <v>6453</v>
      </c>
      <c r="I723" t="str">
        <f t="shared" si="156"/>
        <v>2</v>
      </c>
      <c r="J723" t="str">
        <f t="shared" si="157"/>
        <v>PVDA</v>
      </c>
      <c r="K723">
        <v>3654</v>
      </c>
      <c r="L723">
        <v>5944</v>
      </c>
      <c r="M723">
        <v>9598</v>
      </c>
      <c r="N723">
        <v>0</v>
      </c>
      <c r="O723" t="str">
        <f>("2")</f>
        <v>2</v>
      </c>
      <c r="P723" t="str">
        <f>("Van Laken Romain")</f>
        <v>Van Laken Romain</v>
      </c>
      <c r="Q723">
        <v>1158</v>
      </c>
    </row>
    <row r="724" spans="1:18" x14ac:dyDescent="0.3">
      <c r="A724" t="s">
        <v>0</v>
      </c>
      <c r="B724" s="1">
        <v>45578</v>
      </c>
      <c r="C724" t="str">
        <f t="shared" si="152"/>
        <v>71022</v>
      </c>
      <c r="D724" t="s">
        <v>7</v>
      </c>
      <c r="E724" t="str">
        <f t="shared" si="153"/>
        <v>15</v>
      </c>
      <c r="F724">
        <v>330544</v>
      </c>
      <c r="G724">
        <v>205503</v>
      </c>
      <c r="H724">
        <v>6453</v>
      </c>
      <c r="I724" t="str">
        <f t="shared" si="156"/>
        <v>2</v>
      </c>
      <c r="J724" t="str">
        <f t="shared" si="157"/>
        <v>PVDA</v>
      </c>
      <c r="K724">
        <v>3654</v>
      </c>
      <c r="L724">
        <v>5944</v>
      </c>
      <c r="M724">
        <v>9598</v>
      </c>
      <c r="N724">
        <v>0</v>
      </c>
      <c r="O724" t="str">
        <f>("3")</f>
        <v>3</v>
      </c>
      <c r="P724" t="str">
        <f>("Sertkaya Kübra")</f>
        <v>Sertkaya Kübra</v>
      </c>
      <c r="Q724">
        <v>1840</v>
      </c>
    </row>
    <row r="725" spans="1:18" x14ac:dyDescent="0.3">
      <c r="A725" t="s">
        <v>0</v>
      </c>
      <c r="B725" s="1">
        <v>45578</v>
      </c>
      <c r="C725" t="str">
        <f t="shared" si="152"/>
        <v>71022</v>
      </c>
      <c r="D725" t="s">
        <v>7</v>
      </c>
      <c r="E725" t="str">
        <f t="shared" si="153"/>
        <v>15</v>
      </c>
      <c r="F725">
        <v>330544</v>
      </c>
      <c r="G725">
        <v>205503</v>
      </c>
      <c r="H725">
        <v>6453</v>
      </c>
      <c r="I725" t="str">
        <f t="shared" si="156"/>
        <v>2</v>
      </c>
      <c r="J725" t="str">
        <f t="shared" si="157"/>
        <v>PVDA</v>
      </c>
      <c r="K725">
        <v>3654</v>
      </c>
      <c r="L725">
        <v>5944</v>
      </c>
      <c r="M725">
        <v>9598</v>
      </c>
      <c r="N725">
        <v>0</v>
      </c>
      <c r="O725" t="str">
        <f>("4")</f>
        <v>4</v>
      </c>
      <c r="P725" t="str">
        <f>("Vanheeswijck Rudi")</f>
        <v>Vanheeswijck Rudi</v>
      </c>
      <c r="Q725">
        <v>1072</v>
      </c>
    </row>
    <row r="726" spans="1:18" x14ac:dyDescent="0.3">
      <c r="A726" t="s">
        <v>0</v>
      </c>
      <c r="B726" s="1">
        <v>45578</v>
      </c>
      <c r="C726" t="str">
        <f t="shared" si="152"/>
        <v>71022</v>
      </c>
      <c r="D726" t="s">
        <v>7</v>
      </c>
      <c r="E726" t="str">
        <f t="shared" si="153"/>
        <v>15</v>
      </c>
      <c r="F726">
        <v>330544</v>
      </c>
      <c r="G726">
        <v>205503</v>
      </c>
      <c r="H726">
        <v>6453</v>
      </c>
      <c r="I726" t="str">
        <f t="shared" si="156"/>
        <v>2</v>
      </c>
      <c r="J726" t="str">
        <f t="shared" si="157"/>
        <v>PVDA</v>
      </c>
      <c r="K726">
        <v>3654</v>
      </c>
      <c r="L726">
        <v>5944</v>
      </c>
      <c r="M726">
        <v>9598</v>
      </c>
      <c r="N726">
        <v>0</v>
      </c>
      <c r="O726" t="str">
        <f>("5")</f>
        <v>5</v>
      </c>
      <c r="P726" t="str">
        <f>("Nimmegeers Stany")</f>
        <v>Nimmegeers Stany</v>
      </c>
      <c r="Q726">
        <v>1091</v>
      </c>
    </row>
    <row r="727" spans="1:18" x14ac:dyDescent="0.3">
      <c r="A727" t="s">
        <v>0</v>
      </c>
      <c r="B727" s="1">
        <v>45578</v>
      </c>
      <c r="C727" t="str">
        <f t="shared" si="152"/>
        <v>71022</v>
      </c>
      <c r="D727" t="s">
        <v>7</v>
      </c>
      <c r="E727" t="str">
        <f t="shared" si="153"/>
        <v>15</v>
      </c>
      <c r="F727">
        <v>330544</v>
      </c>
      <c r="G727">
        <v>205503</v>
      </c>
      <c r="H727">
        <v>6453</v>
      </c>
      <c r="I727" t="str">
        <f t="shared" si="156"/>
        <v>2</v>
      </c>
      <c r="J727" t="str">
        <f t="shared" si="157"/>
        <v>PVDA</v>
      </c>
      <c r="K727">
        <v>3654</v>
      </c>
      <c r="L727">
        <v>5944</v>
      </c>
      <c r="M727">
        <v>9598</v>
      </c>
      <c r="N727">
        <v>0</v>
      </c>
      <c r="O727" t="str">
        <f>("6")</f>
        <v>6</v>
      </c>
      <c r="P727" t="str">
        <f>("Vandenrijt Lizzy")</f>
        <v>Vandenrijt Lizzy</v>
      </c>
      <c r="Q727">
        <v>1107</v>
      </c>
    </row>
    <row r="728" spans="1:18" x14ac:dyDescent="0.3">
      <c r="A728" t="s">
        <v>0</v>
      </c>
      <c r="B728" s="1">
        <v>45578</v>
      </c>
      <c r="C728" t="str">
        <f t="shared" si="152"/>
        <v>71022</v>
      </c>
      <c r="D728" t="s">
        <v>7</v>
      </c>
      <c r="E728" t="str">
        <f t="shared" si="153"/>
        <v>15</v>
      </c>
      <c r="F728">
        <v>330544</v>
      </c>
      <c r="G728">
        <v>205503</v>
      </c>
      <c r="H728">
        <v>6453</v>
      </c>
      <c r="I728" t="str">
        <f t="shared" si="156"/>
        <v>2</v>
      </c>
      <c r="J728" t="str">
        <f t="shared" si="157"/>
        <v>PVDA</v>
      </c>
      <c r="K728">
        <v>3654</v>
      </c>
      <c r="L728">
        <v>5944</v>
      </c>
      <c r="M728">
        <v>9598</v>
      </c>
      <c r="N728">
        <v>0</v>
      </c>
      <c r="O728" t="str">
        <f>("7")</f>
        <v>7</v>
      </c>
      <c r="P728" t="str">
        <f>("Venmans Rajan")</f>
        <v>Venmans Rajan</v>
      </c>
      <c r="Q728">
        <v>851</v>
      </c>
    </row>
    <row r="729" spans="1:18" x14ac:dyDescent="0.3">
      <c r="A729" t="s">
        <v>0</v>
      </c>
      <c r="B729" s="1">
        <v>45578</v>
      </c>
      <c r="C729" t="str">
        <f t="shared" si="152"/>
        <v>71022</v>
      </c>
      <c r="D729" t="s">
        <v>7</v>
      </c>
      <c r="E729" t="str">
        <f t="shared" si="153"/>
        <v>15</v>
      </c>
      <c r="F729">
        <v>330544</v>
      </c>
      <c r="G729">
        <v>205503</v>
      </c>
      <c r="H729">
        <v>6453</v>
      </c>
      <c r="I729" t="str">
        <f t="shared" si="156"/>
        <v>2</v>
      </c>
      <c r="J729" t="str">
        <f t="shared" si="157"/>
        <v>PVDA</v>
      </c>
      <c r="K729">
        <v>3654</v>
      </c>
      <c r="L729">
        <v>5944</v>
      </c>
      <c r="M729">
        <v>9598</v>
      </c>
      <c r="N729">
        <v>0</v>
      </c>
      <c r="O729" t="str">
        <f>("8")</f>
        <v>8</v>
      </c>
      <c r="P729" t="str">
        <f>("Zonderman Annelies")</f>
        <v>Zonderman Annelies</v>
      </c>
      <c r="Q729">
        <v>1026</v>
      </c>
    </row>
    <row r="730" spans="1:18" x14ac:dyDescent="0.3">
      <c r="A730" t="s">
        <v>0</v>
      </c>
      <c r="B730" s="1">
        <v>45578</v>
      </c>
      <c r="C730" t="str">
        <f t="shared" si="152"/>
        <v>71022</v>
      </c>
      <c r="D730" t="s">
        <v>7</v>
      </c>
      <c r="E730" t="str">
        <f t="shared" si="153"/>
        <v>15</v>
      </c>
      <c r="F730">
        <v>330544</v>
      </c>
      <c r="G730">
        <v>205503</v>
      </c>
      <c r="H730">
        <v>6453</v>
      </c>
      <c r="I730" t="str">
        <f t="shared" si="156"/>
        <v>2</v>
      </c>
      <c r="J730" t="str">
        <f t="shared" si="157"/>
        <v>PVDA</v>
      </c>
      <c r="K730">
        <v>3654</v>
      </c>
      <c r="L730">
        <v>5944</v>
      </c>
      <c r="M730">
        <v>9598</v>
      </c>
      <c r="N730">
        <v>0</v>
      </c>
      <c r="O730" t="str">
        <f>("9")</f>
        <v>9</v>
      </c>
      <c r="P730" t="str">
        <f>("Srivastva Sameer")</f>
        <v>Srivastva Sameer</v>
      </c>
      <c r="Q730">
        <v>884</v>
      </c>
    </row>
    <row r="731" spans="1:18" x14ac:dyDescent="0.3">
      <c r="A731" t="s">
        <v>0</v>
      </c>
      <c r="B731" s="1">
        <v>45578</v>
      </c>
      <c r="C731" t="str">
        <f t="shared" si="152"/>
        <v>71022</v>
      </c>
      <c r="D731" t="s">
        <v>7</v>
      </c>
      <c r="E731" t="str">
        <f t="shared" si="153"/>
        <v>15</v>
      </c>
      <c r="F731">
        <v>330544</v>
      </c>
      <c r="G731">
        <v>205503</v>
      </c>
      <c r="H731">
        <v>6453</v>
      </c>
      <c r="I731" t="str">
        <f t="shared" si="156"/>
        <v>2</v>
      </c>
      <c r="J731" t="str">
        <f t="shared" si="157"/>
        <v>PVDA</v>
      </c>
      <c r="K731">
        <v>3654</v>
      </c>
      <c r="L731">
        <v>5944</v>
      </c>
      <c r="M731">
        <v>9598</v>
      </c>
      <c r="N731">
        <v>0</v>
      </c>
      <c r="O731" t="str">
        <f>("10")</f>
        <v>10</v>
      </c>
      <c r="P731" t="str">
        <f>("Odeur Nathalie")</f>
        <v>Odeur Nathalie</v>
      </c>
      <c r="Q731">
        <v>997</v>
      </c>
    </row>
    <row r="732" spans="1:18" x14ac:dyDescent="0.3">
      <c r="A732" t="s">
        <v>0</v>
      </c>
      <c r="B732" s="1">
        <v>45578</v>
      </c>
      <c r="C732" t="str">
        <f t="shared" si="152"/>
        <v>71022</v>
      </c>
      <c r="D732" t="s">
        <v>7</v>
      </c>
      <c r="E732" t="str">
        <f t="shared" si="153"/>
        <v>15</v>
      </c>
      <c r="F732">
        <v>330544</v>
      </c>
      <c r="G732">
        <v>205503</v>
      </c>
      <c r="H732">
        <v>6453</v>
      </c>
      <c r="I732" t="str">
        <f t="shared" si="156"/>
        <v>2</v>
      </c>
      <c r="J732" t="str">
        <f t="shared" si="157"/>
        <v>PVDA</v>
      </c>
      <c r="K732">
        <v>3654</v>
      </c>
      <c r="L732">
        <v>5944</v>
      </c>
      <c r="M732">
        <v>9598</v>
      </c>
      <c r="N732">
        <v>0</v>
      </c>
      <c r="O732" t="str">
        <f>("11")</f>
        <v>11</v>
      </c>
      <c r="P732" t="str">
        <f>("Roggen Jan-Aleksander")</f>
        <v>Roggen Jan-Aleksander</v>
      </c>
      <c r="Q732">
        <v>809</v>
      </c>
    </row>
    <row r="733" spans="1:18" x14ac:dyDescent="0.3">
      <c r="A733" t="s">
        <v>0</v>
      </c>
      <c r="B733" s="1">
        <v>45578</v>
      </c>
      <c r="C733" t="str">
        <f t="shared" si="152"/>
        <v>71022</v>
      </c>
      <c r="D733" t="s">
        <v>7</v>
      </c>
      <c r="E733" t="str">
        <f t="shared" si="153"/>
        <v>15</v>
      </c>
      <c r="F733">
        <v>330544</v>
      </c>
      <c r="G733">
        <v>205503</v>
      </c>
      <c r="H733">
        <v>6453</v>
      </c>
      <c r="I733" t="str">
        <f t="shared" si="156"/>
        <v>2</v>
      </c>
      <c r="J733" t="str">
        <f t="shared" si="157"/>
        <v>PVDA</v>
      </c>
      <c r="K733">
        <v>3654</v>
      </c>
      <c r="L733">
        <v>5944</v>
      </c>
      <c r="M733">
        <v>9598</v>
      </c>
      <c r="N733">
        <v>0</v>
      </c>
      <c r="O733" t="str">
        <f>("12")</f>
        <v>12</v>
      </c>
      <c r="P733" t="str">
        <f>("Dericum Esmée")</f>
        <v>Dericum Esmée</v>
      </c>
      <c r="Q733">
        <v>935</v>
      </c>
    </row>
    <row r="734" spans="1:18" x14ac:dyDescent="0.3">
      <c r="A734" t="s">
        <v>0</v>
      </c>
      <c r="B734" s="1">
        <v>45578</v>
      </c>
      <c r="C734" t="str">
        <f t="shared" si="152"/>
        <v>71022</v>
      </c>
      <c r="D734" t="s">
        <v>7</v>
      </c>
      <c r="E734" t="str">
        <f t="shared" si="153"/>
        <v>15</v>
      </c>
      <c r="F734">
        <v>330544</v>
      </c>
      <c r="G734">
        <v>205503</v>
      </c>
      <c r="H734">
        <v>6453</v>
      </c>
      <c r="I734" t="str">
        <f t="shared" si="156"/>
        <v>2</v>
      </c>
      <c r="J734" t="str">
        <f t="shared" si="157"/>
        <v>PVDA</v>
      </c>
      <c r="K734">
        <v>3654</v>
      </c>
      <c r="L734">
        <v>5944</v>
      </c>
      <c r="M734">
        <v>9598</v>
      </c>
      <c r="N734">
        <v>0</v>
      </c>
      <c r="O734" t="str">
        <f>("13")</f>
        <v>13</v>
      </c>
      <c r="P734" t="str">
        <f>("Locatelli Gianni")</f>
        <v>Locatelli Gianni</v>
      </c>
      <c r="Q734">
        <v>866</v>
      </c>
    </row>
    <row r="735" spans="1:18" x14ac:dyDescent="0.3">
      <c r="A735" t="s">
        <v>0</v>
      </c>
      <c r="B735" s="1">
        <v>45578</v>
      </c>
      <c r="C735" t="str">
        <f t="shared" si="152"/>
        <v>71022</v>
      </c>
      <c r="D735" t="s">
        <v>7</v>
      </c>
      <c r="E735" t="str">
        <f t="shared" si="153"/>
        <v>15</v>
      </c>
      <c r="F735">
        <v>330544</v>
      </c>
      <c r="G735">
        <v>205503</v>
      </c>
      <c r="H735">
        <v>6453</v>
      </c>
      <c r="I735" t="str">
        <f t="shared" si="156"/>
        <v>2</v>
      </c>
      <c r="J735" t="str">
        <f t="shared" si="157"/>
        <v>PVDA</v>
      </c>
      <c r="K735">
        <v>3654</v>
      </c>
      <c r="L735">
        <v>5944</v>
      </c>
      <c r="M735">
        <v>9598</v>
      </c>
      <c r="N735">
        <v>0</v>
      </c>
      <c r="O735" t="str">
        <f>("14")</f>
        <v>14</v>
      </c>
      <c r="P735" t="str">
        <f>("Kestens Heidi")</f>
        <v>Kestens Heidi</v>
      </c>
      <c r="Q735">
        <v>991</v>
      </c>
    </row>
    <row r="736" spans="1:18" x14ac:dyDescent="0.3">
      <c r="A736" t="s">
        <v>0</v>
      </c>
      <c r="B736" s="1">
        <v>45578</v>
      </c>
      <c r="C736" t="str">
        <f t="shared" si="152"/>
        <v>71022</v>
      </c>
      <c r="D736" t="s">
        <v>7</v>
      </c>
      <c r="E736" t="str">
        <f t="shared" si="153"/>
        <v>15</v>
      </c>
      <c r="F736">
        <v>330544</v>
      </c>
      <c r="G736">
        <v>205503</v>
      </c>
      <c r="H736">
        <v>6453</v>
      </c>
      <c r="I736" t="str">
        <f t="shared" si="156"/>
        <v>2</v>
      </c>
      <c r="J736" t="str">
        <f t="shared" si="157"/>
        <v>PVDA</v>
      </c>
      <c r="K736">
        <v>3654</v>
      </c>
      <c r="L736">
        <v>5944</v>
      </c>
      <c r="M736">
        <v>9598</v>
      </c>
      <c r="N736">
        <v>0</v>
      </c>
      <c r="O736" t="str">
        <f>("15")</f>
        <v>15</v>
      </c>
      <c r="P736" t="str">
        <f>("Colebunders Gaby")</f>
        <v>Colebunders Gaby</v>
      </c>
      <c r="Q736">
        <v>2940</v>
      </c>
    </row>
    <row r="737" spans="1:19" x14ac:dyDescent="0.3">
      <c r="A737" t="s">
        <v>0</v>
      </c>
      <c r="B737" s="1">
        <v>45578</v>
      </c>
      <c r="C737" t="str">
        <f t="shared" si="152"/>
        <v>71022</v>
      </c>
      <c r="D737" t="s">
        <v>7</v>
      </c>
      <c r="E737" t="str">
        <f t="shared" si="153"/>
        <v>15</v>
      </c>
      <c r="F737">
        <v>330544</v>
      </c>
      <c r="G737">
        <v>205503</v>
      </c>
      <c r="H737">
        <v>6453</v>
      </c>
      <c r="I737" t="str">
        <f t="shared" ref="I737:I751" si="158">("3")</f>
        <v>3</v>
      </c>
      <c r="J737" t="str">
        <f t="shared" ref="J737:J751" si="159">("cd&amp;v")</f>
        <v>cd&amp;v</v>
      </c>
      <c r="K737">
        <v>12401</v>
      </c>
      <c r="L737">
        <v>33537</v>
      </c>
      <c r="M737">
        <v>45938</v>
      </c>
      <c r="N737">
        <v>4</v>
      </c>
      <c r="O737" t="str">
        <f>("1")</f>
        <v>1</v>
      </c>
      <c r="P737" t="str">
        <f>("Vandeput Tom")</f>
        <v>Vandeput Tom</v>
      </c>
      <c r="Q737">
        <v>14510</v>
      </c>
      <c r="R737">
        <v>1</v>
      </c>
    </row>
    <row r="738" spans="1:19" x14ac:dyDescent="0.3">
      <c r="A738" t="s">
        <v>0</v>
      </c>
      <c r="B738" s="1">
        <v>45578</v>
      </c>
      <c r="C738" t="str">
        <f t="shared" si="152"/>
        <v>71022</v>
      </c>
      <c r="D738" t="s">
        <v>7</v>
      </c>
      <c r="E738" t="str">
        <f t="shared" si="153"/>
        <v>15</v>
      </c>
      <c r="F738">
        <v>330544</v>
      </c>
      <c r="G738">
        <v>205503</v>
      </c>
      <c r="H738">
        <v>6453</v>
      </c>
      <c r="I738" t="str">
        <f t="shared" si="158"/>
        <v>3</v>
      </c>
      <c r="J738" t="str">
        <f t="shared" si="159"/>
        <v>cd&amp;v</v>
      </c>
      <c r="K738">
        <v>12401</v>
      </c>
      <c r="L738">
        <v>33537</v>
      </c>
      <c r="M738">
        <v>45938</v>
      </c>
      <c r="N738">
        <v>4</v>
      </c>
      <c r="O738" t="str">
        <f>("2")</f>
        <v>2</v>
      </c>
      <c r="P738" t="str">
        <f>("Gabriels Liesbet")</f>
        <v>Gabriels Liesbet</v>
      </c>
      <c r="Q738">
        <v>6989</v>
      </c>
      <c r="R738">
        <v>3</v>
      </c>
    </row>
    <row r="739" spans="1:19" x14ac:dyDescent="0.3">
      <c r="A739" t="s">
        <v>0</v>
      </c>
      <c r="B739" s="1">
        <v>45578</v>
      </c>
      <c r="C739" t="str">
        <f t="shared" ref="C739:C770" si="160">("71022")</f>
        <v>71022</v>
      </c>
      <c r="D739" t="s">
        <v>7</v>
      </c>
      <c r="E739" t="str">
        <f t="shared" ref="E739:E770" si="161">("15")</f>
        <v>15</v>
      </c>
      <c r="F739">
        <v>330544</v>
      </c>
      <c r="G739">
        <v>205503</v>
      </c>
      <c r="H739">
        <v>6453</v>
      </c>
      <c r="I739" t="str">
        <f t="shared" si="158"/>
        <v>3</v>
      </c>
      <c r="J739" t="str">
        <f t="shared" si="159"/>
        <v>cd&amp;v</v>
      </c>
      <c r="K739">
        <v>12401</v>
      </c>
      <c r="L739">
        <v>33537</v>
      </c>
      <c r="M739">
        <v>45938</v>
      </c>
      <c r="N739">
        <v>4</v>
      </c>
      <c r="O739" t="str">
        <f>("3")</f>
        <v>3</v>
      </c>
      <c r="P739" t="str">
        <f>("Wouters Luc")</f>
        <v>Wouters Luc</v>
      </c>
      <c r="Q739">
        <v>5951</v>
      </c>
      <c r="S739">
        <v>2</v>
      </c>
    </row>
    <row r="740" spans="1:19" x14ac:dyDescent="0.3">
      <c r="A740" t="s">
        <v>0</v>
      </c>
      <c r="B740" s="1">
        <v>45578</v>
      </c>
      <c r="C740" t="str">
        <f t="shared" si="160"/>
        <v>71022</v>
      </c>
      <c r="D740" t="s">
        <v>7</v>
      </c>
      <c r="E740" t="str">
        <f t="shared" si="161"/>
        <v>15</v>
      </c>
      <c r="F740">
        <v>330544</v>
      </c>
      <c r="G740">
        <v>205503</v>
      </c>
      <c r="H740">
        <v>6453</v>
      </c>
      <c r="I740" t="str">
        <f t="shared" si="158"/>
        <v>3</v>
      </c>
      <c r="J740" t="str">
        <f t="shared" si="159"/>
        <v>cd&amp;v</v>
      </c>
      <c r="K740">
        <v>12401</v>
      </c>
      <c r="L740">
        <v>33537</v>
      </c>
      <c r="M740">
        <v>45938</v>
      </c>
      <c r="N740">
        <v>4</v>
      </c>
      <c r="O740" t="str">
        <f>("4")</f>
        <v>4</v>
      </c>
      <c r="P740" t="str">
        <f>("Yilmaz Erhan")</f>
        <v>Yilmaz Erhan</v>
      </c>
      <c r="Q740">
        <v>4920</v>
      </c>
      <c r="S740">
        <v>4</v>
      </c>
    </row>
    <row r="741" spans="1:19" x14ac:dyDescent="0.3">
      <c r="A741" t="s">
        <v>0</v>
      </c>
      <c r="B741" s="1">
        <v>45578</v>
      </c>
      <c r="C741" t="str">
        <f t="shared" si="160"/>
        <v>71022</v>
      </c>
      <c r="D741" t="s">
        <v>7</v>
      </c>
      <c r="E741" t="str">
        <f t="shared" si="161"/>
        <v>15</v>
      </c>
      <c r="F741">
        <v>330544</v>
      </c>
      <c r="G741">
        <v>205503</v>
      </c>
      <c r="H741">
        <v>6453</v>
      </c>
      <c r="I741" t="str">
        <f t="shared" si="158"/>
        <v>3</v>
      </c>
      <c r="J741" t="str">
        <f t="shared" si="159"/>
        <v>cd&amp;v</v>
      </c>
      <c r="K741">
        <v>12401</v>
      </c>
      <c r="L741">
        <v>33537</v>
      </c>
      <c r="M741">
        <v>45938</v>
      </c>
      <c r="N741">
        <v>4</v>
      </c>
      <c r="O741" t="str">
        <f>("5")</f>
        <v>5</v>
      </c>
      <c r="P741" t="str">
        <f>("Govaerts Stefan")</f>
        <v>Govaerts Stefan</v>
      </c>
      <c r="Q741">
        <v>4356</v>
      </c>
      <c r="S741">
        <v>5</v>
      </c>
    </row>
    <row r="742" spans="1:19" x14ac:dyDescent="0.3">
      <c r="A742" t="s">
        <v>0</v>
      </c>
      <c r="B742" s="1">
        <v>45578</v>
      </c>
      <c r="C742" t="str">
        <f t="shared" si="160"/>
        <v>71022</v>
      </c>
      <c r="D742" t="s">
        <v>7</v>
      </c>
      <c r="E742" t="str">
        <f t="shared" si="161"/>
        <v>15</v>
      </c>
      <c r="F742">
        <v>330544</v>
      </c>
      <c r="G742">
        <v>205503</v>
      </c>
      <c r="H742">
        <v>6453</v>
      </c>
      <c r="I742" t="str">
        <f t="shared" si="158"/>
        <v>3</v>
      </c>
      <c r="J742" t="str">
        <f t="shared" si="159"/>
        <v>cd&amp;v</v>
      </c>
      <c r="K742">
        <v>12401</v>
      </c>
      <c r="L742">
        <v>33537</v>
      </c>
      <c r="M742">
        <v>45938</v>
      </c>
      <c r="N742">
        <v>4</v>
      </c>
      <c r="O742" t="str">
        <f>("6")</f>
        <v>6</v>
      </c>
      <c r="P742" t="str">
        <f>("Crijns Birgit")</f>
        <v>Crijns Birgit</v>
      </c>
      <c r="Q742">
        <v>3891</v>
      </c>
      <c r="S742">
        <v>6</v>
      </c>
    </row>
    <row r="743" spans="1:19" x14ac:dyDescent="0.3">
      <c r="A743" t="s">
        <v>0</v>
      </c>
      <c r="B743" s="1">
        <v>45578</v>
      </c>
      <c r="C743" t="str">
        <f t="shared" si="160"/>
        <v>71022</v>
      </c>
      <c r="D743" t="s">
        <v>7</v>
      </c>
      <c r="E743" t="str">
        <f t="shared" si="161"/>
        <v>15</v>
      </c>
      <c r="F743">
        <v>330544</v>
      </c>
      <c r="G743">
        <v>205503</v>
      </c>
      <c r="H743">
        <v>6453</v>
      </c>
      <c r="I743" t="str">
        <f t="shared" si="158"/>
        <v>3</v>
      </c>
      <c r="J743" t="str">
        <f t="shared" si="159"/>
        <v>cd&amp;v</v>
      </c>
      <c r="K743">
        <v>12401</v>
      </c>
      <c r="L743">
        <v>33537</v>
      </c>
      <c r="M743">
        <v>45938</v>
      </c>
      <c r="N743">
        <v>4</v>
      </c>
      <c r="O743" t="str">
        <f>("7")</f>
        <v>7</v>
      </c>
      <c r="P743" t="str">
        <f>("Baloglu Hatice")</f>
        <v>Baloglu Hatice</v>
      </c>
      <c r="Q743">
        <v>3382</v>
      </c>
      <c r="S743">
        <v>9</v>
      </c>
    </row>
    <row r="744" spans="1:19" x14ac:dyDescent="0.3">
      <c r="A744" t="s">
        <v>0</v>
      </c>
      <c r="B744" s="1">
        <v>45578</v>
      </c>
      <c r="C744" t="str">
        <f t="shared" si="160"/>
        <v>71022</v>
      </c>
      <c r="D744" t="s">
        <v>7</v>
      </c>
      <c r="E744" t="str">
        <f t="shared" si="161"/>
        <v>15</v>
      </c>
      <c r="F744">
        <v>330544</v>
      </c>
      <c r="G744">
        <v>205503</v>
      </c>
      <c r="H744">
        <v>6453</v>
      </c>
      <c r="I744" t="str">
        <f t="shared" si="158"/>
        <v>3</v>
      </c>
      <c r="J744" t="str">
        <f t="shared" si="159"/>
        <v>cd&amp;v</v>
      </c>
      <c r="K744">
        <v>12401</v>
      </c>
      <c r="L744">
        <v>33537</v>
      </c>
      <c r="M744">
        <v>45938</v>
      </c>
      <c r="N744">
        <v>4</v>
      </c>
      <c r="O744" t="str">
        <f>("8")</f>
        <v>8</v>
      </c>
      <c r="P744" t="str">
        <f>("Michiels Lore")</f>
        <v>Michiels Lore</v>
      </c>
      <c r="Q744">
        <v>3761</v>
      </c>
      <c r="S744">
        <v>7</v>
      </c>
    </row>
    <row r="745" spans="1:19" x14ac:dyDescent="0.3">
      <c r="A745" t="s">
        <v>0</v>
      </c>
      <c r="B745" s="1">
        <v>45578</v>
      </c>
      <c r="C745" t="str">
        <f t="shared" si="160"/>
        <v>71022</v>
      </c>
      <c r="D745" t="s">
        <v>7</v>
      </c>
      <c r="E745" t="str">
        <f t="shared" si="161"/>
        <v>15</v>
      </c>
      <c r="F745">
        <v>330544</v>
      </c>
      <c r="G745">
        <v>205503</v>
      </c>
      <c r="H745">
        <v>6453</v>
      </c>
      <c r="I745" t="str">
        <f t="shared" si="158"/>
        <v>3</v>
      </c>
      <c r="J745" t="str">
        <f t="shared" si="159"/>
        <v>cd&amp;v</v>
      </c>
      <c r="K745">
        <v>12401</v>
      </c>
      <c r="L745">
        <v>33537</v>
      </c>
      <c r="M745">
        <v>45938</v>
      </c>
      <c r="N745">
        <v>4</v>
      </c>
      <c r="O745" t="str">
        <f>("9")</f>
        <v>9</v>
      </c>
      <c r="P745" t="str">
        <f>("Tholen Dominic")</f>
        <v>Tholen Dominic</v>
      </c>
      <c r="Q745">
        <v>2838</v>
      </c>
      <c r="S745">
        <v>11</v>
      </c>
    </row>
    <row r="746" spans="1:19" x14ac:dyDescent="0.3">
      <c r="A746" t="s">
        <v>0</v>
      </c>
      <c r="B746" s="1">
        <v>45578</v>
      </c>
      <c r="C746" t="str">
        <f t="shared" si="160"/>
        <v>71022</v>
      </c>
      <c r="D746" t="s">
        <v>7</v>
      </c>
      <c r="E746" t="str">
        <f t="shared" si="161"/>
        <v>15</v>
      </c>
      <c r="F746">
        <v>330544</v>
      </c>
      <c r="G746">
        <v>205503</v>
      </c>
      <c r="H746">
        <v>6453</v>
      </c>
      <c r="I746" t="str">
        <f t="shared" si="158"/>
        <v>3</v>
      </c>
      <c r="J746" t="str">
        <f t="shared" si="159"/>
        <v>cd&amp;v</v>
      </c>
      <c r="K746">
        <v>12401</v>
      </c>
      <c r="L746">
        <v>33537</v>
      </c>
      <c r="M746">
        <v>45938</v>
      </c>
      <c r="N746">
        <v>4</v>
      </c>
      <c r="O746" t="str">
        <f>("10")</f>
        <v>10</v>
      </c>
      <c r="P746" t="str">
        <f>("Geboers Carine")</f>
        <v>Geboers Carine</v>
      </c>
      <c r="Q746">
        <v>3095</v>
      </c>
      <c r="S746">
        <v>10</v>
      </c>
    </row>
    <row r="747" spans="1:19" x14ac:dyDescent="0.3">
      <c r="A747" t="s">
        <v>0</v>
      </c>
      <c r="B747" s="1">
        <v>45578</v>
      </c>
      <c r="C747" t="str">
        <f t="shared" si="160"/>
        <v>71022</v>
      </c>
      <c r="D747" t="s">
        <v>7</v>
      </c>
      <c r="E747" t="str">
        <f t="shared" si="161"/>
        <v>15</v>
      </c>
      <c r="F747">
        <v>330544</v>
      </c>
      <c r="G747">
        <v>205503</v>
      </c>
      <c r="H747">
        <v>6453</v>
      </c>
      <c r="I747" t="str">
        <f t="shared" si="158"/>
        <v>3</v>
      </c>
      <c r="J747" t="str">
        <f t="shared" si="159"/>
        <v>cd&amp;v</v>
      </c>
      <c r="K747">
        <v>12401</v>
      </c>
      <c r="L747">
        <v>33537</v>
      </c>
      <c r="M747">
        <v>45938</v>
      </c>
      <c r="N747">
        <v>4</v>
      </c>
      <c r="O747" t="str">
        <f>("11")</f>
        <v>11</v>
      </c>
      <c r="P747" t="str">
        <f>("Van Roelen Erik")</f>
        <v>Van Roelen Erik</v>
      </c>
      <c r="Q747">
        <v>3644</v>
      </c>
      <c r="S747">
        <v>8</v>
      </c>
    </row>
    <row r="748" spans="1:19" x14ac:dyDescent="0.3">
      <c r="A748" t="s">
        <v>0</v>
      </c>
      <c r="B748" s="1">
        <v>45578</v>
      </c>
      <c r="C748" t="str">
        <f t="shared" si="160"/>
        <v>71022</v>
      </c>
      <c r="D748" t="s">
        <v>7</v>
      </c>
      <c r="E748" t="str">
        <f t="shared" si="161"/>
        <v>15</v>
      </c>
      <c r="F748">
        <v>330544</v>
      </c>
      <c r="G748">
        <v>205503</v>
      </c>
      <c r="H748">
        <v>6453</v>
      </c>
      <c r="I748" t="str">
        <f t="shared" si="158"/>
        <v>3</v>
      </c>
      <c r="J748" t="str">
        <f t="shared" si="159"/>
        <v>cd&amp;v</v>
      </c>
      <c r="K748">
        <v>12401</v>
      </c>
      <c r="L748">
        <v>33537</v>
      </c>
      <c r="M748">
        <v>45938</v>
      </c>
      <c r="N748">
        <v>4</v>
      </c>
      <c r="O748" t="str">
        <f>("12")</f>
        <v>12</v>
      </c>
      <c r="P748" t="str">
        <f>("Kempeneers Ingrid")</f>
        <v>Kempeneers Ingrid</v>
      </c>
      <c r="Q748">
        <v>5498</v>
      </c>
      <c r="S748">
        <v>3</v>
      </c>
    </row>
    <row r="749" spans="1:19" x14ac:dyDescent="0.3">
      <c r="A749" t="s">
        <v>0</v>
      </c>
      <c r="B749" s="1">
        <v>45578</v>
      </c>
      <c r="C749" t="str">
        <f t="shared" si="160"/>
        <v>71022</v>
      </c>
      <c r="D749" t="s">
        <v>7</v>
      </c>
      <c r="E749" t="str">
        <f t="shared" si="161"/>
        <v>15</v>
      </c>
      <c r="F749">
        <v>330544</v>
      </c>
      <c r="G749">
        <v>205503</v>
      </c>
      <c r="H749">
        <v>6453</v>
      </c>
      <c r="I749" t="str">
        <f t="shared" si="158"/>
        <v>3</v>
      </c>
      <c r="J749" t="str">
        <f t="shared" si="159"/>
        <v>cd&amp;v</v>
      </c>
      <c r="K749">
        <v>12401</v>
      </c>
      <c r="L749">
        <v>33537</v>
      </c>
      <c r="M749">
        <v>45938</v>
      </c>
      <c r="N749">
        <v>4</v>
      </c>
      <c r="O749" t="str">
        <f>("13")</f>
        <v>13</v>
      </c>
      <c r="P749" t="str">
        <f>("Vints Thomas")</f>
        <v>Vints Thomas</v>
      </c>
      <c r="Q749">
        <v>6568</v>
      </c>
      <c r="S749">
        <v>1</v>
      </c>
    </row>
    <row r="750" spans="1:19" x14ac:dyDescent="0.3">
      <c r="A750" t="s">
        <v>0</v>
      </c>
      <c r="B750" s="1">
        <v>45578</v>
      </c>
      <c r="C750" t="str">
        <f t="shared" si="160"/>
        <v>71022</v>
      </c>
      <c r="D750" t="s">
        <v>7</v>
      </c>
      <c r="E750" t="str">
        <f t="shared" si="161"/>
        <v>15</v>
      </c>
      <c r="F750">
        <v>330544</v>
      </c>
      <c r="G750">
        <v>205503</v>
      </c>
      <c r="H750">
        <v>6453</v>
      </c>
      <c r="I750" t="str">
        <f t="shared" si="158"/>
        <v>3</v>
      </c>
      <c r="J750" t="str">
        <f t="shared" si="159"/>
        <v>cd&amp;v</v>
      </c>
      <c r="K750">
        <v>12401</v>
      </c>
      <c r="L750">
        <v>33537</v>
      </c>
      <c r="M750">
        <v>45938</v>
      </c>
      <c r="N750">
        <v>4</v>
      </c>
      <c r="O750" t="str">
        <f>("14")</f>
        <v>14</v>
      </c>
      <c r="P750" t="str">
        <f>("Farih Nawal")</f>
        <v>Farih Nawal</v>
      </c>
      <c r="Q750">
        <v>6617</v>
      </c>
      <c r="R750">
        <v>4</v>
      </c>
    </row>
    <row r="751" spans="1:19" x14ac:dyDescent="0.3">
      <c r="A751" t="s">
        <v>0</v>
      </c>
      <c r="B751" s="1">
        <v>45578</v>
      </c>
      <c r="C751" t="str">
        <f t="shared" si="160"/>
        <v>71022</v>
      </c>
      <c r="D751" t="s">
        <v>7</v>
      </c>
      <c r="E751" t="str">
        <f t="shared" si="161"/>
        <v>15</v>
      </c>
      <c r="F751">
        <v>330544</v>
      </c>
      <c r="G751">
        <v>205503</v>
      </c>
      <c r="H751">
        <v>6453</v>
      </c>
      <c r="I751" t="str">
        <f t="shared" si="158"/>
        <v>3</v>
      </c>
      <c r="J751" t="str">
        <f t="shared" si="159"/>
        <v>cd&amp;v</v>
      </c>
      <c r="K751">
        <v>12401</v>
      </c>
      <c r="L751">
        <v>33537</v>
      </c>
      <c r="M751">
        <v>45938</v>
      </c>
      <c r="N751">
        <v>4</v>
      </c>
      <c r="O751" t="str">
        <f>("15")</f>
        <v>15</v>
      </c>
      <c r="P751" t="str">
        <f>("Beke Wouter")</f>
        <v>Beke Wouter</v>
      </c>
      <c r="Q751">
        <v>8777</v>
      </c>
      <c r="R751">
        <v>2</v>
      </c>
    </row>
    <row r="752" spans="1:19" x14ac:dyDescent="0.3">
      <c r="A752" t="s">
        <v>0</v>
      </c>
      <c r="B752" s="1">
        <v>45578</v>
      </c>
      <c r="C752" t="str">
        <f t="shared" si="160"/>
        <v>71022</v>
      </c>
      <c r="D752" t="s">
        <v>7</v>
      </c>
      <c r="E752" t="str">
        <f t="shared" si="161"/>
        <v>15</v>
      </c>
      <c r="F752">
        <v>330544</v>
      </c>
      <c r="G752">
        <v>205503</v>
      </c>
      <c r="H752">
        <v>6453</v>
      </c>
      <c r="I752" t="str">
        <f t="shared" ref="I752:I766" si="162">("4")</f>
        <v>4</v>
      </c>
      <c r="J752" t="str">
        <f t="shared" ref="J752:J766" si="163">("VLAAMS BELANG")</f>
        <v>VLAAMS BELANG</v>
      </c>
      <c r="K752">
        <v>17598</v>
      </c>
      <c r="L752">
        <v>17322</v>
      </c>
      <c r="M752">
        <v>34920</v>
      </c>
      <c r="N752">
        <v>3</v>
      </c>
      <c r="O752" t="str">
        <f>("1")</f>
        <v>1</v>
      </c>
      <c r="P752" t="str">
        <f>("Nagels Chantal")</f>
        <v>Nagels Chantal</v>
      </c>
      <c r="Q752">
        <v>10237</v>
      </c>
      <c r="R752">
        <v>1</v>
      </c>
    </row>
    <row r="753" spans="1:19" x14ac:dyDescent="0.3">
      <c r="A753" t="s">
        <v>0</v>
      </c>
      <c r="B753" s="1">
        <v>45578</v>
      </c>
      <c r="C753" t="str">
        <f t="shared" si="160"/>
        <v>71022</v>
      </c>
      <c r="D753" t="s">
        <v>7</v>
      </c>
      <c r="E753" t="str">
        <f t="shared" si="161"/>
        <v>15</v>
      </c>
      <c r="F753">
        <v>330544</v>
      </c>
      <c r="G753">
        <v>205503</v>
      </c>
      <c r="H753">
        <v>6453</v>
      </c>
      <c r="I753" t="str">
        <f t="shared" si="162"/>
        <v>4</v>
      </c>
      <c r="J753" t="str">
        <f t="shared" si="163"/>
        <v>VLAAMS BELANG</v>
      </c>
      <c r="K753">
        <v>17598</v>
      </c>
      <c r="L753">
        <v>17322</v>
      </c>
      <c r="M753">
        <v>34920</v>
      </c>
      <c r="N753">
        <v>3</v>
      </c>
      <c r="O753" t="str">
        <f>("2")</f>
        <v>2</v>
      </c>
      <c r="P753" t="str">
        <f>("Vandereyken Dietrich")</f>
        <v>Vandereyken Dietrich</v>
      </c>
      <c r="Q753">
        <v>5074</v>
      </c>
      <c r="S753">
        <v>1</v>
      </c>
    </row>
    <row r="754" spans="1:19" x14ac:dyDescent="0.3">
      <c r="A754" t="s">
        <v>0</v>
      </c>
      <c r="B754" s="1">
        <v>45578</v>
      </c>
      <c r="C754" t="str">
        <f t="shared" si="160"/>
        <v>71022</v>
      </c>
      <c r="D754" t="s">
        <v>7</v>
      </c>
      <c r="E754" t="str">
        <f t="shared" si="161"/>
        <v>15</v>
      </c>
      <c r="F754">
        <v>330544</v>
      </c>
      <c r="G754">
        <v>205503</v>
      </c>
      <c r="H754">
        <v>6453</v>
      </c>
      <c r="I754" t="str">
        <f t="shared" si="162"/>
        <v>4</v>
      </c>
      <c r="J754" t="str">
        <f t="shared" si="163"/>
        <v>VLAAMS BELANG</v>
      </c>
      <c r="K754">
        <v>17598</v>
      </c>
      <c r="L754">
        <v>17322</v>
      </c>
      <c r="M754">
        <v>34920</v>
      </c>
      <c r="N754">
        <v>3</v>
      </c>
      <c r="O754" t="str">
        <f>("3")</f>
        <v>3</v>
      </c>
      <c r="P754" t="str">
        <f>("Saeren Oriana")</f>
        <v>Saeren Oriana</v>
      </c>
      <c r="Q754">
        <v>4872</v>
      </c>
      <c r="S754">
        <v>2</v>
      </c>
    </row>
    <row r="755" spans="1:19" x14ac:dyDescent="0.3">
      <c r="A755" t="s">
        <v>0</v>
      </c>
      <c r="B755" s="1">
        <v>45578</v>
      </c>
      <c r="C755" t="str">
        <f t="shared" si="160"/>
        <v>71022</v>
      </c>
      <c r="D755" t="s">
        <v>7</v>
      </c>
      <c r="E755" t="str">
        <f t="shared" si="161"/>
        <v>15</v>
      </c>
      <c r="F755">
        <v>330544</v>
      </c>
      <c r="G755">
        <v>205503</v>
      </c>
      <c r="H755">
        <v>6453</v>
      </c>
      <c r="I755" t="str">
        <f t="shared" si="162"/>
        <v>4</v>
      </c>
      <c r="J755" t="str">
        <f t="shared" si="163"/>
        <v>VLAAMS BELANG</v>
      </c>
      <c r="K755">
        <v>17598</v>
      </c>
      <c r="L755">
        <v>17322</v>
      </c>
      <c r="M755">
        <v>34920</v>
      </c>
      <c r="N755">
        <v>3</v>
      </c>
      <c r="O755" t="str">
        <f>("4")</f>
        <v>4</v>
      </c>
      <c r="P755" t="str">
        <f>("Reemers Andy")</f>
        <v>Reemers Andy</v>
      </c>
      <c r="Q755">
        <v>4533</v>
      </c>
      <c r="S755">
        <v>3</v>
      </c>
    </row>
    <row r="756" spans="1:19" x14ac:dyDescent="0.3">
      <c r="A756" t="s">
        <v>0</v>
      </c>
      <c r="B756" s="1">
        <v>45578</v>
      </c>
      <c r="C756" t="str">
        <f t="shared" si="160"/>
        <v>71022</v>
      </c>
      <c r="D756" t="s">
        <v>7</v>
      </c>
      <c r="E756" t="str">
        <f t="shared" si="161"/>
        <v>15</v>
      </c>
      <c r="F756">
        <v>330544</v>
      </c>
      <c r="G756">
        <v>205503</v>
      </c>
      <c r="H756">
        <v>6453</v>
      </c>
      <c r="I756" t="str">
        <f t="shared" si="162"/>
        <v>4</v>
      </c>
      <c r="J756" t="str">
        <f t="shared" si="163"/>
        <v>VLAAMS BELANG</v>
      </c>
      <c r="K756">
        <v>17598</v>
      </c>
      <c r="L756">
        <v>17322</v>
      </c>
      <c r="M756">
        <v>34920</v>
      </c>
      <c r="N756">
        <v>3</v>
      </c>
      <c r="O756" t="str">
        <f>("5")</f>
        <v>5</v>
      </c>
      <c r="P756" t="str">
        <f>("Nowak Guido")</f>
        <v>Nowak Guido</v>
      </c>
      <c r="Q756">
        <v>4232</v>
      </c>
      <c r="S756">
        <v>7</v>
      </c>
    </row>
    <row r="757" spans="1:19" x14ac:dyDescent="0.3">
      <c r="A757" t="s">
        <v>0</v>
      </c>
      <c r="B757" s="1">
        <v>45578</v>
      </c>
      <c r="C757" t="str">
        <f t="shared" si="160"/>
        <v>71022</v>
      </c>
      <c r="D757" t="s">
        <v>7</v>
      </c>
      <c r="E757" t="str">
        <f t="shared" si="161"/>
        <v>15</v>
      </c>
      <c r="F757">
        <v>330544</v>
      </c>
      <c r="G757">
        <v>205503</v>
      </c>
      <c r="H757">
        <v>6453</v>
      </c>
      <c r="I757" t="str">
        <f t="shared" si="162"/>
        <v>4</v>
      </c>
      <c r="J757" t="str">
        <f t="shared" si="163"/>
        <v>VLAAMS BELANG</v>
      </c>
      <c r="K757">
        <v>17598</v>
      </c>
      <c r="L757">
        <v>17322</v>
      </c>
      <c r="M757">
        <v>34920</v>
      </c>
      <c r="N757">
        <v>3</v>
      </c>
      <c r="O757" t="str">
        <f>("6")</f>
        <v>6</v>
      </c>
      <c r="P757" t="str">
        <f>("Jehaes Christa")</f>
        <v>Jehaes Christa</v>
      </c>
      <c r="Q757">
        <v>4321</v>
      </c>
      <c r="S757">
        <v>5</v>
      </c>
    </row>
    <row r="758" spans="1:19" x14ac:dyDescent="0.3">
      <c r="A758" t="s">
        <v>0</v>
      </c>
      <c r="B758" s="1">
        <v>45578</v>
      </c>
      <c r="C758" t="str">
        <f t="shared" si="160"/>
        <v>71022</v>
      </c>
      <c r="D758" t="s">
        <v>7</v>
      </c>
      <c r="E758" t="str">
        <f t="shared" si="161"/>
        <v>15</v>
      </c>
      <c r="F758">
        <v>330544</v>
      </c>
      <c r="G758">
        <v>205503</v>
      </c>
      <c r="H758">
        <v>6453</v>
      </c>
      <c r="I758" t="str">
        <f t="shared" si="162"/>
        <v>4</v>
      </c>
      <c r="J758" t="str">
        <f t="shared" si="163"/>
        <v>VLAAMS BELANG</v>
      </c>
      <c r="K758">
        <v>17598</v>
      </c>
      <c r="L758">
        <v>17322</v>
      </c>
      <c r="M758">
        <v>34920</v>
      </c>
      <c r="N758">
        <v>3</v>
      </c>
      <c r="O758" t="str">
        <f>("7")</f>
        <v>7</v>
      </c>
      <c r="P758" t="str">
        <f>("Jaspers Anny")</f>
        <v>Jaspers Anny</v>
      </c>
      <c r="Q758">
        <v>4196</v>
      </c>
      <c r="S758">
        <v>9</v>
      </c>
    </row>
    <row r="759" spans="1:19" x14ac:dyDescent="0.3">
      <c r="A759" t="s">
        <v>0</v>
      </c>
      <c r="B759" s="1">
        <v>45578</v>
      </c>
      <c r="C759" t="str">
        <f t="shared" si="160"/>
        <v>71022</v>
      </c>
      <c r="D759" t="s">
        <v>7</v>
      </c>
      <c r="E759" t="str">
        <f t="shared" si="161"/>
        <v>15</v>
      </c>
      <c r="F759">
        <v>330544</v>
      </c>
      <c r="G759">
        <v>205503</v>
      </c>
      <c r="H759">
        <v>6453</v>
      </c>
      <c r="I759" t="str">
        <f t="shared" si="162"/>
        <v>4</v>
      </c>
      <c r="J759" t="str">
        <f t="shared" si="163"/>
        <v>VLAAMS BELANG</v>
      </c>
      <c r="K759">
        <v>17598</v>
      </c>
      <c r="L759">
        <v>17322</v>
      </c>
      <c r="M759">
        <v>34920</v>
      </c>
      <c r="N759">
        <v>3</v>
      </c>
      <c r="O759" t="str">
        <f>("8")</f>
        <v>8</v>
      </c>
      <c r="P759" t="str">
        <f>("Goossens Myrnah")</f>
        <v>Goossens Myrnah</v>
      </c>
      <c r="Q759">
        <v>3999</v>
      </c>
      <c r="S759">
        <v>12</v>
      </c>
    </row>
    <row r="760" spans="1:19" x14ac:dyDescent="0.3">
      <c r="A760" t="s">
        <v>0</v>
      </c>
      <c r="B760" s="1">
        <v>45578</v>
      </c>
      <c r="C760" t="str">
        <f t="shared" si="160"/>
        <v>71022</v>
      </c>
      <c r="D760" t="s">
        <v>7</v>
      </c>
      <c r="E760" t="str">
        <f t="shared" si="161"/>
        <v>15</v>
      </c>
      <c r="F760">
        <v>330544</v>
      </c>
      <c r="G760">
        <v>205503</v>
      </c>
      <c r="H760">
        <v>6453</v>
      </c>
      <c r="I760" t="str">
        <f t="shared" si="162"/>
        <v>4</v>
      </c>
      <c r="J760" t="str">
        <f t="shared" si="163"/>
        <v>VLAAMS BELANG</v>
      </c>
      <c r="K760">
        <v>17598</v>
      </c>
      <c r="L760">
        <v>17322</v>
      </c>
      <c r="M760">
        <v>34920</v>
      </c>
      <c r="N760">
        <v>3</v>
      </c>
      <c r="O760" t="str">
        <f>("9")</f>
        <v>9</v>
      </c>
      <c r="P760" t="str">
        <f>("Vandenplas Daisy")</f>
        <v>Vandenplas Daisy</v>
      </c>
      <c r="Q760">
        <v>4366</v>
      </c>
      <c r="S760">
        <v>4</v>
      </c>
    </row>
    <row r="761" spans="1:19" x14ac:dyDescent="0.3">
      <c r="A761" t="s">
        <v>0</v>
      </c>
      <c r="B761" s="1">
        <v>45578</v>
      </c>
      <c r="C761" t="str">
        <f t="shared" si="160"/>
        <v>71022</v>
      </c>
      <c r="D761" t="s">
        <v>7</v>
      </c>
      <c r="E761" t="str">
        <f t="shared" si="161"/>
        <v>15</v>
      </c>
      <c r="F761">
        <v>330544</v>
      </c>
      <c r="G761">
        <v>205503</v>
      </c>
      <c r="H761">
        <v>6453</v>
      </c>
      <c r="I761" t="str">
        <f t="shared" si="162"/>
        <v>4</v>
      </c>
      <c r="J761" t="str">
        <f t="shared" si="163"/>
        <v>VLAAMS BELANG</v>
      </c>
      <c r="K761">
        <v>17598</v>
      </c>
      <c r="L761">
        <v>17322</v>
      </c>
      <c r="M761">
        <v>34920</v>
      </c>
      <c r="N761">
        <v>3</v>
      </c>
      <c r="O761" t="str">
        <f>("10")</f>
        <v>10</v>
      </c>
      <c r="P761" t="str">
        <f>("Briers Jean-Paul")</f>
        <v>Briers Jean-Paul</v>
      </c>
      <c r="Q761">
        <v>4229</v>
      </c>
      <c r="S761">
        <v>8</v>
      </c>
    </row>
    <row r="762" spans="1:19" x14ac:dyDescent="0.3">
      <c r="A762" t="s">
        <v>0</v>
      </c>
      <c r="B762" s="1">
        <v>45578</v>
      </c>
      <c r="C762" t="str">
        <f t="shared" si="160"/>
        <v>71022</v>
      </c>
      <c r="D762" t="s">
        <v>7</v>
      </c>
      <c r="E762" t="str">
        <f t="shared" si="161"/>
        <v>15</v>
      </c>
      <c r="F762">
        <v>330544</v>
      </c>
      <c r="G762">
        <v>205503</v>
      </c>
      <c r="H762">
        <v>6453</v>
      </c>
      <c r="I762" t="str">
        <f t="shared" si="162"/>
        <v>4</v>
      </c>
      <c r="J762" t="str">
        <f t="shared" si="163"/>
        <v>VLAAMS BELANG</v>
      </c>
      <c r="K762">
        <v>17598</v>
      </c>
      <c r="L762">
        <v>17322</v>
      </c>
      <c r="M762">
        <v>34920</v>
      </c>
      <c r="N762">
        <v>3</v>
      </c>
      <c r="O762" t="str">
        <f>("11")</f>
        <v>11</v>
      </c>
      <c r="P762" t="str">
        <f>("Ooms Koen")</f>
        <v>Ooms Koen</v>
      </c>
      <c r="Q762">
        <v>4263</v>
      </c>
      <c r="S762">
        <v>6</v>
      </c>
    </row>
    <row r="763" spans="1:19" x14ac:dyDescent="0.3">
      <c r="A763" t="s">
        <v>0</v>
      </c>
      <c r="B763" s="1">
        <v>45578</v>
      </c>
      <c r="C763" t="str">
        <f t="shared" si="160"/>
        <v>71022</v>
      </c>
      <c r="D763" t="s">
        <v>7</v>
      </c>
      <c r="E763" t="str">
        <f t="shared" si="161"/>
        <v>15</v>
      </c>
      <c r="F763">
        <v>330544</v>
      </c>
      <c r="G763">
        <v>205503</v>
      </c>
      <c r="H763">
        <v>6453</v>
      </c>
      <c r="I763" t="str">
        <f t="shared" si="162"/>
        <v>4</v>
      </c>
      <c r="J763" t="str">
        <f t="shared" si="163"/>
        <v>VLAAMS BELANG</v>
      </c>
      <c r="K763">
        <v>17598</v>
      </c>
      <c r="L763">
        <v>17322</v>
      </c>
      <c r="M763">
        <v>34920</v>
      </c>
      <c r="N763">
        <v>3</v>
      </c>
      <c r="O763" t="str">
        <f>("12")</f>
        <v>12</v>
      </c>
      <c r="P763" t="str">
        <f>("Keuten Dieter")</f>
        <v>Keuten Dieter</v>
      </c>
      <c r="Q763">
        <v>4014</v>
      </c>
      <c r="S763">
        <v>11</v>
      </c>
    </row>
    <row r="764" spans="1:19" x14ac:dyDescent="0.3">
      <c r="A764" t="s">
        <v>0</v>
      </c>
      <c r="B764" s="1">
        <v>45578</v>
      </c>
      <c r="C764" t="str">
        <f t="shared" si="160"/>
        <v>71022</v>
      </c>
      <c r="D764" t="s">
        <v>7</v>
      </c>
      <c r="E764" t="str">
        <f t="shared" si="161"/>
        <v>15</v>
      </c>
      <c r="F764">
        <v>330544</v>
      </c>
      <c r="G764">
        <v>205503</v>
      </c>
      <c r="H764">
        <v>6453</v>
      </c>
      <c r="I764" t="str">
        <f t="shared" si="162"/>
        <v>4</v>
      </c>
      <c r="J764" t="str">
        <f t="shared" si="163"/>
        <v>VLAAMS BELANG</v>
      </c>
      <c r="K764">
        <v>17598</v>
      </c>
      <c r="L764">
        <v>17322</v>
      </c>
      <c r="M764">
        <v>34920</v>
      </c>
      <c r="N764">
        <v>3</v>
      </c>
      <c r="O764" t="str">
        <f>("13")</f>
        <v>13</v>
      </c>
      <c r="P764" t="str">
        <f>("Awouters Michiel")</f>
        <v>Awouters Michiel</v>
      </c>
      <c r="Q764">
        <v>4066</v>
      </c>
      <c r="S764">
        <v>10</v>
      </c>
    </row>
    <row r="765" spans="1:19" x14ac:dyDescent="0.3">
      <c r="A765" t="s">
        <v>0</v>
      </c>
      <c r="B765" s="1">
        <v>45578</v>
      </c>
      <c r="C765" t="str">
        <f t="shared" si="160"/>
        <v>71022</v>
      </c>
      <c r="D765" t="s">
        <v>7</v>
      </c>
      <c r="E765" t="str">
        <f t="shared" si="161"/>
        <v>15</v>
      </c>
      <c r="F765">
        <v>330544</v>
      </c>
      <c r="G765">
        <v>205503</v>
      </c>
      <c r="H765">
        <v>6453</v>
      </c>
      <c r="I765" t="str">
        <f t="shared" si="162"/>
        <v>4</v>
      </c>
      <c r="J765" t="str">
        <f t="shared" si="163"/>
        <v>VLAAMS BELANG</v>
      </c>
      <c r="K765">
        <v>17598</v>
      </c>
      <c r="L765">
        <v>17322</v>
      </c>
      <c r="M765">
        <v>34920</v>
      </c>
      <c r="N765">
        <v>3</v>
      </c>
      <c r="O765" t="str">
        <f>("14")</f>
        <v>14</v>
      </c>
      <c r="P765" t="str">
        <f>("Beckers Roosmarijn")</f>
        <v>Beckers Roosmarijn</v>
      </c>
      <c r="Q765">
        <v>5336</v>
      </c>
      <c r="R765">
        <v>3</v>
      </c>
    </row>
    <row r="766" spans="1:19" x14ac:dyDescent="0.3">
      <c r="A766" t="s">
        <v>0</v>
      </c>
      <c r="B766" s="1">
        <v>45578</v>
      </c>
      <c r="C766" t="str">
        <f t="shared" si="160"/>
        <v>71022</v>
      </c>
      <c r="D766" t="s">
        <v>7</v>
      </c>
      <c r="E766" t="str">
        <f t="shared" si="161"/>
        <v>15</v>
      </c>
      <c r="F766">
        <v>330544</v>
      </c>
      <c r="G766">
        <v>205503</v>
      </c>
      <c r="H766">
        <v>6453</v>
      </c>
      <c r="I766" t="str">
        <f t="shared" si="162"/>
        <v>4</v>
      </c>
      <c r="J766" t="str">
        <f t="shared" si="163"/>
        <v>VLAAMS BELANG</v>
      </c>
      <c r="K766">
        <v>17598</v>
      </c>
      <c r="L766">
        <v>17322</v>
      </c>
      <c r="M766">
        <v>34920</v>
      </c>
      <c r="N766">
        <v>3</v>
      </c>
      <c r="O766" t="str">
        <f>("15")</f>
        <v>15</v>
      </c>
      <c r="P766" t="str">
        <f>("Janssens Chris")</f>
        <v>Janssens Chris</v>
      </c>
      <c r="Q766">
        <v>7654</v>
      </c>
      <c r="R766">
        <v>2</v>
      </c>
    </row>
    <row r="767" spans="1:19" x14ac:dyDescent="0.3">
      <c r="A767" t="s">
        <v>0</v>
      </c>
      <c r="B767" s="1">
        <v>45578</v>
      </c>
      <c r="C767" t="str">
        <f t="shared" si="160"/>
        <v>71022</v>
      </c>
      <c r="D767" t="s">
        <v>7</v>
      </c>
      <c r="E767" t="str">
        <f t="shared" si="161"/>
        <v>15</v>
      </c>
      <c r="F767">
        <v>330544</v>
      </c>
      <c r="G767">
        <v>205503</v>
      </c>
      <c r="H767">
        <v>6453</v>
      </c>
      <c r="I767" t="str">
        <f t="shared" ref="I767:I781" si="164">("5")</f>
        <v>5</v>
      </c>
      <c r="J767" t="str">
        <f t="shared" ref="J767:J781" si="165">("N-VA")</f>
        <v>N-VA</v>
      </c>
      <c r="K767">
        <v>20852</v>
      </c>
      <c r="L767">
        <v>22762</v>
      </c>
      <c r="M767">
        <v>43614</v>
      </c>
      <c r="N767">
        <v>4</v>
      </c>
      <c r="O767" t="str">
        <f>("1")</f>
        <v>1</v>
      </c>
      <c r="P767" t="str">
        <f>("Lambrechts Bert")</f>
        <v>Lambrechts Bert</v>
      </c>
      <c r="Q767">
        <v>10021</v>
      </c>
      <c r="R767">
        <v>1</v>
      </c>
    </row>
    <row r="768" spans="1:19" x14ac:dyDescent="0.3">
      <c r="A768" t="s">
        <v>0</v>
      </c>
      <c r="B768" s="1">
        <v>45578</v>
      </c>
      <c r="C768" t="str">
        <f t="shared" si="160"/>
        <v>71022</v>
      </c>
      <c r="D768" t="s">
        <v>7</v>
      </c>
      <c r="E768" t="str">
        <f t="shared" si="161"/>
        <v>15</v>
      </c>
      <c r="F768">
        <v>330544</v>
      </c>
      <c r="G768">
        <v>205503</v>
      </c>
      <c r="H768">
        <v>6453</v>
      </c>
      <c r="I768" t="str">
        <f t="shared" si="164"/>
        <v>5</v>
      </c>
      <c r="J768" t="str">
        <f t="shared" si="165"/>
        <v>N-VA</v>
      </c>
      <c r="K768">
        <v>20852</v>
      </c>
      <c r="L768">
        <v>22762</v>
      </c>
      <c r="M768">
        <v>43614</v>
      </c>
      <c r="N768">
        <v>4</v>
      </c>
      <c r="O768" t="str">
        <f>("2")</f>
        <v>2</v>
      </c>
      <c r="P768" t="str">
        <f>("De Weyer Jessie")</f>
        <v>De Weyer Jessie</v>
      </c>
      <c r="Q768">
        <v>8700</v>
      </c>
      <c r="R768">
        <v>2</v>
      </c>
    </row>
    <row r="769" spans="1:19" x14ac:dyDescent="0.3">
      <c r="A769" t="s">
        <v>0</v>
      </c>
      <c r="B769" s="1">
        <v>45578</v>
      </c>
      <c r="C769" t="str">
        <f t="shared" si="160"/>
        <v>71022</v>
      </c>
      <c r="D769" t="s">
        <v>7</v>
      </c>
      <c r="E769" t="str">
        <f t="shared" si="161"/>
        <v>15</v>
      </c>
      <c r="F769">
        <v>330544</v>
      </c>
      <c r="G769">
        <v>205503</v>
      </c>
      <c r="H769">
        <v>6453</v>
      </c>
      <c r="I769" t="str">
        <f t="shared" si="164"/>
        <v>5</v>
      </c>
      <c r="J769" t="str">
        <f t="shared" si="165"/>
        <v>N-VA</v>
      </c>
      <c r="K769">
        <v>20852</v>
      </c>
      <c r="L769">
        <v>22762</v>
      </c>
      <c r="M769">
        <v>43614</v>
      </c>
      <c r="N769">
        <v>4</v>
      </c>
      <c r="O769" t="str">
        <f>("3")</f>
        <v>3</v>
      </c>
      <c r="P769" t="str">
        <f>("Bergmans Jan")</f>
        <v>Bergmans Jan</v>
      </c>
      <c r="Q769">
        <v>5864</v>
      </c>
      <c r="R769">
        <v>4</v>
      </c>
    </row>
    <row r="770" spans="1:19" x14ac:dyDescent="0.3">
      <c r="A770" t="s">
        <v>0</v>
      </c>
      <c r="B770" s="1">
        <v>45578</v>
      </c>
      <c r="C770" t="str">
        <f t="shared" si="160"/>
        <v>71022</v>
      </c>
      <c r="D770" t="s">
        <v>7</v>
      </c>
      <c r="E770" t="str">
        <f t="shared" si="161"/>
        <v>15</v>
      </c>
      <c r="F770">
        <v>330544</v>
      </c>
      <c r="G770">
        <v>205503</v>
      </c>
      <c r="H770">
        <v>6453</v>
      </c>
      <c r="I770" t="str">
        <f t="shared" si="164"/>
        <v>5</v>
      </c>
      <c r="J770" t="str">
        <f t="shared" si="165"/>
        <v>N-VA</v>
      </c>
      <c r="K770">
        <v>20852</v>
      </c>
      <c r="L770">
        <v>22762</v>
      </c>
      <c r="M770">
        <v>43614</v>
      </c>
      <c r="N770">
        <v>4</v>
      </c>
      <c r="O770" t="str">
        <f>("4")</f>
        <v>4</v>
      </c>
      <c r="P770" t="str">
        <f>("Deltour Peter")</f>
        <v>Deltour Peter</v>
      </c>
      <c r="Q770">
        <v>4262</v>
      </c>
      <c r="S770">
        <v>5</v>
      </c>
    </row>
    <row r="771" spans="1:19" x14ac:dyDescent="0.3">
      <c r="A771" t="s">
        <v>0</v>
      </c>
      <c r="B771" s="1">
        <v>45578</v>
      </c>
      <c r="C771" t="str">
        <f t="shared" ref="C771:C802" si="166">("71022")</f>
        <v>71022</v>
      </c>
      <c r="D771" t="s">
        <v>7</v>
      </c>
      <c r="E771" t="str">
        <f t="shared" ref="E771:E802" si="167">("15")</f>
        <v>15</v>
      </c>
      <c r="F771">
        <v>330544</v>
      </c>
      <c r="G771">
        <v>205503</v>
      </c>
      <c r="H771">
        <v>6453</v>
      </c>
      <c r="I771" t="str">
        <f t="shared" si="164"/>
        <v>5</v>
      </c>
      <c r="J771" t="str">
        <f t="shared" si="165"/>
        <v>N-VA</v>
      </c>
      <c r="K771">
        <v>20852</v>
      </c>
      <c r="L771">
        <v>22762</v>
      </c>
      <c r="M771">
        <v>43614</v>
      </c>
      <c r="N771">
        <v>4</v>
      </c>
      <c r="O771" t="str">
        <f>("5")</f>
        <v>5</v>
      </c>
      <c r="P771" t="str">
        <f>("Verrees Katrien")</f>
        <v>Verrees Katrien</v>
      </c>
      <c r="Q771">
        <v>4588</v>
      </c>
      <c r="S771">
        <v>3</v>
      </c>
    </row>
    <row r="772" spans="1:19" x14ac:dyDescent="0.3">
      <c r="A772" t="s">
        <v>0</v>
      </c>
      <c r="B772" s="1">
        <v>45578</v>
      </c>
      <c r="C772" t="str">
        <f t="shared" si="166"/>
        <v>71022</v>
      </c>
      <c r="D772" t="s">
        <v>7</v>
      </c>
      <c r="E772" t="str">
        <f t="shared" si="167"/>
        <v>15</v>
      </c>
      <c r="F772">
        <v>330544</v>
      </c>
      <c r="G772">
        <v>205503</v>
      </c>
      <c r="H772">
        <v>6453</v>
      </c>
      <c r="I772" t="str">
        <f t="shared" si="164"/>
        <v>5</v>
      </c>
      <c r="J772" t="str">
        <f t="shared" si="165"/>
        <v>N-VA</v>
      </c>
      <c r="K772">
        <v>20852</v>
      </c>
      <c r="L772">
        <v>22762</v>
      </c>
      <c r="M772">
        <v>43614</v>
      </c>
      <c r="N772">
        <v>4</v>
      </c>
      <c r="O772" t="str">
        <f>("6")</f>
        <v>6</v>
      </c>
      <c r="P772" t="str">
        <f>("De Volder Diane")</f>
        <v>De Volder Diane</v>
      </c>
      <c r="Q772">
        <v>4261</v>
      </c>
      <c r="S772">
        <v>6</v>
      </c>
    </row>
    <row r="773" spans="1:19" x14ac:dyDescent="0.3">
      <c r="A773" t="s">
        <v>0</v>
      </c>
      <c r="B773" s="1">
        <v>45578</v>
      </c>
      <c r="C773" t="str">
        <f t="shared" si="166"/>
        <v>71022</v>
      </c>
      <c r="D773" t="s">
        <v>7</v>
      </c>
      <c r="E773" t="str">
        <f t="shared" si="167"/>
        <v>15</v>
      </c>
      <c r="F773">
        <v>330544</v>
      </c>
      <c r="G773">
        <v>205503</v>
      </c>
      <c r="H773">
        <v>6453</v>
      </c>
      <c r="I773" t="str">
        <f t="shared" si="164"/>
        <v>5</v>
      </c>
      <c r="J773" t="str">
        <f t="shared" si="165"/>
        <v>N-VA</v>
      </c>
      <c r="K773">
        <v>20852</v>
      </c>
      <c r="L773">
        <v>22762</v>
      </c>
      <c r="M773">
        <v>43614</v>
      </c>
      <c r="N773">
        <v>4</v>
      </c>
      <c r="O773" t="str">
        <f>("7")</f>
        <v>7</v>
      </c>
      <c r="P773" t="str">
        <f>("Kortleven Isabelle")</f>
        <v>Kortleven Isabelle</v>
      </c>
      <c r="Q773">
        <v>4580</v>
      </c>
      <c r="S773">
        <v>4</v>
      </c>
    </row>
    <row r="774" spans="1:19" x14ac:dyDescent="0.3">
      <c r="A774" t="s">
        <v>0</v>
      </c>
      <c r="B774" s="1">
        <v>45578</v>
      </c>
      <c r="C774" t="str">
        <f t="shared" si="166"/>
        <v>71022</v>
      </c>
      <c r="D774" t="s">
        <v>7</v>
      </c>
      <c r="E774" t="str">
        <f t="shared" si="167"/>
        <v>15</v>
      </c>
      <c r="F774">
        <v>330544</v>
      </c>
      <c r="G774">
        <v>205503</v>
      </c>
      <c r="H774">
        <v>6453</v>
      </c>
      <c r="I774" t="str">
        <f t="shared" si="164"/>
        <v>5</v>
      </c>
      <c r="J774" t="str">
        <f t="shared" si="165"/>
        <v>N-VA</v>
      </c>
      <c r="K774">
        <v>20852</v>
      </c>
      <c r="L774">
        <v>22762</v>
      </c>
      <c r="M774">
        <v>43614</v>
      </c>
      <c r="N774">
        <v>4</v>
      </c>
      <c r="O774" t="str">
        <f>("8")</f>
        <v>8</v>
      </c>
      <c r="P774" t="str">
        <f>("Leyssens Ann")</f>
        <v>Leyssens Ann</v>
      </c>
      <c r="Q774">
        <v>4617</v>
      </c>
      <c r="S774">
        <v>2</v>
      </c>
    </row>
    <row r="775" spans="1:19" x14ac:dyDescent="0.3">
      <c r="A775" t="s">
        <v>0</v>
      </c>
      <c r="B775" s="1">
        <v>45578</v>
      </c>
      <c r="C775" t="str">
        <f t="shared" si="166"/>
        <v>71022</v>
      </c>
      <c r="D775" t="s">
        <v>7</v>
      </c>
      <c r="E775" t="str">
        <f t="shared" si="167"/>
        <v>15</v>
      </c>
      <c r="F775">
        <v>330544</v>
      </c>
      <c r="G775">
        <v>205503</v>
      </c>
      <c r="H775">
        <v>6453</v>
      </c>
      <c r="I775" t="str">
        <f t="shared" si="164"/>
        <v>5</v>
      </c>
      <c r="J775" t="str">
        <f t="shared" si="165"/>
        <v>N-VA</v>
      </c>
      <c r="K775">
        <v>20852</v>
      </c>
      <c r="L775">
        <v>22762</v>
      </c>
      <c r="M775">
        <v>43614</v>
      </c>
      <c r="N775">
        <v>4</v>
      </c>
      <c r="O775" t="str">
        <f>("9")</f>
        <v>9</v>
      </c>
      <c r="P775" t="str">
        <f>("Maurissen Wim")</f>
        <v>Maurissen Wim</v>
      </c>
      <c r="Q775">
        <v>3517</v>
      </c>
      <c r="S775">
        <v>8</v>
      </c>
    </row>
    <row r="776" spans="1:19" x14ac:dyDescent="0.3">
      <c r="A776" t="s">
        <v>0</v>
      </c>
      <c r="B776" s="1">
        <v>45578</v>
      </c>
      <c r="C776" t="str">
        <f t="shared" si="166"/>
        <v>71022</v>
      </c>
      <c r="D776" t="s">
        <v>7</v>
      </c>
      <c r="E776" t="str">
        <f t="shared" si="167"/>
        <v>15</v>
      </c>
      <c r="F776">
        <v>330544</v>
      </c>
      <c r="G776">
        <v>205503</v>
      </c>
      <c r="H776">
        <v>6453</v>
      </c>
      <c r="I776" t="str">
        <f t="shared" si="164"/>
        <v>5</v>
      </c>
      <c r="J776" t="str">
        <f t="shared" si="165"/>
        <v>N-VA</v>
      </c>
      <c r="K776">
        <v>20852</v>
      </c>
      <c r="L776">
        <v>22762</v>
      </c>
      <c r="M776">
        <v>43614</v>
      </c>
      <c r="N776">
        <v>4</v>
      </c>
      <c r="O776" t="str">
        <f>("10")</f>
        <v>10</v>
      </c>
      <c r="P776" t="str">
        <f>("Hoeven Sabine")</f>
        <v>Hoeven Sabine</v>
      </c>
      <c r="Q776">
        <v>4104</v>
      </c>
      <c r="S776">
        <v>7</v>
      </c>
    </row>
    <row r="777" spans="1:19" x14ac:dyDescent="0.3">
      <c r="A777" t="s">
        <v>0</v>
      </c>
      <c r="B777" s="1">
        <v>45578</v>
      </c>
      <c r="C777" t="str">
        <f t="shared" si="166"/>
        <v>71022</v>
      </c>
      <c r="D777" t="s">
        <v>7</v>
      </c>
      <c r="E777" t="str">
        <f t="shared" si="167"/>
        <v>15</v>
      </c>
      <c r="F777">
        <v>330544</v>
      </c>
      <c r="G777">
        <v>205503</v>
      </c>
      <c r="H777">
        <v>6453</v>
      </c>
      <c r="I777" t="str">
        <f t="shared" si="164"/>
        <v>5</v>
      </c>
      <c r="J777" t="str">
        <f t="shared" si="165"/>
        <v>N-VA</v>
      </c>
      <c r="K777">
        <v>20852</v>
      </c>
      <c r="L777">
        <v>22762</v>
      </c>
      <c r="M777">
        <v>43614</v>
      </c>
      <c r="N777">
        <v>4</v>
      </c>
      <c r="O777" t="str">
        <f>("11")</f>
        <v>11</v>
      </c>
      <c r="P777" t="str">
        <f>("Vanderbruggen Wim")</f>
        <v>Vanderbruggen Wim</v>
      </c>
      <c r="Q777">
        <v>3430</v>
      </c>
      <c r="S777">
        <v>9</v>
      </c>
    </row>
    <row r="778" spans="1:19" x14ac:dyDescent="0.3">
      <c r="A778" t="s">
        <v>0</v>
      </c>
      <c r="B778" s="1">
        <v>45578</v>
      </c>
      <c r="C778" t="str">
        <f t="shared" si="166"/>
        <v>71022</v>
      </c>
      <c r="D778" t="s">
        <v>7</v>
      </c>
      <c r="E778" t="str">
        <f t="shared" si="167"/>
        <v>15</v>
      </c>
      <c r="F778">
        <v>330544</v>
      </c>
      <c r="G778">
        <v>205503</v>
      </c>
      <c r="H778">
        <v>6453</v>
      </c>
      <c r="I778" t="str">
        <f t="shared" si="164"/>
        <v>5</v>
      </c>
      <c r="J778" t="str">
        <f t="shared" si="165"/>
        <v>N-VA</v>
      </c>
      <c r="K778">
        <v>20852</v>
      </c>
      <c r="L778">
        <v>22762</v>
      </c>
      <c r="M778">
        <v>43614</v>
      </c>
      <c r="N778">
        <v>4</v>
      </c>
      <c r="O778" t="str">
        <f>("12")</f>
        <v>12</v>
      </c>
      <c r="P778" t="str">
        <f>("Fiten Yarne")</f>
        <v>Fiten Yarne</v>
      </c>
      <c r="Q778">
        <v>3157</v>
      </c>
      <c r="S778">
        <v>11</v>
      </c>
    </row>
    <row r="779" spans="1:19" x14ac:dyDescent="0.3">
      <c r="A779" t="s">
        <v>0</v>
      </c>
      <c r="B779" s="1">
        <v>45578</v>
      </c>
      <c r="C779" t="str">
        <f t="shared" si="166"/>
        <v>71022</v>
      </c>
      <c r="D779" t="s">
        <v>7</v>
      </c>
      <c r="E779" t="str">
        <f t="shared" si="167"/>
        <v>15</v>
      </c>
      <c r="F779">
        <v>330544</v>
      </c>
      <c r="G779">
        <v>205503</v>
      </c>
      <c r="H779">
        <v>6453</v>
      </c>
      <c r="I779" t="str">
        <f t="shared" si="164"/>
        <v>5</v>
      </c>
      <c r="J779" t="str">
        <f t="shared" si="165"/>
        <v>N-VA</v>
      </c>
      <c r="K779">
        <v>20852</v>
      </c>
      <c r="L779">
        <v>22762</v>
      </c>
      <c r="M779">
        <v>43614</v>
      </c>
      <c r="N779">
        <v>4</v>
      </c>
      <c r="O779" t="str">
        <f>("13")</f>
        <v>13</v>
      </c>
      <c r="P779" t="str">
        <f>("Peeters Ludo")</f>
        <v>Peeters Ludo</v>
      </c>
      <c r="Q779">
        <v>3290</v>
      </c>
      <c r="S779">
        <v>10</v>
      </c>
    </row>
    <row r="780" spans="1:19" x14ac:dyDescent="0.3">
      <c r="A780" t="s">
        <v>0</v>
      </c>
      <c r="B780" s="1">
        <v>45578</v>
      </c>
      <c r="C780" t="str">
        <f t="shared" si="166"/>
        <v>71022</v>
      </c>
      <c r="D780" t="s">
        <v>7</v>
      </c>
      <c r="E780" t="str">
        <f t="shared" si="167"/>
        <v>15</v>
      </c>
      <c r="F780">
        <v>330544</v>
      </c>
      <c r="G780">
        <v>205503</v>
      </c>
      <c r="H780">
        <v>6453</v>
      </c>
      <c r="I780" t="str">
        <f t="shared" si="164"/>
        <v>5</v>
      </c>
      <c r="J780" t="str">
        <f t="shared" si="165"/>
        <v>N-VA</v>
      </c>
      <c r="K780">
        <v>20852</v>
      </c>
      <c r="L780">
        <v>22762</v>
      </c>
      <c r="M780">
        <v>43614</v>
      </c>
      <c r="N780">
        <v>4</v>
      </c>
      <c r="O780" t="str">
        <f>("14")</f>
        <v>14</v>
      </c>
      <c r="P780" t="str">
        <f>("Gijbels Frieda")</f>
        <v>Gijbels Frieda</v>
      </c>
      <c r="Q780">
        <v>4637</v>
      </c>
      <c r="S780">
        <v>1</v>
      </c>
    </row>
    <row r="781" spans="1:19" x14ac:dyDescent="0.3">
      <c r="A781" t="s">
        <v>0</v>
      </c>
      <c r="B781" s="1">
        <v>45578</v>
      </c>
      <c r="C781" t="str">
        <f t="shared" si="166"/>
        <v>71022</v>
      </c>
      <c r="D781" t="s">
        <v>7</v>
      </c>
      <c r="E781" t="str">
        <f t="shared" si="167"/>
        <v>15</v>
      </c>
      <c r="F781">
        <v>330544</v>
      </c>
      <c r="G781">
        <v>205503</v>
      </c>
      <c r="H781">
        <v>6453</v>
      </c>
      <c r="I781" t="str">
        <f t="shared" si="164"/>
        <v>5</v>
      </c>
      <c r="J781" t="str">
        <f t="shared" si="165"/>
        <v>N-VA</v>
      </c>
      <c r="K781">
        <v>20852</v>
      </c>
      <c r="L781">
        <v>22762</v>
      </c>
      <c r="M781">
        <v>43614</v>
      </c>
      <c r="N781">
        <v>4</v>
      </c>
      <c r="O781" t="str">
        <f>("15")</f>
        <v>15</v>
      </c>
      <c r="P781" t="str">
        <f>("Brepoels Frieda")</f>
        <v>Brepoels Frieda</v>
      </c>
      <c r="Q781">
        <v>6356</v>
      </c>
      <c r="R781">
        <v>3</v>
      </c>
    </row>
    <row r="782" spans="1:19" x14ac:dyDescent="0.3">
      <c r="A782" t="s">
        <v>0</v>
      </c>
      <c r="B782" s="1">
        <v>45578</v>
      </c>
      <c r="C782" t="str">
        <f t="shared" si="166"/>
        <v>71022</v>
      </c>
      <c r="D782" t="s">
        <v>7</v>
      </c>
      <c r="E782" t="str">
        <f t="shared" si="167"/>
        <v>15</v>
      </c>
      <c r="F782">
        <v>330544</v>
      </c>
      <c r="G782">
        <v>205503</v>
      </c>
      <c r="H782">
        <v>6453</v>
      </c>
      <c r="I782" t="str">
        <f t="shared" ref="I782:I796" si="168">("6")</f>
        <v>6</v>
      </c>
      <c r="J782" t="str">
        <f t="shared" ref="J782:J796" si="169">("Open Vld Limburg")</f>
        <v>Open Vld Limburg</v>
      </c>
      <c r="K782">
        <v>4717</v>
      </c>
      <c r="L782">
        <v>11990</v>
      </c>
      <c r="M782">
        <v>16707</v>
      </c>
      <c r="N782">
        <v>1</v>
      </c>
      <c r="O782" t="str">
        <f>("1")</f>
        <v>1</v>
      </c>
      <c r="P782" t="str">
        <f>("Vandeput Frederick")</f>
        <v>Vandeput Frederick</v>
      </c>
      <c r="Q782">
        <v>5494</v>
      </c>
      <c r="R782">
        <v>1</v>
      </c>
    </row>
    <row r="783" spans="1:19" x14ac:dyDescent="0.3">
      <c r="A783" t="s">
        <v>0</v>
      </c>
      <c r="B783" s="1">
        <v>45578</v>
      </c>
      <c r="C783" t="str">
        <f t="shared" si="166"/>
        <v>71022</v>
      </c>
      <c r="D783" t="s">
        <v>7</v>
      </c>
      <c r="E783" t="str">
        <f t="shared" si="167"/>
        <v>15</v>
      </c>
      <c r="F783">
        <v>330544</v>
      </c>
      <c r="G783">
        <v>205503</v>
      </c>
      <c r="H783">
        <v>6453</v>
      </c>
      <c r="I783" t="str">
        <f t="shared" si="168"/>
        <v>6</v>
      </c>
      <c r="J783" t="str">
        <f t="shared" si="169"/>
        <v>Open Vld Limburg</v>
      </c>
      <c r="K783">
        <v>4717</v>
      </c>
      <c r="L783">
        <v>11990</v>
      </c>
      <c r="M783">
        <v>16707</v>
      </c>
      <c r="N783">
        <v>1</v>
      </c>
      <c r="O783" t="str">
        <f>("2")</f>
        <v>2</v>
      </c>
      <c r="P783" t="str">
        <f>("Engelen Stefanie")</f>
        <v>Engelen Stefanie</v>
      </c>
      <c r="Q783">
        <v>2623</v>
      </c>
      <c r="S783">
        <v>2</v>
      </c>
    </row>
    <row r="784" spans="1:19" x14ac:dyDescent="0.3">
      <c r="A784" t="s">
        <v>0</v>
      </c>
      <c r="B784" s="1">
        <v>45578</v>
      </c>
      <c r="C784" t="str">
        <f t="shared" si="166"/>
        <v>71022</v>
      </c>
      <c r="D784" t="s">
        <v>7</v>
      </c>
      <c r="E784" t="str">
        <f t="shared" si="167"/>
        <v>15</v>
      </c>
      <c r="F784">
        <v>330544</v>
      </c>
      <c r="G784">
        <v>205503</v>
      </c>
      <c r="H784">
        <v>6453</v>
      </c>
      <c r="I784" t="str">
        <f t="shared" si="168"/>
        <v>6</v>
      </c>
      <c r="J784" t="str">
        <f t="shared" si="169"/>
        <v>Open Vld Limburg</v>
      </c>
      <c r="K784">
        <v>4717</v>
      </c>
      <c r="L784">
        <v>11990</v>
      </c>
      <c r="M784">
        <v>16707</v>
      </c>
      <c r="N784">
        <v>1</v>
      </c>
      <c r="O784" t="str">
        <f>("3")</f>
        <v>3</v>
      </c>
      <c r="P784" t="str">
        <f>("Beckers Vincent")</f>
        <v>Beckers Vincent</v>
      </c>
      <c r="Q784">
        <v>1766</v>
      </c>
      <c r="S784">
        <v>4</v>
      </c>
    </row>
    <row r="785" spans="1:19" x14ac:dyDescent="0.3">
      <c r="A785" t="s">
        <v>0</v>
      </c>
      <c r="B785" s="1">
        <v>45578</v>
      </c>
      <c r="C785" t="str">
        <f t="shared" si="166"/>
        <v>71022</v>
      </c>
      <c r="D785" t="s">
        <v>7</v>
      </c>
      <c r="E785" t="str">
        <f t="shared" si="167"/>
        <v>15</v>
      </c>
      <c r="F785">
        <v>330544</v>
      </c>
      <c r="G785">
        <v>205503</v>
      </c>
      <c r="H785">
        <v>6453</v>
      </c>
      <c r="I785" t="str">
        <f t="shared" si="168"/>
        <v>6</v>
      </c>
      <c r="J785" t="str">
        <f t="shared" si="169"/>
        <v>Open Vld Limburg</v>
      </c>
      <c r="K785">
        <v>4717</v>
      </c>
      <c r="L785">
        <v>11990</v>
      </c>
      <c r="M785">
        <v>16707</v>
      </c>
      <c r="N785">
        <v>1</v>
      </c>
      <c r="O785" t="str">
        <f>("4")</f>
        <v>4</v>
      </c>
      <c r="P785" t="str">
        <f>("Clerinx An")</f>
        <v>Clerinx An</v>
      </c>
      <c r="Q785">
        <v>1944</v>
      </c>
      <c r="S785">
        <v>3</v>
      </c>
    </row>
    <row r="786" spans="1:19" x14ac:dyDescent="0.3">
      <c r="A786" t="s">
        <v>0</v>
      </c>
      <c r="B786" s="1">
        <v>45578</v>
      </c>
      <c r="C786" t="str">
        <f t="shared" si="166"/>
        <v>71022</v>
      </c>
      <c r="D786" t="s">
        <v>7</v>
      </c>
      <c r="E786" t="str">
        <f t="shared" si="167"/>
        <v>15</v>
      </c>
      <c r="F786">
        <v>330544</v>
      </c>
      <c r="G786">
        <v>205503</v>
      </c>
      <c r="H786">
        <v>6453</v>
      </c>
      <c r="I786" t="str">
        <f t="shared" si="168"/>
        <v>6</v>
      </c>
      <c r="J786" t="str">
        <f t="shared" si="169"/>
        <v>Open Vld Limburg</v>
      </c>
      <c r="K786">
        <v>4717</v>
      </c>
      <c r="L786">
        <v>11990</v>
      </c>
      <c r="M786">
        <v>16707</v>
      </c>
      <c r="N786">
        <v>1</v>
      </c>
      <c r="O786" t="str">
        <f>("5")</f>
        <v>5</v>
      </c>
      <c r="P786" t="str">
        <f>("Lormans Julie")</f>
        <v>Lormans Julie</v>
      </c>
      <c r="Q786">
        <v>1462</v>
      </c>
      <c r="S786">
        <v>9</v>
      </c>
    </row>
    <row r="787" spans="1:19" x14ac:dyDescent="0.3">
      <c r="A787" t="s">
        <v>0</v>
      </c>
      <c r="B787" s="1">
        <v>45578</v>
      </c>
      <c r="C787" t="str">
        <f t="shared" si="166"/>
        <v>71022</v>
      </c>
      <c r="D787" t="s">
        <v>7</v>
      </c>
      <c r="E787" t="str">
        <f t="shared" si="167"/>
        <v>15</v>
      </c>
      <c r="F787">
        <v>330544</v>
      </c>
      <c r="G787">
        <v>205503</v>
      </c>
      <c r="H787">
        <v>6453</v>
      </c>
      <c r="I787" t="str">
        <f t="shared" si="168"/>
        <v>6</v>
      </c>
      <c r="J787" t="str">
        <f t="shared" si="169"/>
        <v>Open Vld Limburg</v>
      </c>
      <c r="K787">
        <v>4717</v>
      </c>
      <c r="L787">
        <v>11990</v>
      </c>
      <c r="M787">
        <v>16707</v>
      </c>
      <c r="N787">
        <v>1</v>
      </c>
      <c r="O787" t="str">
        <f>("6")</f>
        <v>6</v>
      </c>
      <c r="P787" t="str">
        <f>("Poels Hilaire")</f>
        <v>Poels Hilaire</v>
      </c>
      <c r="Q787">
        <v>1432</v>
      </c>
      <c r="S787">
        <v>11</v>
      </c>
    </row>
    <row r="788" spans="1:19" x14ac:dyDescent="0.3">
      <c r="A788" t="s">
        <v>0</v>
      </c>
      <c r="B788" s="1">
        <v>45578</v>
      </c>
      <c r="C788" t="str">
        <f t="shared" si="166"/>
        <v>71022</v>
      </c>
      <c r="D788" t="s">
        <v>7</v>
      </c>
      <c r="E788" t="str">
        <f t="shared" si="167"/>
        <v>15</v>
      </c>
      <c r="F788">
        <v>330544</v>
      </c>
      <c r="G788">
        <v>205503</v>
      </c>
      <c r="H788">
        <v>6453</v>
      </c>
      <c r="I788" t="str">
        <f t="shared" si="168"/>
        <v>6</v>
      </c>
      <c r="J788" t="str">
        <f t="shared" si="169"/>
        <v>Open Vld Limburg</v>
      </c>
      <c r="K788">
        <v>4717</v>
      </c>
      <c r="L788">
        <v>11990</v>
      </c>
      <c r="M788">
        <v>16707</v>
      </c>
      <c r="N788">
        <v>1</v>
      </c>
      <c r="O788" t="str">
        <f>("7")</f>
        <v>7</v>
      </c>
      <c r="P788" t="str">
        <f>("Daenen Charlotte")</f>
        <v>Daenen Charlotte</v>
      </c>
      <c r="Q788">
        <v>1557</v>
      </c>
      <c r="S788">
        <v>7</v>
      </c>
    </row>
    <row r="789" spans="1:19" x14ac:dyDescent="0.3">
      <c r="A789" t="s">
        <v>0</v>
      </c>
      <c r="B789" s="1">
        <v>45578</v>
      </c>
      <c r="C789" t="str">
        <f t="shared" si="166"/>
        <v>71022</v>
      </c>
      <c r="D789" t="s">
        <v>7</v>
      </c>
      <c r="E789" t="str">
        <f t="shared" si="167"/>
        <v>15</v>
      </c>
      <c r="F789">
        <v>330544</v>
      </c>
      <c r="G789">
        <v>205503</v>
      </c>
      <c r="H789">
        <v>6453</v>
      </c>
      <c r="I789" t="str">
        <f t="shared" si="168"/>
        <v>6</v>
      </c>
      <c r="J789" t="str">
        <f t="shared" si="169"/>
        <v>Open Vld Limburg</v>
      </c>
      <c r="K789">
        <v>4717</v>
      </c>
      <c r="L789">
        <v>11990</v>
      </c>
      <c r="M789">
        <v>16707</v>
      </c>
      <c r="N789">
        <v>1</v>
      </c>
      <c r="O789" t="str">
        <f>("8")</f>
        <v>8</v>
      </c>
      <c r="P789" t="str">
        <f>("Hamelers Robbe")</f>
        <v>Hamelers Robbe</v>
      </c>
      <c r="Q789">
        <v>1009</v>
      </c>
      <c r="S789">
        <v>14</v>
      </c>
    </row>
    <row r="790" spans="1:19" x14ac:dyDescent="0.3">
      <c r="A790" t="s">
        <v>0</v>
      </c>
      <c r="B790" s="1">
        <v>45578</v>
      </c>
      <c r="C790" t="str">
        <f t="shared" si="166"/>
        <v>71022</v>
      </c>
      <c r="D790" t="s">
        <v>7</v>
      </c>
      <c r="E790" t="str">
        <f t="shared" si="167"/>
        <v>15</v>
      </c>
      <c r="F790">
        <v>330544</v>
      </c>
      <c r="G790">
        <v>205503</v>
      </c>
      <c r="H790">
        <v>6453</v>
      </c>
      <c r="I790" t="str">
        <f t="shared" si="168"/>
        <v>6</v>
      </c>
      <c r="J790" t="str">
        <f t="shared" si="169"/>
        <v>Open Vld Limburg</v>
      </c>
      <c r="K790">
        <v>4717</v>
      </c>
      <c r="L790">
        <v>11990</v>
      </c>
      <c r="M790">
        <v>16707</v>
      </c>
      <c r="N790">
        <v>1</v>
      </c>
      <c r="O790" t="str">
        <f>("9")</f>
        <v>9</v>
      </c>
      <c r="P790" t="str">
        <f>("Stockmans Jo")</f>
        <v>Stockmans Jo</v>
      </c>
      <c r="Q790">
        <v>1286</v>
      </c>
      <c r="S790">
        <v>12</v>
      </c>
    </row>
    <row r="791" spans="1:19" x14ac:dyDescent="0.3">
      <c r="A791" t="s">
        <v>0</v>
      </c>
      <c r="B791" s="1">
        <v>45578</v>
      </c>
      <c r="C791" t="str">
        <f t="shared" si="166"/>
        <v>71022</v>
      </c>
      <c r="D791" t="s">
        <v>7</v>
      </c>
      <c r="E791" t="str">
        <f t="shared" si="167"/>
        <v>15</v>
      </c>
      <c r="F791">
        <v>330544</v>
      </c>
      <c r="G791">
        <v>205503</v>
      </c>
      <c r="H791">
        <v>6453</v>
      </c>
      <c r="I791" t="str">
        <f t="shared" si="168"/>
        <v>6</v>
      </c>
      <c r="J791" t="str">
        <f t="shared" si="169"/>
        <v>Open Vld Limburg</v>
      </c>
      <c r="K791">
        <v>4717</v>
      </c>
      <c r="L791">
        <v>11990</v>
      </c>
      <c r="M791">
        <v>16707</v>
      </c>
      <c r="N791">
        <v>1</v>
      </c>
      <c r="O791" t="str">
        <f>("10")</f>
        <v>10</v>
      </c>
      <c r="P791" t="str">
        <f>("Bamps David")</f>
        <v>Bamps David</v>
      </c>
      <c r="Q791">
        <v>1668</v>
      </c>
      <c r="S791">
        <v>5</v>
      </c>
    </row>
    <row r="792" spans="1:19" x14ac:dyDescent="0.3">
      <c r="A792" t="s">
        <v>0</v>
      </c>
      <c r="B792" s="1">
        <v>45578</v>
      </c>
      <c r="C792" t="str">
        <f t="shared" si="166"/>
        <v>71022</v>
      </c>
      <c r="D792" t="s">
        <v>7</v>
      </c>
      <c r="E792" t="str">
        <f t="shared" si="167"/>
        <v>15</v>
      </c>
      <c r="F792">
        <v>330544</v>
      </c>
      <c r="G792">
        <v>205503</v>
      </c>
      <c r="H792">
        <v>6453</v>
      </c>
      <c r="I792" t="str">
        <f t="shared" si="168"/>
        <v>6</v>
      </c>
      <c r="J792" t="str">
        <f t="shared" si="169"/>
        <v>Open Vld Limburg</v>
      </c>
      <c r="K792">
        <v>4717</v>
      </c>
      <c r="L792">
        <v>11990</v>
      </c>
      <c r="M792">
        <v>16707</v>
      </c>
      <c r="N792">
        <v>1</v>
      </c>
      <c r="O792" t="str">
        <f>("11")</f>
        <v>11</v>
      </c>
      <c r="P792" t="str">
        <f>("Bodson Brigitte")</f>
        <v>Bodson Brigitte</v>
      </c>
      <c r="Q792">
        <v>1566</v>
      </c>
      <c r="S792">
        <v>6</v>
      </c>
    </row>
    <row r="793" spans="1:19" x14ac:dyDescent="0.3">
      <c r="A793" t="s">
        <v>0</v>
      </c>
      <c r="B793" s="1">
        <v>45578</v>
      </c>
      <c r="C793" t="str">
        <f t="shared" si="166"/>
        <v>71022</v>
      </c>
      <c r="D793" t="s">
        <v>7</v>
      </c>
      <c r="E793" t="str">
        <f t="shared" si="167"/>
        <v>15</v>
      </c>
      <c r="F793">
        <v>330544</v>
      </c>
      <c r="G793">
        <v>205503</v>
      </c>
      <c r="H793">
        <v>6453</v>
      </c>
      <c r="I793" t="str">
        <f t="shared" si="168"/>
        <v>6</v>
      </c>
      <c r="J793" t="str">
        <f t="shared" si="169"/>
        <v>Open Vld Limburg</v>
      </c>
      <c r="K793">
        <v>4717</v>
      </c>
      <c r="L793">
        <v>11990</v>
      </c>
      <c r="M793">
        <v>16707</v>
      </c>
      <c r="N793">
        <v>1</v>
      </c>
      <c r="O793" t="str">
        <f>("12")</f>
        <v>12</v>
      </c>
      <c r="P793" t="str">
        <f>("Bullens Anita")</f>
        <v>Bullens Anita</v>
      </c>
      <c r="Q793">
        <v>1467</v>
      </c>
      <c r="S793">
        <v>8</v>
      </c>
    </row>
    <row r="794" spans="1:19" x14ac:dyDescent="0.3">
      <c r="A794" t="s">
        <v>0</v>
      </c>
      <c r="B794" s="1">
        <v>45578</v>
      </c>
      <c r="C794" t="str">
        <f t="shared" si="166"/>
        <v>71022</v>
      </c>
      <c r="D794" t="s">
        <v>7</v>
      </c>
      <c r="E794" t="str">
        <f t="shared" si="167"/>
        <v>15</v>
      </c>
      <c r="F794">
        <v>330544</v>
      </c>
      <c r="G794">
        <v>205503</v>
      </c>
      <c r="H794">
        <v>6453</v>
      </c>
      <c r="I794" t="str">
        <f t="shared" si="168"/>
        <v>6</v>
      </c>
      <c r="J794" t="str">
        <f t="shared" si="169"/>
        <v>Open Vld Limburg</v>
      </c>
      <c r="K794">
        <v>4717</v>
      </c>
      <c r="L794">
        <v>11990</v>
      </c>
      <c r="M794">
        <v>16707</v>
      </c>
      <c r="N794">
        <v>1</v>
      </c>
      <c r="O794" t="str">
        <f>("13")</f>
        <v>13</v>
      </c>
      <c r="P794" t="str">
        <f>("Vandebergh Micheline")</f>
        <v>Vandebergh Micheline</v>
      </c>
      <c r="Q794">
        <v>1270</v>
      </c>
      <c r="S794">
        <v>13</v>
      </c>
    </row>
    <row r="795" spans="1:19" x14ac:dyDescent="0.3">
      <c r="A795" t="s">
        <v>0</v>
      </c>
      <c r="B795" s="1">
        <v>45578</v>
      </c>
      <c r="C795" t="str">
        <f t="shared" si="166"/>
        <v>71022</v>
      </c>
      <c r="D795" t="s">
        <v>7</v>
      </c>
      <c r="E795" t="str">
        <f t="shared" si="167"/>
        <v>15</v>
      </c>
      <c r="F795">
        <v>330544</v>
      </c>
      <c r="G795">
        <v>205503</v>
      </c>
      <c r="H795">
        <v>6453</v>
      </c>
      <c r="I795" t="str">
        <f t="shared" si="168"/>
        <v>6</v>
      </c>
      <c r="J795" t="str">
        <f t="shared" si="169"/>
        <v>Open Vld Limburg</v>
      </c>
      <c r="K795">
        <v>4717</v>
      </c>
      <c r="L795">
        <v>11990</v>
      </c>
      <c r="M795">
        <v>16707</v>
      </c>
      <c r="N795">
        <v>1</v>
      </c>
      <c r="O795" t="str">
        <f>("14")</f>
        <v>14</v>
      </c>
      <c r="P795" t="str">
        <f>("Delbrouck Luk")</f>
        <v>Delbrouck Luk</v>
      </c>
      <c r="Q795">
        <v>1448</v>
      </c>
      <c r="S795">
        <v>10</v>
      </c>
    </row>
    <row r="796" spans="1:19" x14ac:dyDescent="0.3">
      <c r="A796" t="s">
        <v>0</v>
      </c>
      <c r="B796" s="1">
        <v>45578</v>
      </c>
      <c r="C796" t="str">
        <f t="shared" si="166"/>
        <v>71022</v>
      </c>
      <c r="D796" t="s">
        <v>7</v>
      </c>
      <c r="E796" t="str">
        <f t="shared" si="167"/>
        <v>15</v>
      </c>
      <c r="F796">
        <v>330544</v>
      </c>
      <c r="G796">
        <v>205503</v>
      </c>
      <c r="H796">
        <v>6453</v>
      </c>
      <c r="I796" t="str">
        <f t="shared" si="168"/>
        <v>6</v>
      </c>
      <c r="J796" t="str">
        <f t="shared" si="169"/>
        <v>Open Vld Limburg</v>
      </c>
      <c r="K796">
        <v>4717</v>
      </c>
      <c r="L796">
        <v>11990</v>
      </c>
      <c r="M796">
        <v>16707</v>
      </c>
      <c r="N796">
        <v>1</v>
      </c>
      <c r="O796" t="str">
        <f>("15")</f>
        <v>15</v>
      </c>
      <c r="P796" t="str">
        <f>("Philtjens Hugo")</f>
        <v>Philtjens Hugo</v>
      </c>
      <c r="Q796">
        <v>3837</v>
      </c>
      <c r="S796">
        <v>1</v>
      </c>
    </row>
    <row r="797" spans="1:19" x14ac:dyDescent="0.3">
      <c r="A797" t="s">
        <v>0</v>
      </c>
      <c r="B797" s="1">
        <v>45578</v>
      </c>
      <c r="C797" t="str">
        <f t="shared" si="166"/>
        <v>71022</v>
      </c>
      <c r="D797" t="s">
        <v>7</v>
      </c>
      <c r="E797" t="str">
        <f t="shared" si="167"/>
        <v>15</v>
      </c>
      <c r="F797">
        <v>330544</v>
      </c>
      <c r="G797">
        <v>205503</v>
      </c>
      <c r="H797">
        <v>6453</v>
      </c>
      <c r="I797" t="str">
        <f t="shared" ref="I797:I811" si="170">("7")</f>
        <v>7</v>
      </c>
      <c r="J797" t="str">
        <f t="shared" ref="J797:J811" si="171">("GROEN")</f>
        <v>GROEN</v>
      </c>
      <c r="K797">
        <v>5867</v>
      </c>
      <c r="L797">
        <v>5827</v>
      </c>
      <c r="M797">
        <v>11694</v>
      </c>
      <c r="N797">
        <v>1</v>
      </c>
      <c r="O797" t="str">
        <f>("1")</f>
        <v>1</v>
      </c>
      <c r="P797" t="str">
        <f>("Venken Joost")</f>
        <v>Venken Joost</v>
      </c>
      <c r="Q797">
        <v>3260</v>
      </c>
      <c r="R797">
        <v>1</v>
      </c>
    </row>
    <row r="798" spans="1:19" x14ac:dyDescent="0.3">
      <c r="A798" t="s">
        <v>0</v>
      </c>
      <c r="B798" s="1">
        <v>45578</v>
      </c>
      <c r="C798" t="str">
        <f t="shared" si="166"/>
        <v>71022</v>
      </c>
      <c r="D798" t="s">
        <v>7</v>
      </c>
      <c r="E798" t="str">
        <f t="shared" si="167"/>
        <v>15</v>
      </c>
      <c r="F798">
        <v>330544</v>
      </c>
      <c r="G798">
        <v>205503</v>
      </c>
      <c r="H798">
        <v>6453</v>
      </c>
      <c r="I798" t="str">
        <f t="shared" si="170"/>
        <v>7</v>
      </c>
      <c r="J798" t="str">
        <f t="shared" si="171"/>
        <v>GROEN</v>
      </c>
      <c r="K798">
        <v>5867</v>
      </c>
      <c r="L798">
        <v>5827</v>
      </c>
      <c r="M798">
        <v>11694</v>
      </c>
      <c r="N798">
        <v>1</v>
      </c>
      <c r="O798" t="str">
        <f>("2")</f>
        <v>2</v>
      </c>
      <c r="P798" t="str">
        <f>("Moro Sonia")</f>
        <v>Moro Sonia</v>
      </c>
      <c r="Q798">
        <v>2328</v>
      </c>
      <c r="S798">
        <v>1</v>
      </c>
    </row>
    <row r="799" spans="1:19" x14ac:dyDescent="0.3">
      <c r="A799" t="s">
        <v>0</v>
      </c>
      <c r="B799" s="1">
        <v>45578</v>
      </c>
      <c r="C799" t="str">
        <f t="shared" si="166"/>
        <v>71022</v>
      </c>
      <c r="D799" t="s">
        <v>7</v>
      </c>
      <c r="E799" t="str">
        <f t="shared" si="167"/>
        <v>15</v>
      </c>
      <c r="F799">
        <v>330544</v>
      </c>
      <c r="G799">
        <v>205503</v>
      </c>
      <c r="H799">
        <v>6453</v>
      </c>
      <c r="I799" t="str">
        <f t="shared" si="170"/>
        <v>7</v>
      </c>
      <c r="J799" t="str">
        <f t="shared" si="171"/>
        <v>GROEN</v>
      </c>
      <c r="K799">
        <v>5867</v>
      </c>
      <c r="L799">
        <v>5827</v>
      </c>
      <c r="M799">
        <v>11694</v>
      </c>
      <c r="N799">
        <v>1</v>
      </c>
      <c r="O799" t="str">
        <f>("3")</f>
        <v>3</v>
      </c>
      <c r="P799" t="str">
        <f>("Muroni Francesco")</f>
        <v>Muroni Francesco</v>
      </c>
      <c r="Q799">
        <v>1322</v>
      </c>
      <c r="S799">
        <v>10</v>
      </c>
    </row>
    <row r="800" spans="1:19" x14ac:dyDescent="0.3">
      <c r="A800" t="s">
        <v>0</v>
      </c>
      <c r="B800" s="1">
        <v>45578</v>
      </c>
      <c r="C800" t="str">
        <f t="shared" si="166"/>
        <v>71022</v>
      </c>
      <c r="D800" t="s">
        <v>7</v>
      </c>
      <c r="E800" t="str">
        <f t="shared" si="167"/>
        <v>15</v>
      </c>
      <c r="F800">
        <v>330544</v>
      </c>
      <c r="G800">
        <v>205503</v>
      </c>
      <c r="H800">
        <v>6453</v>
      </c>
      <c r="I800" t="str">
        <f t="shared" si="170"/>
        <v>7</v>
      </c>
      <c r="J800" t="str">
        <f t="shared" si="171"/>
        <v>GROEN</v>
      </c>
      <c r="K800">
        <v>5867</v>
      </c>
      <c r="L800">
        <v>5827</v>
      </c>
      <c r="M800">
        <v>11694</v>
      </c>
      <c r="N800">
        <v>1</v>
      </c>
      <c r="O800" t="str">
        <f>("4")</f>
        <v>4</v>
      </c>
      <c r="P800" t="str">
        <f>("Heleven Jerica")</f>
        <v>Heleven Jerica</v>
      </c>
      <c r="Q800">
        <v>1848</v>
      </c>
      <c r="S800">
        <v>3</v>
      </c>
    </row>
    <row r="801" spans="1:19" x14ac:dyDescent="0.3">
      <c r="A801" t="s">
        <v>0</v>
      </c>
      <c r="B801" s="1">
        <v>45578</v>
      </c>
      <c r="C801" t="str">
        <f t="shared" si="166"/>
        <v>71022</v>
      </c>
      <c r="D801" t="s">
        <v>7</v>
      </c>
      <c r="E801" t="str">
        <f t="shared" si="167"/>
        <v>15</v>
      </c>
      <c r="F801">
        <v>330544</v>
      </c>
      <c r="G801">
        <v>205503</v>
      </c>
      <c r="H801">
        <v>6453</v>
      </c>
      <c r="I801" t="str">
        <f t="shared" si="170"/>
        <v>7</v>
      </c>
      <c r="J801" t="str">
        <f t="shared" si="171"/>
        <v>GROEN</v>
      </c>
      <c r="K801">
        <v>5867</v>
      </c>
      <c r="L801">
        <v>5827</v>
      </c>
      <c r="M801">
        <v>11694</v>
      </c>
      <c r="N801">
        <v>1</v>
      </c>
      <c r="O801" t="str">
        <f>("5")</f>
        <v>5</v>
      </c>
      <c r="P801" t="str">
        <f>("Balcer Daniel")</f>
        <v>Balcer Daniel</v>
      </c>
      <c r="Q801">
        <v>1165</v>
      </c>
      <c r="S801">
        <v>13</v>
      </c>
    </row>
    <row r="802" spans="1:19" x14ac:dyDescent="0.3">
      <c r="A802" t="s">
        <v>0</v>
      </c>
      <c r="B802" s="1">
        <v>45578</v>
      </c>
      <c r="C802" t="str">
        <f t="shared" si="166"/>
        <v>71022</v>
      </c>
      <c r="D802" t="s">
        <v>7</v>
      </c>
      <c r="E802" t="str">
        <f t="shared" si="167"/>
        <v>15</v>
      </c>
      <c r="F802">
        <v>330544</v>
      </c>
      <c r="G802">
        <v>205503</v>
      </c>
      <c r="H802">
        <v>6453</v>
      </c>
      <c r="I802" t="str">
        <f t="shared" si="170"/>
        <v>7</v>
      </c>
      <c r="J802" t="str">
        <f t="shared" si="171"/>
        <v>GROEN</v>
      </c>
      <c r="K802">
        <v>5867</v>
      </c>
      <c r="L802">
        <v>5827</v>
      </c>
      <c r="M802">
        <v>11694</v>
      </c>
      <c r="N802">
        <v>1</v>
      </c>
      <c r="O802" t="str">
        <f>("6")</f>
        <v>6</v>
      </c>
      <c r="P802" t="str">
        <f>("Van Deynse Tess")</f>
        <v>Van Deynse Tess</v>
      </c>
      <c r="Q802">
        <v>1691</v>
      </c>
      <c r="S802">
        <v>5</v>
      </c>
    </row>
    <row r="803" spans="1:19" x14ac:dyDescent="0.3">
      <c r="A803" t="s">
        <v>0</v>
      </c>
      <c r="B803" s="1">
        <v>45578</v>
      </c>
      <c r="C803" t="str">
        <f t="shared" ref="C803:C834" si="172">("71022")</f>
        <v>71022</v>
      </c>
      <c r="D803" t="s">
        <v>7</v>
      </c>
      <c r="E803" t="str">
        <f t="shared" ref="E803:E834" si="173">("15")</f>
        <v>15</v>
      </c>
      <c r="F803">
        <v>330544</v>
      </c>
      <c r="G803">
        <v>205503</v>
      </c>
      <c r="H803">
        <v>6453</v>
      </c>
      <c r="I803" t="str">
        <f t="shared" si="170"/>
        <v>7</v>
      </c>
      <c r="J803" t="str">
        <f t="shared" si="171"/>
        <v>GROEN</v>
      </c>
      <c r="K803">
        <v>5867</v>
      </c>
      <c r="L803">
        <v>5827</v>
      </c>
      <c r="M803">
        <v>11694</v>
      </c>
      <c r="N803">
        <v>1</v>
      </c>
      <c r="O803" t="str">
        <f>("7")</f>
        <v>7</v>
      </c>
      <c r="P803" t="str">
        <f>("Diraä Souliman")</f>
        <v>Diraä Souliman</v>
      </c>
      <c r="Q803">
        <v>1419</v>
      </c>
      <c r="S803">
        <v>9</v>
      </c>
    </row>
    <row r="804" spans="1:19" x14ac:dyDescent="0.3">
      <c r="A804" t="s">
        <v>0</v>
      </c>
      <c r="B804" s="1">
        <v>45578</v>
      </c>
      <c r="C804" t="str">
        <f t="shared" si="172"/>
        <v>71022</v>
      </c>
      <c r="D804" t="s">
        <v>7</v>
      </c>
      <c r="E804" t="str">
        <f t="shared" si="173"/>
        <v>15</v>
      </c>
      <c r="F804">
        <v>330544</v>
      </c>
      <c r="G804">
        <v>205503</v>
      </c>
      <c r="H804">
        <v>6453</v>
      </c>
      <c r="I804" t="str">
        <f t="shared" si="170"/>
        <v>7</v>
      </c>
      <c r="J804" t="str">
        <f t="shared" si="171"/>
        <v>GROEN</v>
      </c>
      <c r="K804">
        <v>5867</v>
      </c>
      <c r="L804">
        <v>5827</v>
      </c>
      <c r="M804">
        <v>11694</v>
      </c>
      <c r="N804">
        <v>1</v>
      </c>
      <c r="O804" t="str">
        <f>("8")</f>
        <v>8</v>
      </c>
      <c r="P804" t="str">
        <f>("Makarieva Elena")</f>
        <v>Makarieva Elena</v>
      </c>
      <c r="Q804">
        <v>1611</v>
      </c>
      <c r="S804">
        <v>6</v>
      </c>
    </row>
    <row r="805" spans="1:19" x14ac:dyDescent="0.3">
      <c r="A805" t="s">
        <v>0</v>
      </c>
      <c r="B805" s="1">
        <v>45578</v>
      </c>
      <c r="C805" t="str">
        <f t="shared" si="172"/>
        <v>71022</v>
      </c>
      <c r="D805" t="s">
        <v>7</v>
      </c>
      <c r="E805" t="str">
        <f t="shared" si="173"/>
        <v>15</v>
      </c>
      <c r="F805">
        <v>330544</v>
      </c>
      <c r="G805">
        <v>205503</v>
      </c>
      <c r="H805">
        <v>6453</v>
      </c>
      <c r="I805" t="str">
        <f t="shared" si="170"/>
        <v>7</v>
      </c>
      <c r="J805" t="str">
        <f t="shared" si="171"/>
        <v>GROEN</v>
      </c>
      <c r="K805">
        <v>5867</v>
      </c>
      <c r="L805">
        <v>5827</v>
      </c>
      <c r="M805">
        <v>11694</v>
      </c>
      <c r="N805">
        <v>1</v>
      </c>
      <c r="O805" t="str">
        <f>("9")</f>
        <v>9</v>
      </c>
      <c r="P805" t="str">
        <f>("Vandormael Karel-Jan")</f>
        <v>Vandormael Karel-Jan</v>
      </c>
      <c r="Q805">
        <v>1290</v>
      </c>
      <c r="S805">
        <v>11</v>
      </c>
    </row>
    <row r="806" spans="1:19" x14ac:dyDescent="0.3">
      <c r="A806" t="s">
        <v>0</v>
      </c>
      <c r="B806" s="1">
        <v>45578</v>
      </c>
      <c r="C806" t="str">
        <f t="shared" si="172"/>
        <v>71022</v>
      </c>
      <c r="D806" t="s">
        <v>7</v>
      </c>
      <c r="E806" t="str">
        <f t="shared" si="173"/>
        <v>15</v>
      </c>
      <c r="F806">
        <v>330544</v>
      </c>
      <c r="G806">
        <v>205503</v>
      </c>
      <c r="H806">
        <v>6453</v>
      </c>
      <c r="I806" t="str">
        <f t="shared" si="170"/>
        <v>7</v>
      </c>
      <c r="J806" t="str">
        <f t="shared" si="171"/>
        <v>GROEN</v>
      </c>
      <c r="K806">
        <v>5867</v>
      </c>
      <c r="L806">
        <v>5827</v>
      </c>
      <c r="M806">
        <v>11694</v>
      </c>
      <c r="N806">
        <v>1</v>
      </c>
      <c r="O806" t="str">
        <f>("10")</f>
        <v>10</v>
      </c>
      <c r="P806" t="str">
        <f>("Maes Sandra")</f>
        <v>Maes Sandra</v>
      </c>
      <c r="Q806">
        <v>1747</v>
      </c>
      <c r="S806">
        <v>4</v>
      </c>
    </row>
    <row r="807" spans="1:19" x14ac:dyDescent="0.3">
      <c r="A807" t="s">
        <v>0</v>
      </c>
      <c r="B807" s="1">
        <v>45578</v>
      </c>
      <c r="C807" t="str">
        <f t="shared" si="172"/>
        <v>71022</v>
      </c>
      <c r="D807" t="s">
        <v>7</v>
      </c>
      <c r="E807" t="str">
        <f t="shared" si="173"/>
        <v>15</v>
      </c>
      <c r="F807">
        <v>330544</v>
      </c>
      <c r="G807">
        <v>205503</v>
      </c>
      <c r="H807">
        <v>6453</v>
      </c>
      <c r="I807" t="str">
        <f t="shared" si="170"/>
        <v>7</v>
      </c>
      <c r="J807" t="str">
        <f t="shared" si="171"/>
        <v>GROEN</v>
      </c>
      <c r="K807">
        <v>5867</v>
      </c>
      <c r="L807">
        <v>5827</v>
      </c>
      <c r="M807">
        <v>11694</v>
      </c>
      <c r="N807">
        <v>1</v>
      </c>
      <c r="O807" t="str">
        <f>("11")</f>
        <v>11</v>
      </c>
      <c r="P807" t="str">
        <f>("Sagir Fermudiye")</f>
        <v>Sagir Fermudiye</v>
      </c>
      <c r="Q807">
        <v>1190</v>
      </c>
      <c r="S807">
        <v>12</v>
      </c>
    </row>
    <row r="808" spans="1:19" x14ac:dyDescent="0.3">
      <c r="A808" t="s">
        <v>0</v>
      </c>
      <c r="B808" s="1">
        <v>45578</v>
      </c>
      <c r="C808" t="str">
        <f t="shared" si="172"/>
        <v>71022</v>
      </c>
      <c r="D808" t="s">
        <v>7</v>
      </c>
      <c r="E808" t="str">
        <f t="shared" si="173"/>
        <v>15</v>
      </c>
      <c r="F808">
        <v>330544</v>
      </c>
      <c r="G808">
        <v>205503</v>
      </c>
      <c r="H808">
        <v>6453</v>
      </c>
      <c r="I808" t="str">
        <f t="shared" si="170"/>
        <v>7</v>
      </c>
      <c r="J808" t="str">
        <f t="shared" si="171"/>
        <v>GROEN</v>
      </c>
      <c r="K808">
        <v>5867</v>
      </c>
      <c r="L808">
        <v>5827</v>
      </c>
      <c r="M808">
        <v>11694</v>
      </c>
      <c r="N808">
        <v>1</v>
      </c>
      <c r="O808" t="str">
        <f>("12")</f>
        <v>12</v>
      </c>
      <c r="P808" t="str">
        <f>("Bosmans Machteld")</f>
        <v>Bosmans Machteld</v>
      </c>
      <c r="Q808">
        <v>1537</v>
      </c>
      <c r="S808">
        <v>7</v>
      </c>
    </row>
    <row r="809" spans="1:19" x14ac:dyDescent="0.3">
      <c r="A809" t="s">
        <v>0</v>
      </c>
      <c r="B809" s="1">
        <v>45578</v>
      </c>
      <c r="C809" t="str">
        <f t="shared" si="172"/>
        <v>71022</v>
      </c>
      <c r="D809" t="s">
        <v>7</v>
      </c>
      <c r="E809" t="str">
        <f t="shared" si="173"/>
        <v>15</v>
      </c>
      <c r="F809">
        <v>330544</v>
      </c>
      <c r="G809">
        <v>205503</v>
      </c>
      <c r="H809">
        <v>6453</v>
      </c>
      <c r="I809" t="str">
        <f t="shared" si="170"/>
        <v>7</v>
      </c>
      <c r="J809" t="str">
        <f t="shared" si="171"/>
        <v>GROEN</v>
      </c>
      <c r="K809">
        <v>5867</v>
      </c>
      <c r="L809">
        <v>5827</v>
      </c>
      <c r="M809">
        <v>11694</v>
      </c>
      <c r="N809">
        <v>1</v>
      </c>
      <c r="O809" t="str">
        <f>("13")</f>
        <v>13</v>
      </c>
      <c r="P809" t="str">
        <f>("Aendekerk Michiel")</f>
        <v>Aendekerk Michiel</v>
      </c>
      <c r="Q809">
        <v>1148</v>
      </c>
      <c r="S809">
        <v>14</v>
      </c>
    </row>
    <row r="810" spans="1:19" x14ac:dyDescent="0.3">
      <c r="A810" t="s">
        <v>0</v>
      </c>
      <c r="B810" s="1">
        <v>45578</v>
      </c>
      <c r="C810" t="str">
        <f t="shared" si="172"/>
        <v>71022</v>
      </c>
      <c r="D810" t="s">
        <v>7</v>
      </c>
      <c r="E810" t="str">
        <f t="shared" si="173"/>
        <v>15</v>
      </c>
      <c r="F810">
        <v>330544</v>
      </c>
      <c r="G810">
        <v>205503</v>
      </c>
      <c r="H810">
        <v>6453</v>
      </c>
      <c r="I810" t="str">
        <f t="shared" si="170"/>
        <v>7</v>
      </c>
      <c r="J810" t="str">
        <f t="shared" si="171"/>
        <v>GROEN</v>
      </c>
      <c r="K810">
        <v>5867</v>
      </c>
      <c r="L810">
        <v>5827</v>
      </c>
      <c r="M810">
        <v>11694</v>
      </c>
      <c r="N810">
        <v>1</v>
      </c>
      <c r="O810" t="str">
        <f>("14")</f>
        <v>14</v>
      </c>
      <c r="P810" t="str">
        <f>("Davidts Tilly")</f>
        <v>Davidts Tilly</v>
      </c>
      <c r="Q810">
        <v>1515</v>
      </c>
      <c r="S810">
        <v>8</v>
      </c>
    </row>
    <row r="811" spans="1:19" x14ac:dyDescent="0.3">
      <c r="A811" t="s">
        <v>0</v>
      </c>
      <c r="B811" s="1">
        <v>45578</v>
      </c>
      <c r="C811" t="str">
        <f t="shared" si="172"/>
        <v>71022</v>
      </c>
      <c r="D811" t="s">
        <v>7</v>
      </c>
      <c r="E811" t="str">
        <f t="shared" si="173"/>
        <v>15</v>
      </c>
      <c r="F811">
        <v>330544</v>
      </c>
      <c r="G811">
        <v>205503</v>
      </c>
      <c r="H811">
        <v>6453</v>
      </c>
      <c r="I811" t="str">
        <f t="shared" si="170"/>
        <v>7</v>
      </c>
      <c r="J811" t="str">
        <f t="shared" si="171"/>
        <v>GROEN</v>
      </c>
      <c r="K811">
        <v>5867</v>
      </c>
      <c r="L811">
        <v>5827</v>
      </c>
      <c r="M811">
        <v>11694</v>
      </c>
      <c r="N811">
        <v>1</v>
      </c>
      <c r="O811" t="str">
        <f>("15")</f>
        <v>15</v>
      </c>
      <c r="P811" t="str">
        <f>("Adiyia Bright")</f>
        <v>Adiyia Bright</v>
      </c>
      <c r="Q811">
        <v>2173</v>
      </c>
      <c r="S811">
        <v>2</v>
      </c>
    </row>
    <row r="812" spans="1:19" x14ac:dyDescent="0.3">
      <c r="A812" t="s">
        <v>0</v>
      </c>
      <c r="B812" s="1">
        <v>45578</v>
      </c>
      <c r="C812" t="str">
        <f t="shared" si="172"/>
        <v>71022</v>
      </c>
      <c r="D812" t="s">
        <v>7</v>
      </c>
      <c r="E812" t="str">
        <f t="shared" si="173"/>
        <v>15</v>
      </c>
      <c r="F812">
        <v>330544</v>
      </c>
      <c r="G812">
        <v>205503</v>
      </c>
      <c r="H812">
        <v>6453</v>
      </c>
      <c r="I812" t="str">
        <f t="shared" ref="I812:I826" si="174">("8")</f>
        <v>8</v>
      </c>
      <c r="J812" t="str">
        <f t="shared" ref="J812:J826" si="175">("BBB")</f>
        <v>BBB</v>
      </c>
      <c r="K812">
        <v>303</v>
      </c>
      <c r="L812">
        <v>286</v>
      </c>
      <c r="M812">
        <v>589</v>
      </c>
      <c r="N812">
        <v>0</v>
      </c>
      <c r="O812" t="str">
        <f>("1")</f>
        <v>1</v>
      </c>
      <c r="P812" t="str">
        <f>("Antonissen Michel")</f>
        <v>Antonissen Michel</v>
      </c>
      <c r="Q812">
        <v>116</v>
      </c>
    </row>
    <row r="813" spans="1:19" x14ac:dyDescent="0.3">
      <c r="A813" t="s">
        <v>0</v>
      </c>
      <c r="B813" s="1">
        <v>45578</v>
      </c>
      <c r="C813" t="str">
        <f t="shared" si="172"/>
        <v>71022</v>
      </c>
      <c r="D813" t="s">
        <v>7</v>
      </c>
      <c r="E813" t="str">
        <f t="shared" si="173"/>
        <v>15</v>
      </c>
      <c r="F813">
        <v>330544</v>
      </c>
      <c r="G813">
        <v>205503</v>
      </c>
      <c r="H813">
        <v>6453</v>
      </c>
      <c r="I813" t="str">
        <f t="shared" si="174"/>
        <v>8</v>
      </c>
      <c r="J813" t="str">
        <f t="shared" si="175"/>
        <v>BBB</v>
      </c>
      <c r="K813">
        <v>303</v>
      </c>
      <c r="L813">
        <v>286</v>
      </c>
      <c r="M813">
        <v>589</v>
      </c>
      <c r="N813">
        <v>0</v>
      </c>
      <c r="O813" t="str">
        <f>("2")</f>
        <v>2</v>
      </c>
      <c r="P813" t="str">
        <f>("Vandormael Viviane")</f>
        <v>Vandormael Viviane</v>
      </c>
      <c r="Q813">
        <v>106</v>
      </c>
    </row>
    <row r="814" spans="1:19" x14ac:dyDescent="0.3">
      <c r="A814" t="s">
        <v>0</v>
      </c>
      <c r="B814" s="1">
        <v>45578</v>
      </c>
      <c r="C814" t="str">
        <f t="shared" si="172"/>
        <v>71022</v>
      </c>
      <c r="D814" t="s">
        <v>7</v>
      </c>
      <c r="E814" t="str">
        <f t="shared" si="173"/>
        <v>15</v>
      </c>
      <c r="F814">
        <v>330544</v>
      </c>
      <c r="G814">
        <v>205503</v>
      </c>
      <c r="H814">
        <v>6453</v>
      </c>
      <c r="I814" t="str">
        <f t="shared" si="174"/>
        <v>8</v>
      </c>
      <c r="J814" t="str">
        <f t="shared" si="175"/>
        <v>BBB</v>
      </c>
      <c r="K814">
        <v>303</v>
      </c>
      <c r="L814">
        <v>286</v>
      </c>
      <c r="M814">
        <v>589</v>
      </c>
      <c r="N814">
        <v>0</v>
      </c>
      <c r="O814" t="str">
        <f>("3")</f>
        <v>3</v>
      </c>
      <c r="P814" t="str">
        <f>("Geys Ronny")</f>
        <v>Geys Ronny</v>
      </c>
      <c r="Q814">
        <v>74</v>
      </c>
    </row>
    <row r="815" spans="1:19" x14ac:dyDescent="0.3">
      <c r="A815" t="s">
        <v>0</v>
      </c>
      <c r="B815" s="1">
        <v>45578</v>
      </c>
      <c r="C815" t="str">
        <f t="shared" si="172"/>
        <v>71022</v>
      </c>
      <c r="D815" t="s">
        <v>7</v>
      </c>
      <c r="E815" t="str">
        <f t="shared" si="173"/>
        <v>15</v>
      </c>
      <c r="F815">
        <v>330544</v>
      </c>
      <c r="G815">
        <v>205503</v>
      </c>
      <c r="H815">
        <v>6453</v>
      </c>
      <c r="I815" t="str">
        <f t="shared" si="174"/>
        <v>8</v>
      </c>
      <c r="J815" t="str">
        <f t="shared" si="175"/>
        <v>BBB</v>
      </c>
      <c r="K815">
        <v>303</v>
      </c>
      <c r="L815">
        <v>286</v>
      </c>
      <c r="M815">
        <v>589</v>
      </c>
      <c r="N815">
        <v>0</v>
      </c>
      <c r="O815" t="str">
        <f>("4")</f>
        <v>4</v>
      </c>
      <c r="P815" t="str">
        <f>("Vanderlocht Inge")</f>
        <v>Vanderlocht Inge</v>
      </c>
      <c r="Q815">
        <v>85</v>
      </c>
    </row>
    <row r="816" spans="1:19" x14ac:dyDescent="0.3">
      <c r="A816" t="s">
        <v>0</v>
      </c>
      <c r="B816" s="1">
        <v>45578</v>
      </c>
      <c r="C816" t="str">
        <f t="shared" si="172"/>
        <v>71022</v>
      </c>
      <c r="D816" t="s">
        <v>7</v>
      </c>
      <c r="E816" t="str">
        <f t="shared" si="173"/>
        <v>15</v>
      </c>
      <c r="F816">
        <v>330544</v>
      </c>
      <c r="G816">
        <v>205503</v>
      </c>
      <c r="H816">
        <v>6453</v>
      </c>
      <c r="I816" t="str">
        <f t="shared" si="174"/>
        <v>8</v>
      </c>
      <c r="J816" t="str">
        <f t="shared" si="175"/>
        <v>BBB</v>
      </c>
      <c r="K816">
        <v>303</v>
      </c>
      <c r="L816">
        <v>286</v>
      </c>
      <c r="M816">
        <v>589</v>
      </c>
      <c r="N816">
        <v>0</v>
      </c>
      <c r="O816" t="str">
        <f>("5")</f>
        <v>5</v>
      </c>
      <c r="P816" t="str">
        <f>("Vantempel Carlo")</f>
        <v>Vantempel Carlo</v>
      </c>
      <c r="Q816">
        <v>77</v>
      </c>
    </row>
    <row r="817" spans="1:17" x14ac:dyDescent="0.3">
      <c r="A817" t="s">
        <v>0</v>
      </c>
      <c r="B817" s="1">
        <v>45578</v>
      </c>
      <c r="C817" t="str">
        <f t="shared" si="172"/>
        <v>71022</v>
      </c>
      <c r="D817" t="s">
        <v>7</v>
      </c>
      <c r="E817" t="str">
        <f t="shared" si="173"/>
        <v>15</v>
      </c>
      <c r="F817">
        <v>330544</v>
      </c>
      <c r="G817">
        <v>205503</v>
      </c>
      <c r="H817">
        <v>6453</v>
      </c>
      <c r="I817" t="str">
        <f t="shared" si="174"/>
        <v>8</v>
      </c>
      <c r="J817" t="str">
        <f t="shared" si="175"/>
        <v>BBB</v>
      </c>
      <c r="K817">
        <v>303</v>
      </c>
      <c r="L817">
        <v>286</v>
      </c>
      <c r="M817">
        <v>589</v>
      </c>
      <c r="N817">
        <v>0</v>
      </c>
      <c r="O817" t="str">
        <f>("6")</f>
        <v>6</v>
      </c>
      <c r="P817" t="str">
        <f>("Cremmerye Diane")</f>
        <v>Cremmerye Diane</v>
      </c>
      <c r="Q817">
        <v>81</v>
      </c>
    </row>
    <row r="818" spans="1:17" x14ac:dyDescent="0.3">
      <c r="A818" t="s">
        <v>0</v>
      </c>
      <c r="B818" s="1">
        <v>45578</v>
      </c>
      <c r="C818" t="str">
        <f t="shared" si="172"/>
        <v>71022</v>
      </c>
      <c r="D818" t="s">
        <v>7</v>
      </c>
      <c r="E818" t="str">
        <f t="shared" si="173"/>
        <v>15</v>
      </c>
      <c r="F818">
        <v>330544</v>
      </c>
      <c r="G818">
        <v>205503</v>
      </c>
      <c r="H818">
        <v>6453</v>
      </c>
      <c r="I818" t="str">
        <f t="shared" si="174"/>
        <v>8</v>
      </c>
      <c r="J818" t="str">
        <f t="shared" si="175"/>
        <v>BBB</v>
      </c>
      <c r="K818">
        <v>303</v>
      </c>
      <c r="L818">
        <v>286</v>
      </c>
      <c r="M818">
        <v>589</v>
      </c>
      <c r="N818">
        <v>0</v>
      </c>
      <c r="O818" t="str">
        <f>("7")</f>
        <v>7</v>
      </c>
      <c r="P818" t="str">
        <f>("Vandebosch Ellen")</f>
        <v>Vandebosch Ellen</v>
      </c>
      <c r="Q818">
        <v>82</v>
      </c>
    </row>
    <row r="819" spans="1:17" x14ac:dyDescent="0.3">
      <c r="A819" t="s">
        <v>0</v>
      </c>
      <c r="B819" s="1">
        <v>45578</v>
      </c>
      <c r="C819" t="str">
        <f t="shared" si="172"/>
        <v>71022</v>
      </c>
      <c r="D819" t="s">
        <v>7</v>
      </c>
      <c r="E819" t="str">
        <f t="shared" si="173"/>
        <v>15</v>
      </c>
      <c r="F819">
        <v>330544</v>
      </c>
      <c r="G819">
        <v>205503</v>
      </c>
      <c r="H819">
        <v>6453</v>
      </c>
      <c r="I819" t="str">
        <f t="shared" si="174"/>
        <v>8</v>
      </c>
      <c r="J819" t="str">
        <f t="shared" si="175"/>
        <v>BBB</v>
      </c>
      <c r="K819">
        <v>303</v>
      </c>
      <c r="L819">
        <v>286</v>
      </c>
      <c r="M819">
        <v>589</v>
      </c>
      <c r="N819">
        <v>0</v>
      </c>
      <c r="O819" t="str">
        <f>("8")</f>
        <v>8</v>
      </c>
      <c r="P819" t="str">
        <f>("Schelders Stefaan")</f>
        <v>Schelders Stefaan</v>
      </c>
      <c r="Q819">
        <v>98</v>
      </c>
    </row>
    <row r="820" spans="1:17" x14ac:dyDescent="0.3">
      <c r="A820" t="s">
        <v>0</v>
      </c>
      <c r="B820" s="1">
        <v>45578</v>
      </c>
      <c r="C820" t="str">
        <f t="shared" si="172"/>
        <v>71022</v>
      </c>
      <c r="D820" t="s">
        <v>7</v>
      </c>
      <c r="E820" t="str">
        <f t="shared" si="173"/>
        <v>15</v>
      </c>
      <c r="F820">
        <v>330544</v>
      </c>
      <c r="G820">
        <v>205503</v>
      </c>
      <c r="H820">
        <v>6453</v>
      </c>
      <c r="I820" t="str">
        <f t="shared" si="174"/>
        <v>8</v>
      </c>
      <c r="J820" t="str">
        <f t="shared" si="175"/>
        <v>BBB</v>
      </c>
      <c r="K820">
        <v>303</v>
      </c>
      <c r="L820">
        <v>286</v>
      </c>
      <c r="M820">
        <v>589</v>
      </c>
      <c r="N820">
        <v>0</v>
      </c>
      <c r="O820" t="str">
        <f>("9")</f>
        <v>9</v>
      </c>
      <c r="P820" t="str">
        <f>("Cuppens Christel")</f>
        <v>Cuppens Christel</v>
      </c>
      <c r="Q820">
        <v>83</v>
      </c>
    </row>
    <row r="821" spans="1:17" x14ac:dyDescent="0.3">
      <c r="A821" t="s">
        <v>0</v>
      </c>
      <c r="B821" s="1">
        <v>45578</v>
      </c>
      <c r="C821" t="str">
        <f t="shared" si="172"/>
        <v>71022</v>
      </c>
      <c r="D821" t="s">
        <v>7</v>
      </c>
      <c r="E821" t="str">
        <f t="shared" si="173"/>
        <v>15</v>
      </c>
      <c r="F821">
        <v>330544</v>
      </c>
      <c r="G821">
        <v>205503</v>
      </c>
      <c r="H821">
        <v>6453</v>
      </c>
      <c r="I821" t="str">
        <f t="shared" si="174"/>
        <v>8</v>
      </c>
      <c r="J821" t="str">
        <f t="shared" si="175"/>
        <v>BBB</v>
      </c>
      <c r="K821">
        <v>303</v>
      </c>
      <c r="L821">
        <v>286</v>
      </c>
      <c r="M821">
        <v>589</v>
      </c>
      <c r="N821">
        <v>0</v>
      </c>
      <c r="O821" t="str">
        <f>("10")</f>
        <v>10</v>
      </c>
      <c r="P821" t="str">
        <f>("Van Gaal J P")</f>
        <v>Van Gaal J P</v>
      </c>
      <c r="Q821">
        <v>67</v>
      </c>
    </row>
    <row r="822" spans="1:17" x14ac:dyDescent="0.3">
      <c r="A822" t="s">
        <v>0</v>
      </c>
      <c r="B822" s="1">
        <v>45578</v>
      </c>
      <c r="C822" t="str">
        <f t="shared" si="172"/>
        <v>71022</v>
      </c>
      <c r="D822" t="s">
        <v>7</v>
      </c>
      <c r="E822" t="str">
        <f t="shared" si="173"/>
        <v>15</v>
      </c>
      <c r="F822">
        <v>330544</v>
      </c>
      <c r="G822">
        <v>205503</v>
      </c>
      <c r="H822">
        <v>6453</v>
      </c>
      <c r="I822" t="str">
        <f t="shared" si="174"/>
        <v>8</v>
      </c>
      <c r="J822" t="str">
        <f t="shared" si="175"/>
        <v>BBB</v>
      </c>
      <c r="K822">
        <v>303</v>
      </c>
      <c r="L822">
        <v>286</v>
      </c>
      <c r="M822">
        <v>589</v>
      </c>
      <c r="N822">
        <v>0</v>
      </c>
      <c r="O822" t="str">
        <f>("11")</f>
        <v>11</v>
      </c>
      <c r="P822" t="str">
        <f>("Segers Willy")</f>
        <v>Segers Willy</v>
      </c>
      <c r="Q822">
        <v>74</v>
      </c>
    </row>
    <row r="823" spans="1:17" x14ac:dyDescent="0.3">
      <c r="A823" t="s">
        <v>0</v>
      </c>
      <c r="B823" s="1">
        <v>45578</v>
      </c>
      <c r="C823" t="str">
        <f t="shared" si="172"/>
        <v>71022</v>
      </c>
      <c r="D823" t="s">
        <v>7</v>
      </c>
      <c r="E823" t="str">
        <f t="shared" si="173"/>
        <v>15</v>
      </c>
      <c r="F823">
        <v>330544</v>
      </c>
      <c r="G823">
        <v>205503</v>
      </c>
      <c r="H823">
        <v>6453</v>
      </c>
      <c r="I823" t="str">
        <f t="shared" si="174"/>
        <v>8</v>
      </c>
      <c r="J823" t="str">
        <f t="shared" si="175"/>
        <v>BBB</v>
      </c>
      <c r="K823">
        <v>303</v>
      </c>
      <c r="L823">
        <v>286</v>
      </c>
      <c r="M823">
        <v>589</v>
      </c>
      <c r="N823">
        <v>0</v>
      </c>
      <c r="O823" t="str">
        <f>("12")</f>
        <v>12</v>
      </c>
      <c r="P823" t="str">
        <f>("Bosmans Stefanie")</f>
        <v>Bosmans Stefanie</v>
      </c>
      <c r="Q823">
        <v>86</v>
      </c>
    </row>
    <row r="824" spans="1:17" x14ac:dyDescent="0.3">
      <c r="A824" t="s">
        <v>0</v>
      </c>
      <c r="B824" s="1">
        <v>45578</v>
      </c>
      <c r="C824" t="str">
        <f t="shared" si="172"/>
        <v>71022</v>
      </c>
      <c r="D824" t="s">
        <v>7</v>
      </c>
      <c r="E824" t="str">
        <f t="shared" si="173"/>
        <v>15</v>
      </c>
      <c r="F824">
        <v>330544</v>
      </c>
      <c r="G824">
        <v>205503</v>
      </c>
      <c r="H824">
        <v>6453</v>
      </c>
      <c r="I824" t="str">
        <f t="shared" si="174"/>
        <v>8</v>
      </c>
      <c r="J824" t="str">
        <f t="shared" si="175"/>
        <v>BBB</v>
      </c>
      <c r="K824">
        <v>303</v>
      </c>
      <c r="L824">
        <v>286</v>
      </c>
      <c r="M824">
        <v>589</v>
      </c>
      <c r="N824">
        <v>0</v>
      </c>
      <c r="O824" t="str">
        <f>("13")</f>
        <v>13</v>
      </c>
      <c r="P824" t="str">
        <f>("Vanderhulst Joris")</f>
        <v>Vanderhulst Joris</v>
      </c>
      <c r="Q824">
        <v>71</v>
      </c>
    </row>
    <row r="825" spans="1:17" x14ac:dyDescent="0.3">
      <c r="A825" t="s">
        <v>0</v>
      </c>
      <c r="B825" s="1">
        <v>45578</v>
      </c>
      <c r="C825" t="str">
        <f t="shared" si="172"/>
        <v>71022</v>
      </c>
      <c r="D825" t="s">
        <v>7</v>
      </c>
      <c r="E825" t="str">
        <f t="shared" si="173"/>
        <v>15</v>
      </c>
      <c r="F825">
        <v>330544</v>
      </c>
      <c r="G825">
        <v>205503</v>
      </c>
      <c r="H825">
        <v>6453</v>
      </c>
      <c r="I825" t="str">
        <f t="shared" si="174"/>
        <v>8</v>
      </c>
      <c r="J825" t="str">
        <f t="shared" si="175"/>
        <v>BBB</v>
      </c>
      <c r="K825">
        <v>303</v>
      </c>
      <c r="L825">
        <v>286</v>
      </c>
      <c r="M825">
        <v>589</v>
      </c>
      <c r="N825">
        <v>0</v>
      </c>
      <c r="O825" t="str">
        <f>("14")</f>
        <v>14</v>
      </c>
      <c r="P825" t="str">
        <f>("Vertongen Mieke")</f>
        <v>Vertongen Mieke</v>
      </c>
      <c r="Q825">
        <v>84</v>
      </c>
    </row>
    <row r="826" spans="1:17" x14ac:dyDescent="0.3">
      <c r="A826" t="s">
        <v>0</v>
      </c>
      <c r="B826" s="1">
        <v>45578</v>
      </c>
      <c r="C826" t="str">
        <f t="shared" si="172"/>
        <v>71022</v>
      </c>
      <c r="D826" t="s">
        <v>7</v>
      </c>
      <c r="E826" t="str">
        <f t="shared" si="173"/>
        <v>15</v>
      </c>
      <c r="F826">
        <v>330544</v>
      </c>
      <c r="G826">
        <v>205503</v>
      </c>
      <c r="H826">
        <v>6453</v>
      </c>
      <c r="I826" t="str">
        <f t="shared" si="174"/>
        <v>8</v>
      </c>
      <c r="J826" t="str">
        <f t="shared" si="175"/>
        <v>BBB</v>
      </c>
      <c r="K826">
        <v>303</v>
      </c>
      <c r="L826">
        <v>286</v>
      </c>
      <c r="M826">
        <v>589</v>
      </c>
      <c r="N826">
        <v>0</v>
      </c>
      <c r="O826" t="str">
        <f>("15")</f>
        <v>15</v>
      </c>
      <c r="P826" t="str">
        <f>("Simons Johan")</f>
        <v>Simons Johan</v>
      </c>
      <c r="Q826">
        <v>82</v>
      </c>
    </row>
    <row r="827" spans="1:17" x14ac:dyDescent="0.3">
      <c r="A827" t="s">
        <v>0</v>
      </c>
      <c r="B827" s="1">
        <v>45578</v>
      </c>
      <c r="C827" t="str">
        <f t="shared" si="172"/>
        <v>71022</v>
      </c>
      <c r="D827" t="s">
        <v>7</v>
      </c>
      <c r="E827" t="str">
        <f t="shared" si="173"/>
        <v>15</v>
      </c>
      <c r="F827">
        <v>330544</v>
      </c>
      <c r="G827">
        <v>205503</v>
      </c>
      <c r="H827">
        <v>6453</v>
      </c>
      <c r="I827" t="str">
        <f t="shared" ref="I827:I841" si="176">("9")</f>
        <v>9</v>
      </c>
      <c r="J827" t="str">
        <f t="shared" ref="J827:J841" si="177">("Limburg Anders")</f>
        <v>Limburg Anders</v>
      </c>
      <c r="K827">
        <v>461</v>
      </c>
      <c r="L827">
        <v>527</v>
      </c>
      <c r="M827">
        <v>988</v>
      </c>
      <c r="N827">
        <v>0</v>
      </c>
      <c r="O827" t="str">
        <f>("1")</f>
        <v>1</v>
      </c>
      <c r="P827" t="str">
        <f>("Vonckers Rebecca")</f>
        <v>Vonckers Rebecca</v>
      </c>
      <c r="Q827">
        <v>232</v>
      </c>
    </row>
    <row r="828" spans="1:17" x14ac:dyDescent="0.3">
      <c r="A828" t="s">
        <v>0</v>
      </c>
      <c r="B828" s="1">
        <v>45578</v>
      </c>
      <c r="C828" t="str">
        <f t="shared" si="172"/>
        <v>71022</v>
      </c>
      <c r="D828" t="s">
        <v>7</v>
      </c>
      <c r="E828" t="str">
        <f t="shared" si="173"/>
        <v>15</v>
      </c>
      <c r="F828">
        <v>330544</v>
      </c>
      <c r="G828">
        <v>205503</v>
      </c>
      <c r="H828">
        <v>6453</v>
      </c>
      <c r="I828" t="str">
        <f t="shared" si="176"/>
        <v>9</v>
      </c>
      <c r="J828" t="str">
        <f t="shared" si="177"/>
        <v>Limburg Anders</v>
      </c>
      <c r="K828">
        <v>461</v>
      </c>
      <c r="L828">
        <v>527</v>
      </c>
      <c r="M828">
        <v>988</v>
      </c>
      <c r="N828">
        <v>0</v>
      </c>
      <c r="O828" t="str">
        <f>("2")</f>
        <v>2</v>
      </c>
      <c r="P828" t="str">
        <f>("Wenmeekers Jimmy")</f>
        <v>Wenmeekers Jimmy</v>
      </c>
      <c r="Q828">
        <v>76</v>
      </c>
    </row>
    <row r="829" spans="1:17" x14ac:dyDescent="0.3">
      <c r="A829" t="s">
        <v>0</v>
      </c>
      <c r="B829" s="1">
        <v>45578</v>
      </c>
      <c r="C829" t="str">
        <f t="shared" si="172"/>
        <v>71022</v>
      </c>
      <c r="D829" t="s">
        <v>7</v>
      </c>
      <c r="E829" t="str">
        <f t="shared" si="173"/>
        <v>15</v>
      </c>
      <c r="F829">
        <v>330544</v>
      </c>
      <c r="G829">
        <v>205503</v>
      </c>
      <c r="H829">
        <v>6453</v>
      </c>
      <c r="I829" t="str">
        <f t="shared" si="176"/>
        <v>9</v>
      </c>
      <c r="J829" t="str">
        <f t="shared" si="177"/>
        <v>Limburg Anders</v>
      </c>
      <c r="K829">
        <v>461</v>
      </c>
      <c r="L829">
        <v>527</v>
      </c>
      <c r="M829">
        <v>988</v>
      </c>
      <c r="N829">
        <v>0</v>
      </c>
      <c r="O829" t="str">
        <f>("3")</f>
        <v>3</v>
      </c>
      <c r="P829" t="str">
        <f>("Spiga Lucia")</f>
        <v>Spiga Lucia</v>
      </c>
      <c r="Q829">
        <v>67</v>
      </c>
    </row>
    <row r="830" spans="1:17" x14ac:dyDescent="0.3">
      <c r="A830" t="s">
        <v>0</v>
      </c>
      <c r="B830" s="1">
        <v>45578</v>
      </c>
      <c r="C830" t="str">
        <f t="shared" si="172"/>
        <v>71022</v>
      </c>
      <c r="D830" t="s">
        <v>7</v>
      </c>
      <c r="E830" t="str">
        <f t="shared" si="173"/>
        <v>15</v>
      </c>
      <c r="F830">
        <v>330544</v>
      </c>
      <c r="G830">
        <v>205503</v>
      </c>
      <c r="H830">
        <v>6453</v>
      </c>
      <c r="I830" t="str">
        <f t="shared" si="176"/>
        <v>9</v>
      </c>
      <c r="J830" t="str">
        <f t="shared" si="177"/>
        <v>Limburg Anders</v>
      </c>
      <c r="K830">
        <v>461</v>
      </c>
      <c r="L830">
        <v>527</v>
      </c>
      <c r="M830">
        <v>988</v>
      </c>
      <c r="N830">
        <v>0</v>
      </c>
      <c r="O830" t="str">
        <f>("4")</f>
        <v>4</v>
      </c>
      <c r="P830" t="str">
        <f>("Eggers Jonathan")</f>
        <v>Eggers Jonathan</v>
      </c>
      <c r="Q830">
        <v>52</v>
      </c>
    </row>
    <row r="831" spans="1:17" x14ac:dyDescent="0.3">
      <c r="A831" t="s">
        <v>0</v>
      </c>
      <c r="B831" s="1">
        <v>45578</v>
      </c>
      <c r="C831" t="str">
        <f t="shared" si="172"/>
        <v>71022</v>
      </c>
      <c r="D831" t="s">
        <v>7</v>
      </c>
      <c r="E831" t="str">
        <f t="shared" si="173"/>
        <v>15</v>
      </c>
      <c r="F831">
        <v>330544</v>
      </c>
      <c r="G831">
        <v>205503</v>
      </c>
      <c r="H831">
        <v>6453</v>
      </c>
      <c r="I831" t="str">
        <f t="shared" si="176"/>
        <v>9</v>
      </c>
      <c r="J831" t="str">
        <f t="shared" si="177"/>
        <v>Limburg Anders</v>
      </c>
      <c r="K831">
        <v>461</v>
      </c>
      <c r="L831">
        <v>527</v>
      </c>
      <c r="M831">
        <v>988</v>
      </c>
      <c r="N831">
        <v>0</v>
      </c>
      <c r="O831" t="str">
        <f>("5")</f>
        <v>5</v>
      </c>
      <c r="P831" t="str">
        <f>("Schellen Malin")</f>
        <v>Schellen Malin</v>
      </c>
      <c r="Q831">
        <v>40</v>
      </c>
    </row>
    <row r="832" spans="1:17" x14ac:dyDescent="0.3">
      <c r="A832" t="s">
        <v>0</v>
      </c>
      <c r="B832" s="1">
        <v>45578</v>
      </c>
      <c r="C832" t="str">
        <f t="shared" si="172"/>
        <v>71022</v>
      </c>
      <c r="D832" t="s">
        <v>7</v>
      </c>
      <c r="E832" t="str">
        <f t="shared" si="173"/>
        <v>15</v>
      </c>
      <c r="F832">
        <v>330544</v>
      </c>
      <c r="G832">
        <v>205503</v>
      </c>
      <c r="H832">
        <v>6453</v>
      </c>
      <c r="I832" t="str">
        <f t="shared" si="176"/>
        <v>9</v>
      </c>
      <c r="J832" t="str">
        <f t="shared" si="177"/>
        <v>Limburg Anders</v>
      </c>
      <c r="K832">
        <v>461</v>
      </c>
      <c r="L832">
        <v>527</v>
      </c>
      <c r="M832">
        <v>988</v>
      </c>
      <c r="N832">
        <v>0</v>
      </c>
      <c r="O832" t="str">
        <f>("6")</f>
        <v>6</v>
      </c>
      <c r="P832" t="str">
        <f>("Krotosik David")</f>
        <v>Krotosik David</v>
      </c>
      <c r="Q832">
        <v>43</v>
      </c>
    </row>
    <row r="833" spans="1:17" x14ac:dyDescent="0.3">
      <c r="A833" t="s">
        <v>0</v>
      </c>
      <c r="B833" s="1">
        <v>45578</v>
      </c>
      <c r="C833" t="str">
        <f t="shared" si="172"/>
        <v>71022</v>
      </c>
      <c r="D833" t="s">
        <v>7</v>
      </c>
      <c r="E833" t="str">
        <f t="shared" si="173"/>
        <v>15</v>
      </c>
      <c r="F833">
        <v>330544</v>
      </c>
      <c r="G833">
        <v>205503</v>
      </c>
      <c r="H833">
        <v>6453</v>
      </c>
      <c r="I833" t="str">
        <f t="shared" si="176"/>
        <v>9</v>
      </c>
      <c r="J833" t="str">
        <f t="shared" si="177"/>
        <v>Limburg Anders</v>
      </c>
      <c r="K833">
        <v>461</v>
      </c>
      <c r="L833">
        <v>527</v>
      </c>
      <c r="M833">
        <v>988</v>
      </c>
      <c r="N833">
        <v>0</v>
      </c>
      <c r="O833" t="str">
        <f>("7")</f>
        <v>7</v>
      </c>
      <c r="P833" t="str">
        <f>("Cesar Louise")</f>
        <v>Cesar Louise</v>
      </c>
      <c r="Q833">
        <v>61</v>
      </c>
    </row>
    <row r="834" spans="1:17" x14ac:dyDescent="0.3">
      <c r="A834" t="s">
        <v>0</v>
      </c>
      <c r="B834" s="1">
        <v>45578</v>
      </c>
      <c r="C834" t="str">
        <f t="shared" si="172"/>
        <v>71022</v>
      </c>
      <c r="D834" t="s">
        <v>7</v>
      </c>
      <c r="E834" t="str">
        <f t="shared" si="173"/>
        <v>15</v>
      </c>
      <c r="F834">
        <v>330544</v>
      </c>
      <c r="G834">
        <v>205503</v>
      </c>
      <c r="H834">
        <v>6453</v>
      </c>
      <c r="I834" t="str">
        <f t="shared" si="176"/>
        <v>9</v>
      </c>
      <c r="J834" t="str">
        <f t="shared" si="177"/>
        <v>Limburg Anders</v>
      </c>
      <c r="K834">
        <v>461</v>
      </c>
      <c r="L834">
        <v>527</v>
      </c>
      <c r="M834">
        <v>988</v>
      </c>
      <c r="N834">
        <v>0</v>
      </c>
      <c r="O834" t="str">
        <f>("8")</f>
        <v>8</v>
      </c>
      <c r="P834" t="str">
        <f>("Aresu Severino")</f>
        <v>Aresu Severino</v>
      </c>
      <c r="Q834">
        <v>46</v>
      </c>
    </row>
    <row r="835" spans="1:17" x14ac:dyDescent="0.3">
      <c r="A835" t="s">
        <v>0</v>
      </c>
      <c r="B835" s="1">
        <v>45578</v>
      </c>
      <c r="C835" t="str">
        <f t="shared" ref="C835:C853" si="178">("71022")</f>
        <v>71022</v>
      </c>
      <c r="D835" t="s">
        <v>7</v>
      </c>
      <c r="E835" t="str">
        <f t="shared" ref="E835:E853" si="179">("15")</f>
        <v>15</v>
      </c>
      <c r="F835">
        <v>330544</v>
      </c>
      <c r="G835">
        <v>205503</v>
      </c>
      <c r="H835">
        <v>6453</v>
      </c>
      <c r="I835" t="str">
        <f t="shared" si="176"/>
        <v>9</v>
      </c>
      <c r="J835" t="str">
        <f t="shared" si="177"/>
        <v>Limburg Anders</v>
      </c>
      <c r="K835">
        <v>461</v>
      </c>
      <c r="L835">
        <v>527</v>
      </c>
      <c r="M835">
        <v>988</v>
      </c>
      <c r="N835">
        <v>0</v>
      </c>
      <c r="O835" t="str">
        <f>("9")</f>
        <v>9</v>
      </c>
      <c r="P835" t="str">
        <f>("Laser Bianca")</f>
        <v>Laser Bianca</v>
      </c>
      <c r="Q835">
        <v>57</v>
      </c>
    </row>
    <row r="836" spans="1:17" x14ac:dyDescent="0.3">
      <c r="A836" t="s">
        <v>0</v>
      </c>
      <c r="B836" s="1">
        <v>45578</v>
      </c>
      <c r="C836" t="str">
        <f t="shared" si="178"/>
        <v>71022</v>
      </c>
      <c r="D836" t="s">
        <v>7</v>
      </c>
      <c r="E836" t="str">
        <f t="shared" si="179"/>
        <v>15</v>
      </c>
      <c r="F836">
        <v>330544</v>
      </c>
      <c r="G836">
        <v>205503</v>
      </c>
      <c r="H836">
        <v>6453</v>
      </c>
      <c r="I836" t="str">
        <f t="shared" si="176"/>
        <v>9</v>
      </c>
      <c r="J836" t="str">
        <f t="shared" si="177"/>
        <v>Limburg Anders</v>
      </c>
      <c r="K836">
        <v>461</v>
      </c>
      <c r="L836">
        <v>527</v>
      </c>
      <c r="M836">
        <v>988</v>
      </c>
      <c r="N836">
        <v>0</v>
      </c>
      <c r="O836" t="str">
        <f>("10")</f>
        <v>10</v>
      </c>
      <c r="P836" t="str">
        <f>("Lenaers Jan")</f>
        <v>Lenaers Jan</v>
      </c>
      <c r="Q836">
        <v>59</v>
      </c>
    </row>
    <row r="837" spans="1:17" x14ac:dyDescent="0.3">
      <c r="A837" t="s">
        <v>0</v>
      </c>
      <c r="B837" s="1">
        <v>45578</v>
      </c>
      <c r="C837" t="str">
        <f t="shared" si="178"/>
        <v>71022</v>
      </c>
      <c r="D837" t="s">
        <v>7</v>
      </c>
      <c r="E837" t="str">
        <f t="shared" si="179"/>
        <v>15</v>
      </c>
      <c r="F837">
        <v>330544</v>
      </c>
      <c r="G837">
        <v>205503</v>
      </c>
      <c r="H837">
        <v>6453</v>
      </c>
      <c r="I837" t="str">
        <f t="shared" si="176"/>
        <v>9</v>
      </c>
      <c r="J837" t="str">
        <f t="shared" si="177"/>
        <v>Limburg Anders</v>
      </c>
      <c r="K837">
        <v>461</v>
      </c>
      <c r="L837">
        <v>527</v>
      </c>
      <c r="M837">
        <v>988</v>
      </c>
      <c r="N837">
        <v>0</v>
      </c>
      <c r="O837" t="str">
        <f>("11")</f>
        <v>11</v>
      </c>
      <c r="P837" t="str">
        <f>("Dops Tamara")</f>
        <v>Dops Tamara</v>
      </c>
      <c r="Q837">
        <v>77</v>
      </c>
    </row>
    <row r="838" spans="1:17" x14ac:dyDescent="0.3">
      <c r="A838" t="s">
        <v>0</v>
      </c>
      <c r="B838" s="1">
        <v>45578</v>
      </c>
      <c r="C838" t="str">
        <f t="shared" si="178"/>
        <v>71022</v>
      </c>
      <c r="D838" t="s">
        <v>7</v>
      </c>
      <c r="E838" t="str">
        <f t="shared" si="179"/>
        <v>15</v>
      </c>
      <c r="F838">
        <v>330544</v>
      </c>
      <c r="G838">
        <v>205503</v>
      </c>
      <c r="H838">
        <v>6453</v>
      </c>
      <c r="I838" t="str">
        <f t="shared" si="176"/>
        <v>9</v>
      </c>
      <c r="J838" t="str">
        <f t="shared" si="177"/>
        <v>Limburg Anders</v>
      </c>
      <c r="K838">
        <v>461</v>
      </c>
      <c r="L838">
        <v>527</v>
      </c>
      <c r="M838">
        <v>988</v>
      </c>
      <c r="N838">
        <v>0</v>
      </c>
      <c r="O838" t="str">
        <f>("12")</f>
        <v>12</v>
      </c>
      <c r="P838" t="str">
        <f>("Meloni Mario")</f>
        <v>Meloni Mario</v>
      </c>
      <c r="Q838">
        <v>54</v>
      </c>
    </row>
    <row r="839" spans="1:17" x14ac:dyDescent="0.3">
      <c r="A839" t="s">
        <v>0</v>
      </c>
      <c r="B839" s="1">
        <v>45578</v>
      </c>
      <c r="C839" t="str">
        <f t="shared" si="178"/>
        <v>71022</v>
      </c>
      <c r="D839" t="s">
        <v>7</v>
      </c>
      <c r="E839" t="str">
        <f t="shared" si="179"/>
        <v>15</v>
      </c>
      <c r="F839">
        <v>330544</v>
      </c>
      <c r="G839">
        <v>205503</v>
      </c>
      <c r="H839">
        <v>6453</v>
      </c>
      <c r="I839" t="str">
        <f t="shared" si="176"/>
        <v>9</v>
      </c>
      <c r="J839" t="str">
        <f t="shared" si="177"/>
        <v>Limburg Anders</v>
      </c>
      <c r="K839">
        <v>461</v>
      </c>
      <c r="L839">
        <v>527</v>
      </c>
      <c r="M839">
        <v>988</v>
      </c>
      <c r="N839">
        <v>0</v>
      </c>
      <c r="O839" t="str">
        <f>("13")</f>
        <v>13</v>
      </c>
      <c r="P839" t="str">
        <f>("Vanloffelt Gerda")</f>
        <v>Vanloffelt Gerda</v>
      </c>
      <c r="Q839">
        <v>88</v>
      </c>
    </row>
    <row r="840" spans="1:17" x14ac:dyDescent="0.3">
      <c r="A840" t="s">
        <v>0</v>
      </c>
      <c r="B840" s="1">
        <v>45578</v>
      </c>
      <c r="C840" t="str">
        <f t="shared" si="178"/>
        <v>71022</v>
      </c>
      <c r="D840" t="s">
        <v>7</v>
      </c>
      <c r="E840" t="str">
        <f t="shared" si="179"/>
        <v>15</v>
      </c>
      <c r="F840">
        <v>330544</v>
      </c>
      <c r="G840">
        <v>205503</v>
      </c>
      <c r="H840">
        <v>6453</v>
      </c>
      <c r="I840" t="str">
        <f t="shared" si="176"/>
        <v>9</v>
      </c>
      <c r="J840" t="str">
        <f t="shared" si="177"/>
        <v>Limburg Anders</v>
      </c>
      <c r="K840">
        <v>461</v>
      </c>
      <c r="L840">
        <v>527</v>
      </c>
      <c r="M840">
        <v>988</v>
      </c>
      <c r="N840">
        <v>0</v>
      </c>
      <c r="O840" t="str">
        <f>("14")</f>
        <v>14</v>
      </c>
      <c r="P840" t="str">
        <f>("Keijaerts Remy")</f>
        <v>Keijaerts Remy</v>
      </c>
      <c r="Q840">
        <v>51</v>
      </c>
    </row>
    <row r="841" spans="1:17" x14ac:dyDescent="0.3">
      <c r="A841" t="s">
        <v>0</v>
      </c>
      <c r="B841" s="1">
        <v>45578</v>
      </c>
      <c r="C841" t="str">
        <f t="shared" si="178"/>
        <v>71022</v>
      </c>
      <c r="D841" t="s">
        <v>7</v>
      </c>
      <c r="E841" t="str">
        <f t="shared" si="179"/>
        <v>15</v>
      </c>
      <c r="F841">
        <v>330544</v>
      </c>
      <c r="G841">
        <v>205503</v>
      </c>
      <c r="H841">
        <v>6453</v>
      </c>
      <c r="I841" t="str">
        <f t="shared" si="176"/>
        <v>9</v>
      </c>
      <c r="J841" t="str">
        <f t="shared" si="177"/>
        <v>Limburg Anders</v>
      </c>
      <c r="K841">
        <v>461</v>
      </c>
      <c r="L841">
        <v>527</v>
      </c>
      <c r="M841">
        <v>988</v>
      </c>
      <c r="N841">
        <v>0</v>
      </c>
      <c r="O841" t="str">
        <f>("15")</f>
        <v>15</v>
      </c>
      <c r="P841" t="str">
        <f>("Spiga Lara")</f>
        <v>Spiga Lara</v>
      </c>
      <c r="Q841">
        <v>111</v>
      </c>
    </row>
    <row r="842" spans="1:17" x14ac:dyDescent="0.3">
      <c r="A842" t="s">
        <v>0</v>
      </c>
      <c r="B842" s="1">
        <v>45578</v>
      </c>
      <c r="C842" t="str">
        <f t="shared" si="178"/>
        <v>71022</v>
      </c>
      <c r="D842" t="s">
        <v>7</v>
      </c>
      <c r="E842" t="str">
        <f t="shared" si="179"/>
        <v>15</v>
      </c>
      <c r="F842">
        <v>330544</v>
      </c>
      <c r="G842">
        <v>205503</v>
      </c>
      <c r="H842">
        <v>6453</v>
      </c>
      <c r="I842" t="str">
        <f>("10")</f>
        <v>10</v>
      </c>
      <c r="J842" t="str">
        <f>("Volt")</f>
        <v>Volt</v>
      </c>
      <c r="K842">
        <v>146</v>
      </c>
      <c r="L842">
        <v>235</v>
      </c>
      <c r="M842">
        <v>381</v>
      </c>
      <c r="N842">
        <v>0</v>
      </c>
      <c r="O842" t="str">
        <f>("1")</f>
        <v>1</v>
      </c>
      <c r="P842" t="str">
        <f>("Vandormael Erik")</f>
        <v>Vandormael Erik</v>
      </c>
      <c r="Q842">
        <v>235</v>
      </c>
    </row>
    <row r="843" spans="1:17" x14ac:dyDescent="0.3">
      <c r="A843" t="s">
        <v>0</v>
      </c>
      <c r="B843" s="1">
        <v>45578</v>
      </c>
      <c r="C843" t="str">
        <f t="shared" si="178"/>
        <v>71022</v>
      </c>
      <c r="D843" t="s">
        <v>7</v>
      </c>
      <c r="E843" t="str">
        <f t="shared" si="179"/>
        <v>15</v>
      </c>
      <c r="F843">
        <v>330544</v>
      </c>
      <c r="G843">
        <v>205503</v>
      </c>
      <c r="H843">
        <v>6453</v>
      </c>
      <c r="I843" t="str">
        <f t="shared" ref="I843:I850" si="180">("11")</f>
        <v>11</v>
      </c>
      <c r="J843" t="str">
        <f t="shared" ref="J843:J850" si="181">("Interactief Beringen")</f>
        <v>Interactief Beringen</v>
      </c>
      <c r="K843">
        <v>45</v>
      </c>
      <c r="L843">
        <v>468</v>
      </c>
      <c r="M843">
        <v>513</v>
      </c>
      <c r="N843">
        <v>0</v>
      </c>
      <c r="O843" t="str">
        <f>("1")</f>
        <v>1</v>
      </c>
      <c r="P843" t="str">
        <f>("Ayaz Kenan")</f>
        <v>Ayaz Kenan</v>
      </c>
      <c r="Q843">
        <v>330</v>
      </c>
    </row>
    <row r="844" spans="1:17" x14ac:dyDescent="0.3">
      <c r="A844" t="s">
        <v>0</v>
      </c>
      <c r="B844" s="1">
        <v>45578</v>
      </c>
      <c r="C844" t="str">
        <f t="shared" si="178"/>
        <v>71022</v>
      </c>
      <c r="D844" t="s">
        <v>7</v>
      </c>
      <c r="E844" t="str">
        <f t="shared" si="179"/>
        <v>15</v>
      </c>
      <c r="F844">
        <v>330544</v>
      </c>
      <c r="G844">
        <v>205503</v>
      </c>
      <c r="H844">
        <v>6453</v>
      </c>
      <c r="I844" t="str">
        <f t="shared" si="180"/>
        <v>11</v>
      </c>
      <c r="J844" t="str">
        <f t="shared" si="181"/>
        <v>Interactief Beringen</v>
      </c>
      <c r="K844">
        <v>45</v>
      </c>
      <c r="L844">
        <v>468</v>
      </c>
      <c r="M844">
        <v>513</v>
      </c>
      <c r="N844">
        <v>0</v>
      </c>
      <c r="O844" t="str">
        <f>("2")</f>
        <v>2</v>
      </c>
      <c r="P844" t="str">
        <f>("Sahin Suzan")</f>
        <v>Sahin Suzan</v>
      </c>
      <c r="Q844">
        <v>120</v>
      </c>
    </row>
    <row r="845" spans="1:17" x14ac:dyDescent="0.3">
      <c r="A845" t="s">
        <v>0</v>
      </c>
      <c r="B845" s="1">
        <v>45578</v>
      </c>
      <c r="C845" t="str">
        <f t="shared" si="178"/>
        <v>71022</v>
      </c>
      <c r="D845" t="s">
        <v>7</v>
      </c>
      <c r="E845" t="str">
        <f t="shared" si="179"/>
        <v>15</v>
      </c>
      <c r="F845">
        <v>330544</v>
      </c>
      <c r="G845">
        <v>205503</v>
      </c>
      <c r="H845">
        <v>6453</v>
      </c>
      <c r="I845" t="str">
        <f t="shared" si="180"/>
        <v>11</v>
      </c>
      <c r="J845" t="str">
        <f t="shared" si="181"/>
        <v>Interactief Beringen</v>
      </c>
      <c r="K845">
        <v>45</v>
      </c>
      <c r="L845">
        <v>468</v>
      </c>
      <c r="M845">
        <v>513</v>
      </c>
      <c r="N845">
        <v>0</v>
      </c>
      <c r="O845" t="str">
        <f>("3")</f>
        <v>3</v>
      </c>
      <c r="P845" t="str">
        <f>("Yildirim Zafer")</f>
        <v>Yildirim Zafer</v>
      </c>
      <c r="Q845">
        <v>299</v>
      </c>
    </row>
    <row r="846" spans="1:17" x14ac:dyDescent="0.3">
      <c r="A846" t="s">
        <v>0</v>
      </c>
      <c r="B846" s="1">
        <v>45578</v>
      </c>
      <c r="C846" t="str">
        <f t="shared" si="178"/>
        <v>71022</v>
      </c>
      <c r="D846" t="s">
        <v>7</v>
      </c>
      <c r="E846" t="str">
        <f t="shared" si="179"/>
        <v>15</v>
      </c>
      <c r="F846">
        <v>330544</v>
      </c>
      <c r="G846">
        <v>205503</v>
      </c>
      <c r="H846">
        <v>6453</v>
      </c>
      <c r="I846" t="str">
        <f t="shared" si="180"/>
        <v>11</v>
      </c>
      <c r="J846" t="str">
        <f t="shared" si="181"/>
        <v>Interactief Beringen</v>
      </c>
      <c r="K846">
        <v>45</v>
      </c>
      <c r="L846">
        <v>468</v>
      </c>
      <c r="M846">
        <v>513</v>
      </c>
      <c r="N846">
        <v>0</v>
      </c>
      <c r="O846" t="str">
        <f>("4")</f>
        <v>4</v>
      </c>
      <c r="P846" t="str">
        <f>("Ayaz Imran")</f>
        <v>Ayaz Imran</v>
      </c>
      <c r="Q846">
        <v>113</v>
      </c>
    </row>
    <row r="847" spans="1:17" x14ac:dyDescent="0.3">
      <c r="A847" t="s">
        <v>0</v>
      </c>
      <c r="B847" s="1">
        <v>45578</v>
      </c>
      <c r="C847" t="str">
        <f t="shared" si="178"/>
        <v>71022</v>
      </c>
      <c r="D847" t="s">
        <v>7</v>
      </c>
      <c r="E847" t="str">
        <f t="shared" si="179"/>
        <v>15</v>
      </c>
      <c r="F847">
        <v>330544</v>
      </c>
      <c r="G847">
        <v>205503</v>
      </c>
      <c r="H847">
        <v>6453</v>
      </c>
      <c r="I847" t="str">
        <f t="shared" si="180"/>
        <v>11</v>
      </c>
      <c r="J847" t="str">
        <f t="shared" si="181"/>
        <v>Interactief Beringen</v>
      </c>
      <c r="K847">
        <v>45</v>
      </c>
      <c r="L847">
        <v>468</v>
      </c>
      <c r="M847">
        <v>513</v>
      </c>
      <c r="N847">
        <v>0</v>
      </c>
      <c r="O847" t="str">
        <f>("5")</f>
        <v>5</v>
      </c>
      <c r="P847" t="str">
        <f>("Mavili Muhammer")</f>
        <v>Mavili Muhammer</v>
      </c>
      <c r="Q847">
        <v>123</v>
      </c>
    </row>
    <row r="848" spans="1:17" x14ac:dyDescent="0.3">
      <c r="A848" t="s">
        <v>0</v>
      </c>
      <c r="B848" s="1">
        <v>45578</v>
      </c>
      <c r="C848" t="str">
        <f t="shared" si="178"/>
        <v>71022</v>
      </c>
      <c r="D848" t="s">
        <v>7</v>
      </c>
      <c r="E848" t="str">
        <f t="shared" si="179"/>
        <v>15</v>
      </c>
      <c r="F848">
        <v>330544</v>
      </c>
      <c r="G848">
        <v>205503</v>
      </c>
      <c r="H848">
        <v>6453</v>
      </c>
      <c r="I848" t="str">
        <f t="shared" si="180"/>
        <v>11</v>
      </c>
      <c r="J848" t="str">
        <f t="shared" si="181"/>
        <v>Interactief Beringen</v>
      </c>
      <c r="K848">
        <v>45</v>
      </c>
      <c r="L848">
        <v>468</v>
      </c>
      <c r="M848">
        <v>513</v>
      </c>
      <c r="N848">
        <v>0</v>
      </c>
      <c r="O848" t="str">
        <f>("6")</f>
        <v>6</v>
      </c>
      <c r="P848" t="str">
        <f>("Kirik Müjgan")</f>
        <v>Kirik Müjgan</v>
      </c>
      <c r="Q848">
        <v>98</v>
      </c>
    </row>
    <row r="849" spans="1:19" x14ac:dyDescent="0.3">
      <c r="A849" t="s">
        <v>0</v>
      </c>
      <c r="B849" s="1">
        <v>45578</v>
      </c>
      <c r="C849" t="str">
        <f t="shared" si="178"/>
        <v>71022</v>
      </c>
      <c r="D849" t="s">
        <v>7</v>
      </c>
      <c r="E849" t="str">
        <f t="shared" si="179"/>
        <v>15</v>
      </c>
      <c r="F849">
        <v>330544</v>
      </c>
      <c r="G849">
        <v>205503</v>
      </c>
      <c r="H849">
        <v>6453</v>
      </c>
      <c r="I849" t="str">
        <f t="shared" si="180"/>
        <v>11</v>
      </c>
      <c r="J849" t="str">
        <f t="shared" si="181"/>
        <v>Interactief Beringen</v>
      </c>
      <c r="K849">
        <v>45</v>
      </c>
      <c r="L849">
        <v>468</v>
      </c>
      <c r="M849">
        <v>513</v>
      </c>
      <c r="N849">
        <v>0</v>
      </c>
      <c r="O849" t="str">
        <f>("7")</f>
        <v>7</v>
      </c>
      <c r="P849" t="str">
        <f>("Ramadani Naser")</f>
        <v>Ramadani Naser</v>
      </c>
      <c r="Q849">
        <v>99</v>
      </c>
    </row>
    <row r="850" spans="1:19" x14ac:dyDescent="0.3">
      <c r="A850" t="s">
        <v>0</v>
      </c>
      <c r="B850" s="1">
        <v>45578</v>
      </c>
      <c r="C850" t="str">
        <f t="shared" si="178"/>
        <v>71022</v>
      </c>
      <c r="D850" t="s">
        <v>7</v>
      </c>
      <c r="E850" t="str">
        <f t="shared" si="179"/>
        <v>15</v>
      </c>
      <c r="F850">
        <v>330544</v>
      </c>
      <c r="G850">
        <v>205503</v>
      </c>
      <c r="H850">
        <v>6453</v>
      </c>
      <c r="I850" t="str">
        <f t="shared" si="180"/>
        <v>11</v>
      </c>
      <c r="J850" t="str">
        <f t="shared" si="181"/>
        <v>Interactief Beringen</v>
      </c>
      <c r="K850">
        <v>45</v>
      </c>
      <c r="L850">
        <v>468</v>
      </c>
      <c r="M850">
        <v>513</v>
      </c>
      <c r="N850">
        <v>0</v>
      </c>
      <c r="O850" t="str">
        <f>("8")</f>
        <v>8</v>
      </c>
      <c r="P850" t="str">
        <f>("Ayaz Melika")</f>
        <v>Ayaz Melika</v>
      </c>
      <c r="Q850">
        <v>117</v>
      </c>
    </row>
    <row r="851" spans="1:19" x14ac:dyDescent="0.3">
      <c r="A851" t="s">
        <v>0</v>
      </c>
      <c r="B851" s="1">
        <v>45578</v>
      </c>
      <c r="C851" t="str">
        <f t="shared" si="178"/>
        <v>71022</v>
      </c>
      <c r="D851" t="s">
        <v>7</v>
      </c>
      <c r="E851" t="str">
        <f t="shared" si="179"/>
        <v>15</v>
      </c>
      <c r="F851">
        <v>330544</v>
      </c>
      <c r="G851">
        <v>205503</v>
      </c>
      <c r="H851">
        <v>6453</v>
      </c>
      <c r="I851" t="str">
        <f>("12")</f>
        <v>12</v>
      </c>
      <c r="J851" t="str">
        <f>("DierAnimal")</f>
        <v>DierAnimal</v>
      </c>
      <c r="K851">
        <v>963</v>
      </c>
      <c r="L851">
        <v>873</v>
      </c>
      <c r="M851">
        <v>1836</v>
      </c>
      <c r="N851">
        <v>0</v>
      </c>
      <c r="O851" t="str">
        <f>("1")</f>
        <v>1</v>
      </c>
      <c r="P851" t="str">
        <f>("Bruers Stijn")</f>
        <v>Bruers Stijn</v>
      </c>
      <c r="Q851">
        <v>584</v>
      </c>
    </row>
    <row r="852" spans="1:19" x14ac:dyDescent="0.3">
      <c r="A852" t="s">
        <v>0</v>
      </c>
      <c r="B852" s="1">
        <v>45578</v>
      </c>
      <c r="C852" t="str">
        <f t="shared" si="178"/>
        <v>71022</v>
      </c>
      <c r="D852" t="s">
        <v>7</v>
      </c>
      <c r="E852" t="str">
        <f t="shared" si="179"/>
        <v>15</v>
      </c>
      <c r="F852">
        <v>330544</v>
      </c>
      <c r="G852">
        <v>205503</v>
      </c>
      <c r="H852">
        <v>6453</v>
      </c>
      <c r="I852" t="str">
        <f>("12")</f>
        <v>12</v>
      </c>
      <c r="J852" t="str">
        <f>("DierAnimal")</f>
        <v>DierAnimal</v>
      </c>
      <c r="K852">
        <v>963</v>
      </c>
      <c r="L852">
        <v>873</v>
      </c>
      <c r="M852">
        <v>1836</v>
      </c>
      <c r="N852">
        <v>0</v>
      </c>
      <c r="O852" t="str">
        <f>("2")</f>
        <v>2</v>
      </c>
      <c r="P852" t="str">
        <f>("Conte Claudia")</f>
        <v>Conte Claudia</v>
      </c>
      <c r="Q852">
        <v>507</v>
      </c>
    </row>
    <row r="853" spans="1:19" x14ac:dyDescent="0.3">
      <c r="A853" t="s">
        <v>0</v>
      </c>
      <c r="B853" s="1">
        <v>45578</v>
      </c>
      <c r="C853" t="str">
        <f t="shared" si="178"/>
        <v>71022</v>
      </c>
      <c r="D853" t="s">
        <v>7</v>
      </c>
      <c r="E853" t="str">
        <f t="shared" si="179"/>
        <v>15</v>
      </c>
      <c r="F853">
        <v>330544</v>
      </c>
      <c r="G853">
        <v>205503</v>
      </c>
      <c r="H853">
        <v>6453</v>
      </c>
      <c r="I853" t="str">
        <f>("12")</f>
        <v>12</v>
      </c>
      <c r="J853" t="str">
        <f>("DierAnimal")</f>
        <v>DierAnimal</v>
      </c>
      <c r="K853">
        <v>963</v>
      </c>
      <c r="L853">
        <v>873</v>
      </c>
      <c r="M853">
        <v>1836</v>
      </c>
      <c r="N853">
        <v>0</v>
      </c>
      <c r="O853" t="str">
        <f>("3")</f>
        <v>3</v>
      </c>
      <c r="P853" t="str">
        <f>("Vanderlee Bart")</f>
        <v>Vanderlee Bart</v>
      </c>
      <c r="Q853">
        <v>369</v>
      </c>
    </row>
    <row r="854" spans="1:19" x14ac:dyDescent="0.3">
      <c r="A854" t="s">
        <v>0</v>
      </c>
      <c r="B854" s="1">
        <v>45578</v>
      </c>
      <c r="C854" t="str">
        <f t="shared" ref="C854:C885" si="182">("33011")</f>
        <v>33011</v>
      </c>
      <c r="D854" t="s">
        <v>8</v>
      </c>
      <c r="E854" t="str">
        <f t="shared" ref="E854:E885" si="183">("11")</f>
        <v>11</v>
      </c>
      <c r="F854">
        <v>297391</v>
      </c>
      <c r="G854">
        <v>191660</v>
      </c>
      <c r="H854">
        <v>8521</v>
      </c>
      <c r="I854" t="str">
        <f t="shared" ref="I854:I864" si="184">("1")</f>
        <v>1</v>
      </c>
      <c r="J854" t="str">
        <f t="shared" ref="J854:J864" si="185">("Vooruit")</f>
        <v>Vooruit</v>
      </c>
      <c r="K854">
        <v>15041</v>
      </c>
      <c r="L854">
        <v>21773</v>
      </c>
      <c r="M854">
        <v>36814</v>
      </c>
      <c r="N854">
        <v>2</v>
      </c>
      <c r="O854" t="str">
        <f>("1")</f>
        <v>1</v>
      </c>
      <c r="P854" t="str">
        <f>("Vanlerberghe Jurgen")</f>
        <v>Vanlerberghe Jurgen</v>
      </c>
      <c r="Q854">
        <v>9456</v>
      </c>
      <c r="R854">
        <v>1</v>
      </c>
    </row>
    <row r="855" spans="1:19" x14ac:dyDescent="0.3">
      <c r="A855" t="s">
        <v>0</v>
      </c>
      <c r="B855" s="1">
        <v>45578</v>
      </c>
      <c r="C855" t="str">
        <f t="shared" si="182"/>
        <v>33011</v>
      </c>
      <c r="D855" t="s">
        <v>8</v>
      </c>
      <c r="E855" t="str">
        <f t="shared" si="183"/>
        <v>11</v>
      </c>
      <c r="F855">
        <v>297391</v>
      </c>
      <c r="G855">
        <v>191660</v>
      </c>
      <c r="H855">
        <v>8521</v>
      </c>
      <c r="I855" t="str">
        <f t="shared" si="184"/>
        <v>1</v>
      </c>
      <c r="J855" t="str">
        <f t="shared" si="185"/>
        <v>Vooruit</v>
      </c>
      <c r="K855">
        <v>15041</v>
      </c>
      <c r="L855">
        <v>21773</v>
      </c>
      <c r="M855">
        <v>36814</v>
      </c>
      <c r="N855">
        <v>2</v>
      </c>
      <c r="O855" t="str">
        <f>("2")</f>
        <v>2</v>
      </c>
      <c r="P855" t="str">
        <f>("Vens Vanessa")</f>
        <v>Vens Vanessa</v>
      </c>
      <c r="Q855">
        <v>7013</v>
      </c>
      <c r="S855">
        <v>1</v>
      </c>
    </row>
    <row r="856" spans="1:19" x14ac:dyDescent="0.3">
      <c r="A856" t="s">
        <v>0</v>
      </c>
      <c r="B856" s="1">
        <v>45578</v>
      </c>
      <c r="C856" t="str">
        <f t="shared" si="182"/>
        <v>33011</v>
      </c>
      <c r="D856" t="s">
        <v>8</v>
      </c>
      <c r="E856" t="str">
        <f t="shared" si="183"/>
        <v>11</v>
      </c>
      <c r="F856">
        <v>297391</v>
      </c>
      <c r="G856">
        <v>191660</v>
      </c>
      <c r="H856">
        <v>8521</v>
      </c>
      <c r="I856" t="str">
        <f t="shared" si="184"/>
        <v>1</v>
      </c>
      <c r="J856" t="str">
        <f t="shared" si="185"/>
        <v>Vooruit</v>
      </c>
      <c r="K856">
        <v>15041</v>
      </c>
      <c r="L856">
        <v>21773</v>
      </c>
      <c r="M856">
        <v>36814</v>
      </c>
      <c r="N856">
        <v>2</v>
      </c>
      <c r="O856" t="str">
        <f>("3")</f>
        <v>3</v>
      </c>
      <c r="P856" t="str">
        <f>("Despeghel Valentijn")</f>
        <v>Despeghel Valentijn</v>
      </c>
      <c r="Q856">
        <v>5816</v>
      </c>
      <c r="S856">
        <v>2</v>
      </c>
    </row>
    <row r="857" spans="1:19" x14ac:dyDescent="0.3">
      <c r="A857" t="s">
        <v>0</v>
      </c>
      <c r="B857" s="1">
        <v>45578</v>
      </c>
      <c r="C857" t="str">
        <f t="shared" si="182"/>
        <v>33011</v>
      </c>
      <c r="D857" t="s">
        <v>8</v>
      </c>
      <c r="E857" t="str">
        <f t="shared" si="183"/>
        <v>11</v>
      </c>
      <c r="F857">
        <v>297391</v>
      </c>
      <c r="G857">
        <v>191660</v>
      </c>
      <c r="H857">
        <v>8521</v>
      </c>
      <c r="I857" t="str">
        <f t="shared" si="184"/>
        <v>1</v>
      </c>
      <c r="J857" t="str">
        <f t="shared" si="185"/>
        <v>Vooruit</v>
      </c>
      <c r="K857">
        <v>15041</v>
      </c>
      <c r="L857">
        <v>21773</v>
      </c>
      <c r="M857">
        <v>36814</v>
      </c>
      <c r="N857">
        <v>2</v>
      </c>
      <c r="O857" t="str">
        <f>("4")</f>
        <v>4</v>
      </c>
      <c r="P857" t="str">
        <f>("Sticker Elise")</f>
        <v>Sticker Elise</v>
      </c>
      <c r="Q857">
        <v>3924</v>
      </c>
      <c r="S857">
        <v>3</v>
      </c>
    </row>
    <row r="858" spans="1:19" x14ac:dyDescent="0.3">
      <c r="A858" t="s">
        <v>0</v>
      </c>
      <c r="B858" s="1">
        <v>45578</v>
      </c>
      <c r="C858" t="str">
        <f t="shared" si="182"/>
        <v>33011</v>
      </c>
      <c r="D858" t="s">
        <v>8</v>
      </c>
      <c r="E858" t="str">
        <f t="shared" si="183"/>
        <v>11</v>
      </c>
      <c r="F858">
        <v>297391</v>
      </c>
      <c r="G858">
        <v>191660</v>
      </c>
      <c r="H858">
        <v>8521</v>
      </c>
      <c r="I858" t="str">
        <f t="shared" si="184"/>
        <v>1</v>
      </c>
      <c r="J858" t="str">
        <f t="shared" si="185"/>
        <v>Vooruit</v>
      </c>
      <c r="K858">
        <v>15041</v>
      </c>
      <c r="L858">
        <v>21773</v>
      </c>
      <c r="M858">
        <v>36814</v>
      </c>
      <c r="N858">
        <v>2</v>
      </c>
      <c r="O858" t="str">
        <f>("5")</f>
        <v>5</v>
      </c>
      <c r="P858" t="str">
        <f>("Vandenberghe Jarni")</f>
        <v>Vandenberghe Jarni</v>
      </c>
      <c r="Q858">
        <v>3595</v>
      </c>
      <c r="S858">
        <v>5</v>
      </c>
    </row>
    <row r="859" spans="1:19" x14ac:dyDescent="0.3">
      <c r="A859" t="s">
        <v>0</v>
      </c>
      <c r="B859" s="1">
        <v>45578</v>
      </c>
      <c r="C859" t="str">
        <f t="shared" si="182"/>
        <v>33011</v>
      </c>
      <c r="D859" t="s">
        <v>8</v>
      </c>
      <c r="E859" t="str">
        <f t="shared" si="183"/>
        <v>11</v>
      </c>
      <c r="F859">
        <v>297391</v>
      </c>
      <c r="G859">
        <v>191660</v>
      </c>
      <c r="H859">
        <v>8521</v>
      </c>
      <c r="I859" t="str">
        <f t="shared" si="184"/>
        <v>1</v>
      </c>
      <c r="J859" t="str">
        <f t="shared" si="185"/>
        <v>Vooruit</v>
      </c>
      <c r="K859">
        <v>15041</v>
      </c>
      <c r="L859">
        <v>21773</v>
      </c>
      <c r="M859">
        <v>36814</v>
      </c>
      <c r="N859">
        <v>2</v>
      </c>
      <c r="O859" t="str">
        <f>("6")</f>
        <v>6</v>
      </c>
      <c r="P859" t="str">
        <f>("Vilain Emma")</f>
        <v>Vilain Emma</v>
      </c>
      <c r="Q859">
        <v>3284</v>
      </c>
      <c r="S859">
        <v>6</v>
      </c>
    </row>
    <row r="860" spans="1:19" x14ac:dyDescent="0.3">
      <c r="A860" t="s">
        <v>0</v>
      </c>
      <c r="B860" s="1">
        <v>45578</v>
      </c>
      <c r="C860" t="str">
        <f t="shared" si="182"/>
        <v>33011</v>
      </c>
      <c r="D860" t="s">
        <v>8</v>
      </c>
      <c r="E860" t="str">
        <f t="shared" si="183"/>
        <v>11</v>
      </c>
      <c r="F860">
        <v>297391</v>
      </c>
      <c r="G860">
        <v>191660</v>
      </c>
      <c r="H860">
        <v>8521</v>
      </c>
      <c r="I860" t="str">
        <f t="shared" si="184"/>
        <v>1</v>
      </c>
      <c r="J860" t="str">
        <f t="shared" si="185"/>
        <v>Vooruit</v>
      </c>
      <c r="K860">
        <v>15041</v>
      </c>
      <c r="L860">
        <v>21773</v>
      </c>
      <c r="M860">
        <v>36814</v>
      </c>
      <c r="N860">
        <v>2</v>
      </c>
      <c r="O860" t="str">
        <f>("7")</f>
        <v>7</v>
      </c>
      <c r="P860" t="str">
        <f>("Blondeel Hannelore")</f>
        <v>Blondeel Hannelore</v>
      </c>
      <c r="Q860">
        <v>3702</v>
      </c>
      <c r="S860">
        <v>4</v>
      </c>
    </row>
    <row r="861" spans="1:19" x14ac:dyDescent="0.3">
      <c r="A861" t="s">
        <v>0</v>
      </c>
      <c r="B861" s="1">
        <v>45578</v>
      </c>
      <c r="C861" t="str">
        <f t="shared" si="182"/>
        <v>33011</v>
      </c>
      <c r="D861" t="s">
        <v>8</v>
      </c>
      <c r="E861" t="str">
        <f t="shared" si="183"/>
        <v>11</v>
      </c>
      <c r="F861">
        <v>297391</v>
      </c>
      <c r="G861">
        <v>191660</v>
      </c>
      <c r="H861">
        <v>8521</v>
      </c>
      <c r="I861" t="str">
        <f t="shared" si="184"/>
        <v>1</v>
      </c>
      <c r="J861" t="str">
        <f t="shared" si="185"/>
        <v>Vooruit</v>
      </c>
      <c r="K861">
        <v>15041</v>
      </c>
      <c r="L861">
        <v>21773</v>
      </c>
      <c r="M861">
        <v>36814</v>
      </c>
      <c r="N861">
        <v>2</v>
      </c>
      <c r="O861" t="str">
        <f>("8")</f>
        <v>8</v>
      </c>
      <c r="P861" t="str">
        <f>("Dumon Shirley")</f>
        <v>Dumon Shirley</v>
      </c>
      <c r="Q861">
        <v>2895</v>
      </c>
      <c r="S861">
        <v>8</v>
      </c>
    </row>
    <row r="862" spans="1:19" x14ac:dyDescent="0.3">
      <c r="A862" t="s">
        <v>0</v>
      </c>
      <c r="B862" s="1">
        <v>45578</v>
      </c>
      <c r="C862" t="str">
        <f t="shared" si="182"/>
        <v>33011</v>
      </c>
      <c r="D862" t="s">
        <v>8</v>
      </c>
      <c r="E862" t="str">
        <f t="shared" si="183"/>
        <v>11</v>
      </c>
      <c r="F862">
        <v>297391</v>
      </c>
      <c r="G862">
        <v>191660</v>
      </c>
      <c r="H862">
        <v>8521</v>
      </c>
      <c r="I862" t="str">
        <f t="shared" si="184"/>
        <v>1</v>
      </c>
      <c r="J862" t="str">
        <f t="shared" si="185"/>
        <v>Vooruit</v>
      </c>
      <c r="K862">
        <v>15041</v>
      </c>
      <c r="L862">
        <v>21773</v>
      </c>
      <c r="M862">
        <v>36814</v>
      </c>
      <c r="N862">
        <v>2</v>
      </c>
      <c r="O862" t="str">
        <f>("9")</f>
        <v>9</v>
      </c>
      <c r="P862" t="str">
        <f>("Deweerdt Tim")</f>
        <v>Deweerdt Tim</v>
      </c>
      <c r="Q862">
        <v>2707</v>
      </c>
      <c r="S862">
        <v>9</v>
      </c>
    </row>
    <row r="863" spans="1:19" x14ac:dyDescent="0.3">
      <c r="A863" t="s">
        <v>0</v>
      </c>
      <c r="B863" s="1">
        <v>45578</v>
      </c>
      <c r="C863" t="str">
        <f t="shared" si="182"/>
        <v>33011</v>
      </c>
      <c r="D863" t="s">
        <v>8</v>
      </c>
      <c r="E863" t="str">
        <f t="shared" si="183"/>
        <v>11</v>
      </c>
      <c r="F863">
        <v>297391</v>
      </c>
      <c r="G863">
        <v>191660</v>
      </c>
      <c r="H863">
        <v>8521</v>
      </c>
      <c r="I863" t="str">
        <f t="shared" si="184"/>
        <v>1</v>
      </c>
      <c r="J863" t="str">
        <f t="shared" si="185"/>
        <v>Vooruit</v>
      </c>
      <c r="K863">
        <v>15041</v>
      </c>
      <c r="L863">
        <v>21773</v>
      </c>
      <c r="M863">
        <v>36814</v>
      </c>
      <c r="N863">
        <v>2</v>
      </c>
      <c r="O863" t="str">
        <f>("10")</f>
        <v>10</v>
      </c>
      <c r="P863" t="str">
        <f>("Malik Tahira")</f>
        <v>Malik Tahira</v>
      </c>
      <c r="Q863">
        <v>3227</v>
      </c>
      <c r="S863">
        <v>7</v>
      </c>
    </row>
    <row r="864" spans="1:19" x14ac:dyDescent="0.3">
      <c r="A864" t="s">
        <v>0</v>
      </c>
      <c r="B864" s="1">
        <v>45578</v>
      </c>
      <c r="C864" t="str">
        <f t="shared" si="182"/>
        <v>33011</v>
      </c>
      <c r="D864" t="s">
        <v>8</v>
      </c>
      <c r="E864" t="str">
        <f t="shared" si="183"/>
        <v>11</v>
      </c>
      <c r="F864">
        <v>297391</v>
      </c>
      <c r="G864">
        <v>191660</v>
      </c>
      <c r="H864">
        <v>8521</v>
      </c>
      <c r="I864" t="str">
        <f t="shared" si="184"/>
        <v>1</v>
      </c>
      <c r="J864" t="str">
        <f t="shared" si="185"/>
        <v>Vooruit</v>
      </c>
      <c r="K864">
        <v>15041</v>
      </c>
      <c r="L864">
        <v>21773</v>
      </c>
      <c r="M864">
        <v>36814</v>
      </c>
      <c r="N864">
        <v>2</v>
      </c>
      <c r="O864" t="str">
        <f>("11")</f>
        <v>11</v>
      </c>
      <c r="P864" t="str">
        <f>("Vande Lanotte Johan")</f>
        <v>Vande Lanotte Johan</v>
      </c>
      <c r="Q864">
        <v>8157</v>
      </c>
      <c r="R864">
        <v>2</v>
      </c>
    </row>
    <row r="865" spans="1:19" x14ac:dyDescent="0.3">
      <c r="A865" t="s">
        <v>0</v>
      </c>
      <c r="B865" s="1">
        <v>45578</v>
      </c>
      <c r="C865" t="str">
        <f t="shared" si="182"/>
        <v>33011</v>
      </c>
      <c r="D865" t="s">
        <v>8</v>
      </c>
      <c r="E865" t="str">
        <f t="shared" si="183"/>
        <v>11</v>
      </c>
      <c r="F865">
        <v>297391</v>
      </c>
      <c r="G865">
        <v>191660</v>
      </c>
      <c r="H865">
        <v>8521</v>
      </c>
      <c r="I865" t="str">
        <f t="shared" ref="I865:I875" si="186">("2")</f>
        <v>2</v>
      </c>
      <c r="J865" t="str">
        <f t="shared" ref="J865:J875" si="187">("PVDA")</f>
        <v>PVDA</v>
      </c>
      <c r="K865">
        <v>2781</v>
      </c>
      <c r="L865">
        <v>2288</v>
      </c>
      <c r="M865">
        <v>5069</v>
      </c>
      <c r="N865">
        <v>0</v>
      </c>
      <c r="O865" t="str">
        <f>("1")</f>
        <v>1</v>
      </c>
      <c r="P865" t="str">
        <f>("Degand Peter")</f>
        <v>Degand Peter</v>
      </c>
      <c r="Q865">
        <v>1293</v>
      </c>
    </row>
    <row r="866" spans="1:19" x14ac:dyDescent="0.3">
      <c r="A866" t="s">
        <v>0</v>
      </c>
      <c r="B866" s="1">
        <v>45578</v>
      </c>
      <c r="C866" t="str">
        <f t="shared" si="182"/>
        <v>33011</v>
      </c>
      <c r="D866" t="s">
        <v>8</v>
      </c>
      <c r="E866" t="str">
        <f t="shared" si="183"/>
        <v>11</v>
      </c>
      <c r="F866">
        <v>297391</v>
      </c>
      <c r="G866">
        <v>191660</v>
      </c>
      <c r="H866">
        <v>8521</v>
      </c>
      <c r="I866" t="str">
        <f t="shared" si="186"/>
        <v>2</v>
      </c>
      <c r="J866" t="str">
        <f t="shared" si="187"/>
        <v>PVDA</v>
      </c>
      <c r="K866">
        <v>2781</v>
      </c>
      <c r="L866">
        <v>2288</v>
      </c>
      <c r="M866">
        <v>5069</v>
      </c>
      <c r="N866">
        <v>0</v>
      </c>
      <c r="O866" t="str">
        <f>("2")</f>
        <v>2</v>
      </c>
      <c r="P866" t="str">
        <f>("Desaever Sabrine")</f>
        <v>Desaever Sabrine</v>
      </c>
      <c r="Q866">
        <v>872</v>
      </c>
    </row>
    <row r="867" spans="1:19" x14ac:dyDescent="0.3">
      <c r="A867" t="s">
        <v>0</v>
      </c>
      <c r="B867" s="1">
        <v>45578</v>
      </c>
      <c r="C867" t="str">
        <f t="shared" si="182"/>
        <v>33011</v>
      </c>
      <c r="D867" t="s">
        <v>8</v>
      </c>
      <c r="E867" t="str">
        <f t="shared" si="183"/>
        <v>11</v>
      </c>
      <c r="F867">
        <v>297391</v>
      </c>
      <c r="G867">
        <v>191660</v>
      </c>
      <c r="H867">
        <v>8521</v>
      </c>
      <c r="I867" t="str">
        <f t="shared" si="186"/>
        <v>2</v>
      </c>
      <c r="J867" t="str">
        <f t="shared" si="187"/>
        <v>PVDA</v>
      </c>
      <c r="K867">
        <v>2781</v>
      </c>
      <c r="L867">
        <v>2288</v>
      </c>
      <c r="M867">
        <v>5069</v>
      </c>
      <c r="N867">
        <v>0</v>
      </c>
      <c r="O867" t="str">
        <f>("3")</f>
        <v>3</v>
      </c>
      <c r="P867" t="str">
        <f>("Elleboudt Steve")</f>
        <v>Elleboudt Steve</v>
      </c>
      <c r="Q867">
        <v>546</v>
      </c>
    </row>
    <row r="868" spans="1:19" x14ac:dyDescent="0.3">
      <c r="A868" t="s">
        <v>0</v>
      </c>
      <c r="B868" s="1">
        <v>45578</v>
      </c>
      <c r="C868" t="str">
        <f t="shared" si="182"/>
        <v>33011</v>
      </c>
      <c r="D868" t="s">
        <v>8</v>
      </c>
      <c r="E868" t="str">
        <f t="shared" si="183"/>
        <v>11</v>
      </c>
      <c r="F868">
        <v>297391</v>
      </c>
      <c r="G868">
        <v>191660</v>
      </c>
      <c r="H868">
        <v>8521</v>
      </c>
      <c r="I868" t="str">
        <f t="shared" si="186"/>
        <v>2</v>
      </c>
      <c r="J868" t="str">
        <f t="shared" si="187"/>
        <v>PVDA</v>
      </c>
      <c r="K868">
        <v>2781</v>
      </c>
      <c r="L868">
        <v>2288</v>
      </c>
      <c r="M868">
        <v>5069</v>
      </c>
      <c r="N868">
        <v>0</v>
      </c>
      <c r="O868" t="str">
        <f>("4")</f>
        <v>4</v>
      </c>
      <c r="P868" t="str">
        <f>("Kerkaert Romy")</f>
        <v>Kerkaert Romy</v>
      </c>
      <c r="Q868">
        <v>558</v>
      </c>
    </row>
    <row r="869" spans="1:19" x14ac:dyDescent="0.3">
      <c r="A869" t="s">
        <v>0</v>
      </c>
      <c r="B869" s="1">
        <v>45578</v>
      </c>
      <c r="C869" t="str">
        <f t="shared" si="182"/>
        <v>33011</v>
      </c>
      <c r="D869" t="s">
        <v>8</v>
      </c>
      <c r="E869" t="str">
        <f t="shared" si="183"/>
        <v>11</v>
      </c>
      <c r="F869">
        <v>297391</v>
      </c>
      <c r="G869">
        <v>191660</v>
      </c>
      <c r="H869">
        <v>8521</v>
      </c>
      <c r="I869" t="str">
        <f t="shared" si="186"/>
        <v>2</v>
      </c>
      <c r="J869" t="str">
        <f t="shared" si="187"/>
        <v>PVDA</v>
      </c>
      <c r="K869">
        <v>2781</v>
      </c>
      <c r="L869">
        <v>2288</v>
      </c>
      <c r="M869">
        <v>5069</v>
      </c>
      <c r="N869">
        <v>0</v>
      </c>
      <c r="O869" t="str">
        <f>("5")</f>
        <v>5</v>
      </c>
      <c r="P869" t="str">
        <f>("Vandeputte Tristan")</f>
        <v>Vandeputte Tristan</v>
      </c>
      <c r="Q869">
        <v>518</v>
      </c>
    </row>
    <row r="870" spans="1:19" x14ac:dyDescent="0.3">
      <c r="A870" t="s">
        <v>0</v>
      </c>
      <c r="B870" s="1">
        <v>45578</v>
      </c>
      <c r="C870" t="str">
        <f t="shared" si="182"/>
        <v>33011</v>
      </c>
      <c r="D870" t="s">
        <v>8</v>
      </c>
      <c r="E870" t="str">
        <f t="shared" si="183"/>
        <v>11</v>
      </c>
      <c r="F870">
        <v>297391</v>
      </c>
      <c r="G870">
        <v>191660</v>
      </c>
      <c r="H870">
        <v>8521</v>
      </c>
      <c r="I870" t="str">
        <f t="shared" si="186"/>
        <v>2</v>
      </c>
      <c r="J870" t="str">
        <f t="shared" si="187"/>
        <v>PVDA</v>
      </c>
      <c r="K870">
        <v>2781</v>
      </c>
      <c r="L870">
        <v>2288</v>
      </c>
      <c r="M870">
        <v>5069</v>
      </c>
      <c r="N870">
        <v>0</v>
      </c>
      <c r="O870" t="str">
        <f>("6")</f>
        <v>6</v>
      </c>
      <c r="P870" t="str">
        <f>("Sadek Myrna")</f>
        <v>Sadek Myrna</v>
      </c>
      <c r="Q870">
        <v>756</v>
      </c>
    </row>
    <row r="871" spans="1:19" x14ac:dyDescent="0.3">
      <c r="A871" t="s">
        <v>0</v>
      </c>
      <c r="B871" s="1">
        <v>45578</v>
      </c>
      <c r="C871" t="str">
        <f t="shared" si="182"/>
        <v>33011</v>
      </c>
      <c r="D871" t="s">
        <v>8</v>
      </c>
      <c r="E871" t="str">
        <f t="shared" si="183"/>
        <v>11</v>
      </c>
      <c r="F871">
        <v>297391</v>
      </c>
      <c r="G871">
        <v>191660</v>
      </c>
      <c r="H871">
        <v>8521</v>
      </c>
      <c r="I871" t="str">
        <f t="shared" si="186"/>
        <v>2</v>
      </c>
      <c r="J871" t="str">
        <f t="shared" si="187"/>
        <v>PVDA</v>
      </c>
      <c r="K871">
        <v>2781</v>
      </c>
      <c r="L871">
        <v>2288</v>
      </c>
      <c r="M871">
        <v>5069</v>
      </c>
      <c r="N871">
        <v>0</v>
      </c>
      <c r="O871" t="str">
        <f>("7")</f>
        <v>7</v>
      </c>
      <c r="P871" t="str">
        <f>("Nangarhari Ferdaos")</f>
        <v>Nangarhari Ferdaos</v>
      </c>
      <c r="Q871">
        <v>541</v>
      </c>
    </row>
    <row r="872" spans="1:19" x14ac:dyDescent="0.3">
      <c r="A872" t="s">
        <v>0</v>
      </c>
      <c r="B872" s="1">
        <v>45578</v>
      </c>
      <c r="C872" t="str">
        <f t="shared" si="182"/>
        <v>33011</v>
      </c>
      <c r="D872" t="s">
        <v>8</v>
      </c>
      <c r="E872" t="str">
        <f t="shared" si="183"/>
        <v>11</v>
      </c>
      <c r="F872">
        <v>297391</v>
      </c>
      <c r="G872">
        <v>191660</v>
      </c>
      <c r="H872">
        <v>8521</v>
      </c>
      <c r="I872" t="str">
        <f t="shared" si="186"/>
        <v>2</v>
      </c>
      <c r="J872" t="str">
        <f t="shared" si="187"/>
        <v>PVDA</v>
      </c>
      <c r="K872">
        <v>2781</v>
      </c>
      <c r="L872">
        <v>2288</v>
      </c>
      <c r="M872">
        <v>5069</v>
      </c>
      <c r="N872">
        <v>0</v>
      </c>
      <c r="O872" t="str">
        <f>("8")</f>
        <v>8</v>
      </c>
      <c r="P872" t="str">
        <f>("Qadhimi Iris")</f>
        <v>Qadhimi Iris</v>
      </c>
      <c r="Q872">
        <v>550</v>
      </c>
    </row>
    <row r="873" spans="1:19" x14ac:dyDescent="0.3">
      <c r="A873" t="s">
        <v>0</v>
      </c>
      <c r="B873" s="1">
        <v>45578</v>
      </c>
      <c r="C873" t="str">
        <f t="shared" si="182"/>
        <v>33011</v>
      </c>
      <c r="D873" t="s">
        <v>8</v>
      </c>
      <c r="E873" t="str">
        <f t="shared" si="183"/>
        <v>11</v>
      </c>
      <c r="F873">
        <v>297391</v>
      </c>
      <c r="G873">
        <v>191660</v>
      </c>
      <c r="H873">
        <v>8521</v>
      </c>
      <c r="I873" t="str">
        <f t="shared" si="186"/>
        <v>2</v>
      </c>
      <c r="J873" t="str">
        <f t="shared" si="187"/>
        <v>PVDA</v>
      </c>
      <c r="K873">
        <v>2781</v>
      </c>
      <c r="L873">
        <v>2288</v>
      </c>
      <c r="M873">
        <v>5069</v>
      </c>
      <c r="N873">
        <v>0</v>
      </c>
      <c r="O873" t="str">
        <f>("9")</f>
        <v>9</v>
      </c>
      <c r="P873" t="str">
        <f>("Nollet Ludovic")</f>
        <v>Nollet Ludovic</v>
      </c>
      <c r="Q873">
        <v>455</v>
      </c>
    </row>
    <row r="874" spans="1:19" x14ac:dyDescent="0.3">
      <c r="A874" t="s">
        <v>0</v>
      </c>
      <c r="B874" s="1">
        <v>45578</v>
      </c>
      <c r="C874" t="str">
        <f t="shared" si="182"/>
        <v>33011</v>
      </c>
      <c r="D874" t="s">
        <v>8</v>
      </c>
      <c r="E874" t="str">
        <f t="shared" si="183"/>
        <v>11</v>
      </c>
      <c r="F874">
        <v>297391</v>
      </c>
      <c r="G874">
        <v>191660</v>
      </c>
      <c r="H874">
        <v>8521</v>
      </c>
      <c r="I874" t="str">
        <f t="shared" si="186"/>
        <v>2</v>
      </c>
      <c r="J874" t="str">
        <f t="shared" si="187"/>
        <v>PVDA</v>
      </c>
      <c r="K874">
        <v>2781</v>
      </c>
      <c r="L874">
        <v>2288</v>
      </c>
      <c r="M874">
        <v>5069</v>
      </c>
      <c r="N874">
        <v>0</v>
      </c>
      <c r="O874" t="str">
        <f>("10")</f>
        <v>10</v>
      </c>
      <c r="P874" t="str">
        <f>("Massa Christian")</f>
        <v>Massa Christian</v>
      </c>
      <c r="Q874">
        <v>484</v>
      </c>
    </row>
    <row r="875" spans="1:19" x14ac:dyDescent="0.3">
      <c r="A875" t="s">
        <v>0</v>
      </c>
      <c r="B875" s="1">
        <v>45578</v>
      </c>
      <c r="C875" t="str">
        <f t="shared" si="182"/>
        <v>33011</v>
      </c>
      <c r="D875" t="s">
        <v>8</v>
      </c>
      <c r="E875" t="str">
        <f t="shared" si="183"/>
        <v>11</v>
      </c>
      <c r="F875">
        <v>297391</v>
      </c>
      <c r="G875">
        <v>191660</v>
      </c>
      <c r="H875">
        <v>8521</v>
      </c>
      <c r="I875" t="str">
        <f t="shared" si="186"/>
        <v>2</v>
      </c>
      <c r="J875" t="str">
        <f t="shared" si="187"/>
        <v>PVDA</v>
      </c>
      <c r="K875">
        <v>2781</v>
      </c>
      <c r="L875">
        <v>2288</v>
      </c>
      <c r="M875">
        <v>5069</v>
      </c>
      <c r="N875">
        <v>0</v>
      </c>
      <c r="O875" t="str">
        <f>("11")</f>
        <v>11</v>
      </c>
      <c r="P875" t="str">
        <f>("Vansteelandt Lillan")</f>
        <v>Vansteelandt Lillan</v>
      </c>
      <c r="Q875">
        <v>570</v>
      </c>
    </row>
    <row r="876" spans="1:19" x14ac:dyDescent="0.3">
      <c r="A876" t="s">
        <v>0</v>
      </c>
      <c r="B876" s="1">
        <v>45578</v>
      </c>
      <c r="C876" t="str">
        <f t="shared" si="182"/>
        <v>33011</v>
      </c>
      <c r="D876" t="s">
        <v>8</v>
      </c>
      <c r="E876" t="str">
        <f t="shared" si="183"/>
        <v>11</v>
      </c>
      <c r="F876">
        <v>297391</v>
      </c>
      <c r="G876">
        <v>191660</v>
      </c>
      <c r="H876">
        <v>8521</v>
      </c>
      <c r="I876" t="str">
        <f t="shared" ref="I876:I886" si="188">("3")</f>
        <v>3</v>
      </c>
      <c r="J876" t="str">
        <f t="shared" ref="J876:J886" si="189">("cd&amp;v")</f>
        <v>cd&amp;v</v>
      </c>
      <c r="K876">
        <v>13354</v>
      </c>
      <c r="L876">
        <v>23746</v>
      </c>
      <c r="M876">
        <v>37100</v>
      </c>
      <c r="N876">
        <v>3</v>
      </c>
      <c r="O876" t="str">
        <f>("1")</f>
        <v>1</v>
      </c>
      <c r="P876" t="str">
        <f>("Laridon Lies")</f>
        <v>Laridon Lies</v>
      </c>
      <c r="Q876">
        <v>12995</v>
      </c>
      <c r="R876">
        <v>1</v>
      </c>
    </row>
    <row r="877" spans="1:19" x14ac:dyDescent="0.3">
      <c r="A877" t="s">
        <v>0</v>
      </c>
      <c r="B877" s="1">
        <v>45578</v>
      </c>
      <c r="C877" t="str">
        <f t="shared" si="182"/>
        <v>33011</v>
      </c>
      <c r="D877" t="s">
        <v>8</v>
      </c>
      <c r="E877" t="str">
        <f t="shared" si="183"/>
        <v>11</v>
      </c>
      <c r="F877">
        <v>297391</v>
      </c>
      <c r="G877">
        <v>191660</v>
      </c>
      <c r="H877">
        <v>8521</v>
      </c>
      <c r="I877" t="str">
        <f t="shared" si="188"/>
        <v>3</v>
      </c>
      <c r="J877" t="str">
        <f t="shared" si="189"/>
        <v>cd&amp;v</v>
      </c>
      <c r="K877">
        <v>13354</v>
      </c>
      <c r="L877">
        <v>23746</v>
      </c>
      <c r="M877">
        <v>37100</v>
      </c>
      <c r="N877">
        <v>3</v>
      </c>
      <c r="O877" t="str">
        <f>("2")</f>
        <v>2</v>
      </c>
      <c r="P877" t="str">
        <f>("Dejaegher Christof")</f>
        <v>Dejaegher Christof</v>
      </c>
      <c r="Q877">
        <v>10061</v>
      </c>
      <c r="R877">
        <v>2</v>
      </c>
    </row>
    <row r="878" spans="1:19" x14ac:dyDescent="0.3">
      <c r="A878" t="s">
        <v>0</v>
      </c>
      <c r="B878" s="1">
        <v>45578</v>
      </c>
      <c r="C878" t="str">
        <f t="shared" si="182"/>
        <v>33011</v>
      </c>
      <c r="D878" t="s">
        <v>8</v>
      </c>
      <c r="E878" t="str">
        <f t="shared" si="183"/>
        <v>11</v>
      </c>
      <c r="F878">
        <v>297391</v>
      </c>
      <c r="G878">
        <v>191660</v>
      </c>
      <c r="H878">
        <v>8521</v>
      </c>
      <c r="I878" t="str">
        <f t="shared" si="188"/>
        <v>3</v>
      </c>
      <c r="J878" t="str">
        <f t="shared" si="189"/>
        <v>cd&amp;v</v>
      </c>
      <c r="K878">
        <v>13354</v>
      </c>
      <c r="L878">
        <v>23746</v>
      </c>
      <c r="M878">
        <v>37100</v>
      </c>
      <c r="N878">
        <v>3</v>
      </c>
      <c r="O878" t="str">
        <f>("3")</f>
        <v>3</v>
      </c>
      <c r="P878" t="str">
        <f>("Sanders Sofie")</f>
        <v>Sanders Sofie</v>
      </c>
      <c r="Q878">
        <v>4455</v>
      </c>
      <c r="S878">
        <v>2</v>
      </c>
    </row>
    <row r="879" spans="1:19" x14ac:dyDescent="0.3">
      <c r="A879" t="s">
        <v>0</v>
      </c>
      <c r="B879" s="1">
        <v>45578</v>
      </c>
      <c r="C879" t="str">
        <f t="shared" si="182"/>
        <v>33011</v>
      </c>
      <c r="D879" t="s">
        <v>8</v>
      </c>
      <c r="E879" t="str">
        <f t="shared" si="183"/>
        <v>11</v>
      </c>
      <c r="F879">
        <v>297391</v>
      </c>
      <c r="G879">
        <v>191660</v>
      </c>
      <c r="H879">
        <v>8521</v>
      </c>
      <c r="I879" t="str">
        <f t="shared" si="188"/>
        <v>3</v>
      </c>
      <c r="J879" t="str">
        <f t="shared" si="189"/>
        <v>cd&amp;v</v>
      </c>
      <c r="K879">
        <v>13354</v>
      </c>
      <c r="L879">
        <v>23746</v>
      </c>
      <c r="M879">
        <v>37100</v>
      </c>
      <c r="N879">
        <v>3</v>
      </c>
      <c r="O879" t="str">
        <f>("4")</f>
        <v>4</v>
      </c>
      <c r="P879" t="str">
        <f>("Slegers Bercy")</f>
        <v>Slegers Bercy</v>
      </c>
      <c r="Q879">
        <v>4731</v>
      </c>
      <c r="S879">
        <v>1</v>
      </c>
    </row>
    <row r="880" spans="1:19" x14ac:dyDescent="0.3">
      <c r="A880" t="s">
        <v>0</v>
      </c>
      <c r="B880" s="1">
        <v>45578</v>
      </c>
      <c r="C880" t="str">
        <f t="shared" si="182"/>
        <v>33011</v>
      </c>
      <c r="D880" t="s">
        <v>8</v>
      </c>
      <c r="E880" t="str">
        <f t="shared" si="183"/>
        <v>11</v>
      </c>
      <c r="F880">
        <v>297391</v>
      </c>
      <c r="G880">
        <v>191660</v>
      </c>
      <c r="H880">
        <v>8521</v>
      </c>
      <c r="I880" t="str">
        <f t="shared" si="188"/>
        <v>3</v>
      </c>
      <c r="J880" t="str">
        <f t="shared" si="189"/>
        <v>cd&amp;v</v>
      </c>
      <c r="K880">
        <v>13354</v>
      </c>
      <c r="L880">
        <v>23746</v>
      </c>
      <c r="M880">
        <v>37100</v>
      </c>
      <c r="N880">
        <v>3</v>
      </c>
      <c r="O880" t="str">
        <f>("5")</f>
        <v>5</v>
      </c>
      <c r="P880" t="str">
        <f>("Collin Olivier")</f>
        <v>Collin Olivier</v>
      </c>
      <c r="Q880">
        <v>2536</v>
      </c>
      <c r="S880">
        <v>7</v>
      </c>
    </row>
    <row r="881" spans="1:19" x14ac:dyDescent="0.3">
      <c r="A881" t="s">
        <v>0</v>
      </c>
      <c r="B881" s="1">
        <v>45578</v>
      </c>
      <c r="C881" t="str">
        <f t="shared" si="182"/>
        <v>33011</v>
      </c>
      <c r="D881" t="s">
        <v>8</v>
      </c>
      <c r="E881" t="str">
        <f t="shared" si="183"/>
        <v>11</v>
      </c>
      <c r="F881">
        <v>297391</v>
      </c>
      <c r="G881">
        <v>191660</v>
      </c>
      <c r="H881">
        <v>8521</v>
      </c>
      <c r="I881" t="str">
        <f t="shared" si="188"/>
        <v>3</v>
      </c>
      <c r="J881" t="str">
        <f t="shared" si="189"/>
        <v>cd&amp;v</v>
      </c>
      <c r="K881">
        <v>13354</v>
      </c>
      <c r="L881">
        <v>23746</v>
      </c>
      <c r="M881">
        <v>37100</v>
      </c>
      <c r="N881">
        <v>3</v>
      </c>
      <c r="O881" t="str">
        <f>("6")</f>
        <v>6</v>
      </c>
      <c r="P881" t="str">
        <f>("Van Audenhove Evelyne")</f>
        <v>Van Audenhove Evelyne</v>
      </c>
      <c r="Q881">
        <v>3048</v>
      </c>
      <c r="S881">
        <v>6</v>
      </c>
    </row>
    <row r="882" spans="1:19" x14ac:dyDescent="0.3">
      <c r="A882" t="s">
        <v>0</v>
      </c>
      <c r="B882" s="1">
        <v>45578</v>
      </c>
      <c r="C882" t="str">
        <f t="shared" si="182"/>
        <v>33011</v>
      </c>
      <c r="D882" t="s">
        <v>8</v>
      </c>
      <c r="E882" t="str">
        <f t="shared" si="183"/>
        <v>11</v>
      </c>
      <c r="F882">
        <v>297391</v>
      </c>
      <c r="G882">
        <v>191660</v>
      </c>
      <c r="H882">
        <v>8521</v>
      </c>
      <c r="I882" t="str">
        <f t="shared" si="188"/>
        <v>3</v>
      </c>
      <c r="J882" t="str">
        <f t="shared" si="189"/>
        <v>cd&amp;v</v>
      </c>
      <c r="K882">
        <v>13354</v>
      </c>
      <c r="L882">
        <v>23746</v>
      </c>
      <c r="M882">
        <v>37100</v>
      </c>
      <c r="N882">
        <v>3</v>
      </c>
      <c r="O882" t="str">
        <f>("7")</f>
        <v>7</v>
      </c>
      <c r="P882" t="str">
        <f>("Vandermeersch Anke")</f>
        <v>Vandermeersch Anke</v>
      </c>
      <c r="Q882">
        <v>3469</v>
      </c>
      <c r="S882">
        <v>5</v>
      </c>
    </row>
    <row r="883" spans="1:19" x14ac:dyDescent="0.3">
      <c r="A883" t="s">
        <v>0</v>
      </c>
      <c r="B883" s="1">
        <v>45578</v>
      </c>
      <c r="C883" t="str">
        <f t="shared" si="182"/>
        <v>33011</v>
      </c>
      <c r="D883" t="s">
        <v>8</v>
      </c>
      <c r="E883" t="str">
        <f t="shared" si="183"/>
        <v>11</v>
      </c>
      <c r="F883">
        <v>297391</v>
      </c>
      <c r="G883">
        <v>191660</v>
      </c>
      <c r="H883">
        <v>8521</v>
      </c>
      <c r="I883" t="str">
        <f t="shared" si="188"/>
        <v>3</v>
      </c>
      <c r="J883" t="str">
        <f t="shared" si="189"/>
        <v>cd&amp;v</v>
      </c>
      <c r="K883">
        <v>13354</v>
      </c>
      <c r="L883">
        <v>23746</v>
      </c>
      <c r="M883">
        <v>37100</v>
      </c>
      <c r="N883">
        <v>3</v>
      </c>
      <c r="O883" t="str">
        <f>("8")</f>
        <v>8</v>
      </c>
      <c r="P883" t="str">
        <f>("Stael Wouter")</f>
        <v>Stael Wouter</v>
      </c>
      <c r="Q883">
        <v>3518</v>
      </c>
      <c r="S883">
        <v>4</v>
      </c>
    </row>
    <row r="884" spans="1:19" x14ac:dyDescent="0.3">
      <c r="A884" t="s">
        <v>0</v>
      </c>
      <c r="B884" s="1">
        <v>45578</v>
      </c>
      <c r="C884" t="str">
        <f t="shared" si="182"/>
        <v>33011</v>
      </c>
      <c r="D884" t="s">
        <v>8</v>
      </c>
      <c r="E884" t="str">
        <f t="shared" si="183"/>
        <v>11</v>
      </c>
      <c r="F884">
        <v>297391</v>
      </c>
      <c r="G884">
        <v>191660</v>
      </c>
      <c r="H884">
        <v>8521</v>
      </c>
      <c r="I884" t="str">
        <f t="shared" si="188"/>
        <v>3</v>
      </c>
      <c r="J884" t="str">
        <f t="shared" si="189"/>
        <v>cd&amp;v</v>
      </c>
      <c r="K884">
        <v>13354</v>
      </c>
      <c r="L884">
        <v>23746</v>
      </c>
      <c r="M884">
        <v>37100</v>
      </c>
      <c r="N884">
        <v>3</v>
      </c>
      <c r="O884" t="str">
        <f>("9")</f>
        <v>9</v>
      </c>
      <c r="P884" t="str">
        <f>("Tordeurs Guy")</f>
        <v>Tordeurs Guy</v>
      </c>
      <c r="Q884">
        <v>2352</v>
      </c>
      <c r="S884">
        <v>8</v>
      </c>
    </row>
    <row r="885" spans="1:19" x14ac:dyDescent="0.3">
      <c r="A885" t="s">
        <v>0</v>
      </c>
      <c r="B885" s="1">
        <v>45578</v>
      </c>
      <c r="C885" t="str">
        <f t="shared" si="182"/>
        <v>33011</v>
      </c>
      <c r="D885" t="s">
        <v>8</v>
      </c>
      <c r="E885" t="str">
        <f t="shared" si="183"/>
        <v>11</v>
      </c>
      <c r="F885">
        <v>297391</v>
      </c>
      <c r="G885">
        <v>191660</v>
      </c>
      <c r="H885">
        <v>8521</v>
      </c>
      <c r="I885" t="str">
        <f t="shared" si="188"/>
        <v>3</v>
      </c>
      <c r="J885" t="str">
        <f t="shared" si="189"/>
        <v>cd&amp;v</v>
      </c>
      <c r="K885">
        <v>13354</v>
      </c>
      <c r="L885">
        <v>23746</v>
      </c>
      <c r="M885">
        <v>37100</v>
      </c>
      <c r="N885">
        <v>3</v>
      </c>
      <c r="O885" t="str">
        <f>("10")</f>
        <v>10</v>
      </c>
      <c r="P885" t="str">
        <f>("Ghyselen Henk")</f>
        <v>Ghyselen Henk</v>
      </c>
      <c r="Q885">
        <v>3963</v>
      </c>
      <c r="S885">
        <v>3</v>
      </c>
    </row>
    <row r="886" spans="1:19" x14ac:dyDescent="0.3">
      <c r="A886" t="s">
        <v>0</v>
      </c>
      <c r="B886" s="1">
        <v>45578</v>
      </c>
      <c r="C886" t="str">
        <f t="shared" ref="C886:C917" si="190">("33011")</f>
        <v>33011</v>
      </c>
      <c r="D886" t="s">
        <v>8</v>
      </c>
      <c r="E886" t="str">
        <f t="shared" ref="E886:E917" si="191">("11")</f>
        <v>11</v>
      </c>
      <c r="F886">
        <v>297391</v>
      </c>
      <c r="G886">
        <v>191660</v>
      </c>
      <c r="H886">
        <v>8521</v>
      </c>
      <c r="I886" t="str">
        <f t="shared" si="188"/>
        <v>3</v>
      </c>
      <c r="J886" t="str">
        <f t="shared" si="189"/>
        <v>cd&amp;v</v>
      </c>
      <c r="K886">
        <v>13354</v>
      </c>
      <c r="L886">
        <v>23746</v>
      </c>
      <c r="M886">
        <v>37100</v>
      </c>
      <c r="N886">
        <v>3</v>
      </c>
      <c r="O886" t="str">
        <f>("11")</f>
        <v>11</v>
      </c>
      <c r="P886" t="str">
        <f>("Gheysens Miguel")</f>
        <v>Gheysens Miguel</v>
      </c>
      <c r="Q886">
        <v>4850</v>
      </c>
      <c r="R886">
        <v>3</v>
      </c>
    </row>
    <row r="887" spans="1:19" x14ac:dyDescent="0.3">
      <c r="A887" t="s">
        <v>0</v>
      </c>
      <c r="B887" s="1">
        <v>45578</v>
      </c>
      <c r="C887" t="str">
        <f t="shared" si="190"/>
        <v>33011</v>
      </c>
      <c r="D887" t="s">
        <v>8</v>
      </c>
      <c r="E887" t="str">
        <f t="shared" si="191"/>
        <v>11</v>
      </c>
      <c r="F887">
        <v>297391</v>
      </c>
      <c r="G887">
        <v>191660</v>
      </c>
      <c r="H887">
        <v>8521</v>
      </c>
      <c r="I887" t="str">
        <f t="shared" ref="I887:I897" si="192">("4")</f>
        <v>4</v>
      </c>
      <c r="J887" t="str">
        <f t="shared" ref="J887:J897" si="193">("VLAAMS BELANG")</f>
        <v>VLAAMS BELANG</v>
      </c>
      <c r="K887">
        <v>24388</v>
      </c>
      <c r="L887">
        <v>12958</v>
      </c>
      <c r="M887">
        <v>37346</v>
      </c>
      <c r="N887">
        <v>3</v>
      </c>
      <c r="O887" t="str">
        <f>("1")</f>
        <v>1</v>
      </c>
      <c r="P887" t="str">
        <f>("Delbaere Niels")</f>
        <v>Delbaere Niels</v>
      </c>
      <c r="Q887">
        <v>8832</v>
      </c>
      <c r="R887">
        <v>1</v>
      </c>
    </row>
    <row r="888" spans="1:19" x14ac:dyDescent="0.3">
      <c r="A888" t="s">
        <v>0</v>
      </c>
      <c r="B888" s="1">
        <v>45578</v>
      </c>
      <c r="C888" t="str">
        <f t="shared" si="190"/>
        <v>33011</v>
      </c>
      <c r="D888" t="s">
        <v>8</v>
      </c>
      <c r="E888" t="str">
        <f t="shared" si="191"/>
        <v>11</v>
      </c>
      <c r="F888">
        <v>297391</v>
      </c>
      <c r="G888">
        <v>191660</v>
      </c>
      <c r="H888">
        <v>8521</v>
      </c>
      <c r="I888" t="str">
        <f t="shared" si="192"/>
        <v>4</v>
      </c>
      <c r="J888" t="str">
        <f t="shared" si="193"/>
        <v>VLAAMS BELANG</v>
      </c>
      <c r="K888">
        <v>24388</v>
      </c>
      <c r="L888">
        <v>12958</v>
      </c>
      <c r="M888">
        <v>37346</v>
      </c>
      <c r="N888">
        <v>3</v>
      </c>
      <c r="O888" t="str">
        <f>("2")</f>
        <v>2</v>
      </c>
      <c r="P888" t="str">
        <f>("Bille Sabine")</f>
        <v>Bille Sabine</v>
      </c>
      <c r="Q888">
        <v>5243</v>
      </c>
      <c r="R888">
        <v>3</v>
      </c>
    </row>
    <row r="889" spans="1:19" x14ac:dyDescent="0.3">
      <c r="A889" t="s">
        <v>0</v>
      </c>
      <c r="B889" s="1">
        <v>45578</v>
      </c>
      <c r="C889" t="str">
        <f t="shared" si="190"/>
        <v>33011</v>
      </c>
      <c r="D889" t="s">
        <v>8</v>
      </c>
      <c r="E889" t="str">
        <f t="shared" si="191"/>
        <v>11</v>
      </c>
      <c r="F889">
        <v>297391</v>
      </c>
      <c r="G889">
        <v>191660</v>
      </c>
      <c r="H889">
        <v>8521</v>
      </c>
      <c r="I889" t="str">
        <f t="shared" si="192"/>
        <v>4</v>
      </c>
      <c r="J889" t="str">
        <f t="shared" si="193"/>
        <v>VLAAMS BELANG</v>
      </c>
      <c r="K889">
        <v>24388</v>
      </c>
      <c r="L889">
        <v>12958</v>
      </c>
      <c r="M889">
        <v>37346</v>
      </c>
      <c r="N889">
        <v>3</v>
      </c>
      <c r="O889" t="str">
        <f>("3")</f>
        <v>3</v>
      </c>
      <c r="P889" t="str">
        <f>("Wellekens Patrik")</f>
        <v>Wellekens Patrik</v>
      </c>
      <c r="Q889">
        <v>4543</v>
      </c>
      <c r="S889">
        <v>2</v>
      </c>
    </row>
    <row r="890" spans="1:19" x14ac:dyDescent="0.3">
      <c r="A890" t="s">
        <v>0</v>
      </c>
      <c r="B890" s="1">
        <v>45578</v>
      </c>
      <c r="C890" t="str">
        <f t="shared" si="190"/>
        <v>33011</v>
      </c>
      <c r="D890" t="s">
        <v>8</v>
      </c>
      <c r="E890" t="str">
        <f t="shared" si="191"/>
        <v>11</v>
      </c>
      <c r="F890">
        <v>297391</v>
      </c>
      <c r="G890">
        <v>191660</v>
      </c>
      <c r="H890">
        <v>8521</v>
      </c>
      <c r="I890" t="str">
        <f t="shared" si="192"/>
        <v>4</v>
      </c>
      <c r="J890" t="str">
        <f t="shared" si="193"/>
        <v>VLAAMS BELANG</v>
      </c>
      <c r="K890">
        <v>24388</v>
      </c>
      <c r="L890">
        <v>12958</v>
      </c>
      <c r="M890">
        <v>37346</v>
      </c>
      <c r="N890">
        <v>3</v>
      </c>
      <c r="O890" t="str">
        <f>("4")</f>
        <v>4</v>
      </c>
      <c r="P890" t="str">
        <f>("Keymolen Maria")</f>
        <v>Keymolen Maria</v>
      </c>
      <c r="Q890">
        <v>4511</v>
      </c>
      <c r="S890">
        <v>3</v>
      </c>
    </row>
    <row r="891" spans="1:19" x14ac:dyDescent="0.3">
      <c r="A891" t="s">
        <v>0</v>
      </c>
      <c r="B891" s="1">
        <v>45578</v>
      </c>
      <c r="C891" t="str">
        <f t="shared" si="190"/>
        <v>33011</v>
      </c>
      <c r="D891" t="s">
        <v>8</v>
      </c>
      <c r="E891" t="str">
        <f t="shared" si="191"/>
        <v>11</v>
      </c>
      <c r="F891">
        <v>297391</v>
      </c>
      <c r="G891">
        <v>191660</v>
      </c>
      <c r="H891">
        <v>8521</v>
      </c>
      <c r="I891" t="str">
        <f t="shared" si="192"/>
        <v>4</v>
      </c>
      <c r="J891" t="str">
        <f t="shared" si="193"/>
        <v>VLAAMS BELANG</v>
      </c>
      <c r="K891">
        <v>24388</v>
      </c>
      <c r="L891">
        <v>12958</v>
      </c>
      <c r="M891">
        <v>37346</v>
      </c>
      <c r="N891">
        <v>3</v>
      </c>
      <c r="O891" t="str">
        <f>("5")</f>
        <v>5</v>
      </c>
      <c r="P891" t="str">
        <f>("Riviere Marc")</f>
        <v>Riviere Marc</v>
      </c>
      <c r="Q891">
        <v>4489</v>
      </c>
      <c r="S891">
        <v>4</v>
      </c>
    </row>
    <row r="892" spans="1:19" x14ac:dyDescent="0.3">
      <c r="A892" t="s">
        <v>0</v>
      </c>
      <c r="B892" s="1">
        <v>45578</v>
      </c>
      <c r="C892" t="str">
        <f t="shared" si="190"/>
        <v>33011</v>
      </c>
      <c r="D892" t="s">
        <v>8</v>
      </c>
      <c r="E892" t="str">
        <f t="shared" si="191"/>
        <v>11</v>
      </c>
      <c r="F892">
        <v>297391</v>
      </c>
      <c r="G892">
        <v>191660</v>
      </c>
      <c r="H892">
        <v>8521</v>
      </c>
      <c r="I892" t="str">
        <f t="shared" si="192"/>
        <v>4</v>
      </c>
      <c r="J892" t="str">
        <f t="shared" si="193"/>
        <v>VLAAMS BELANG</v>
      </c>
      <c r="K892">
        <v>24388</v>
      </c>
      <c r="L892">
        <v>12958</v>
      </c>
      <c r="M892">
        <v>37346</v>
      </c>
      <c r="N892">
        <v>3</v>
      </c>
      <c r="O892" t="str">
        <f>("6")</f>
        <v>6</v>
      </c>
      <c r="P892" t="str">
        <f>("Hemeleers Maaike")</f>
        <v>Hemeleers Maaike</v>
      </c>
      <c r="Q892">
        <v>4464</v>
      </c>
      <c r="S892">
        <v>6</v>
      </c>
    </row>
    <row r="893" spans="1:19" x14ac:dyDescent="0.3">
      <c r="A893" t="s">
        <v>0</v>
      </c>
      <c r="B893" s="1">
        <v>45578</v>
      </c>
      <c r="C893" t="str">
        <f t="shared" si="190"/>
        <v>33011</v>
      </c>
      <c r="D893" t="s">
        <v>8</v>
      </c>
      <c r="E893" t="str">
        <f t="shared" si="191"/>
        <v>11</v>
      </c>
      <c r="F893">
        <v>297391</v>
      </c>
      <c r="G893">
        <v>191660</v>
      </c>
      <c r="H893">
        <v>8521</v>
      </c>
      <c r="I893" t="str">
        <f t="shared" si="192"/>
        <v>4</v>
      </c>
      <c r="J893" t="str">
        <f t="shared" si="193"/>
        <v>VLAAMS BELANG</v>
      </c>
      <c r="K893">
        <v>24388</v>
      </c>
      <c r="L893">
        <v>12958</v>
      </c>
      <c r="M893">
        <v>37346</v>
      </c>
      <c r="N893">
        <v>3</v>
      </c>
      <c r="O893" t="str">
        <f>("7")</f>
        <v>7</v>
      </c>
      <c r="P893" t="str">
        <f>("Poelaert Juanita")</f>
        <v>Poelaert Juanita</v>
      </c>
      <c r="Q893">
        <v>4203</v>
      </c>
      <c r="S893">
        <v>7</v>
      </c>
    </row>
    <row r="894" spans="1:19" x14ac:dyDescent="0.3">
      <c r="A894" t="s">
        <v>0</v>
      </c>
      <c r="B894" s="1">
        <v>45578</v>
      </c>
      <c r="C894" t="str">
        <f t="shared" si="190"/>
        <v>33011</v>
      </c>
      <c r="D894" t="s">
        <v>8</v>
      </c>
      <c r="E894" t="str">
        <f t="shared" si="191"/>
        <v>11</v>
      </c>
      <c r="F894">
        <v>297391</v>
      </c>
      <c r="G894">
        <v>191660</v>
      </c>
      <c r="H894">
        <v>8521</v>
      </c>
      <c r="I894" t="str">
        <f t="shared" si="192"/>
        <v>4</v>
      </c>
      <c r="J894" t="str">
        <f t="shared" si="193"/>
        <v>VLAAMS BELANG</v>
      </c>
      <c r="K894">
        <v>24388</v>
      </c>
      <c r="L894">
        <v>12958</v>
      </c>
      <c r="M894">
        <v>37346</v>
      </c>
      <c r="N894">
        <v>3</v>
      </c>
      <c r="O894" t="str">
        <f>("8")</f>
        <v>8</v>
      </c>
      <c r="P894" t="str">
        <f>("De Mey Reddy")</f>
        <v>De Mey Reddy</v>
      </c>
      <c r="Q894">
        <v>4480</v>
      </c>
      <c r="S894">
        <v>5</v>
      </c>
    </row>
    <row r="895" spans="1:19" x14ac:dyDescent="0.3">
      <c r="A895" t="s">
        <v>0</v>
      </c>
      <c r="B895" s="1">
        <v>45578</v>
      </c>
      <c r="C895" t="str">
        <f t="shared" si="190"/>
        <v>33011</v>
      </c>
      <c r="D895" t="s">
        <v>8</v>
      </c>
      <c r="E895" t="str">
        <f t="shared" si="191"/>
        <v>11</v>
      </c>
      <c r="F895">
        <v>297391</v>
      </c>
      <c r="G895">
        <v>191660</v>
      </c>
      <c r="H895">
        <v>8521</v>
      </c>
      <c r="I895" t="str">
        <f t="shared" si="192"/>
        <v>4</v>
      </c>
      <c r="J895" t="str">
        <f t="shared" si="193"/>
        <v>VLAAMS BELANG</v>
      </c>
      <c r="K895">
        <v>24388</v>
      </c>
      <c r="L895">
        <v>12958</v>
      </c>
      <c r="M895">
        <v>37346</v>
      </c>
      <c r="N895">
        <v>3</v>
      </c>
      <c r="O895" t="str">
        <f>("9")</f>
        <v>9</v>
      </c>
      <c r="P895" t="str">
        <f>("Meurice Patrick")</f>
        <v>Meurice Patrick</v>
      </c>
      <c r="Q895">
        <v>4021</v>
      </c>
      <c r="S895">
        <v>8</v>
      </c>
    </row>
    <row r="896" spans="1:19" x14ac:dyDescent="0.3">
      <c r="A896" t="s">
        <v>0</v>
      </c>
      <c r="B896" s="1">
        <v>45578</v>
      </c>
      <c r="C896" t="str">
        <f t="shared" si="190"/>
        <v>33011</v>
      </c>
      <c r="D896" t="s">
        <v>8</v>
      </c>
      <c r="E896" t="str">
        <f t="shared" si="191"/>
        <v>11</v>
      </c>
      <c r="F896">
        <v>297391</v>
      </c>
      <c r="G896">
        <v>191660</v>
      </c>
      <c r="H896">
        <v>8521</v>
      </c>
      <c r="I896" t="str">
        <f t="shared" si="192"/>
        <v>4</v>
      </c>
      <c r="J896" t="str">
        <f t="shared" si="193"/>
        <v>VLAAMS BELANG</v>
      </c>
      <c r="K896">
        <v>24388</v>
      </c>
      <c r="L896">
        <v>12958</v>
      </c>
      <c r="M896">
        <v>37346</v>
      </c>
      <c r="N896">
        <v>3</v>
      </c>
      <c r="O896" t="str">
        <f>("10")</f>
        <v>10</v>
      </c>
      <c r="P896" t="str">
        <f>("T'Joens Sarah")</f>
        <v>T'Joens Sarah</v>
      </c>
      <c r="Q896">
        <v>4603</v>
      </c>
      <c r="S896">
        <v>1</v>
      </c>
    </row>
    <row r="897" spans="1:19" x14ac:dyDescent="0.3">
      <c r="A897" t="s">
        <v>0</v>
      </c>
      <c r="B897" s="1">
        <v>45578</v>
      </c>
      <c r="C897" t="str">
        <f t="shared" si="190"/>
        <v>33011</v>
      </c>
      <c r="D897" t="s">
        <v>8</v>
      </c>
      <c r="E897" t="str">
        <f t="shared" si="191"/>
        <v>11</v>
      </c>
      <c r="F897">
        <v>297391</v>
      </c>
      <c r="G897">
        <v>191660</v>
      </c>
      <c r="H897">
        <v>8521</v>
      </c>
      <c r="I897" t="str">
        <f t="shared" si="192"/>
        <v>4</v>
      </c>
      <c r="J897" t="str">
        <f t="shared" si="193"/>
        <v>VLAAMS BELANG</v>
      </c>
      <c r="K897">
        <v>24388</v>
      </c>
      <c r="L897">
        <v>12958</v>
      </c>
      <c r="M897">
        <v>37346</v>
      </c>
      <c r="N897">
        <v>3</v>
      </c>
      <c r="O897" t="str">
        <f>("11")</f>
        <v>11</v>
      </c>
      <c r="P897" t="str">
        <f>("Lamont Tom")</f>
        <v>Lamont Tom</v>
      </c>
      <c r="Q897">
        <v>5402</v>
      </c>
      <c r="R897">
        <v>2</v>
      </c>
    </row>
    <row r="898" spans="1:19" x14ac:dyDescent="0.3">
      <c r="A898" t="s">
        <v>0</v>
      </c>
      <c r="B898" s="1">
        <v>45578</v>
      </c>
      <c r="C898" t="str">
        <f t="shared" si="190"/>
        <v>33011</v>
      </c>
      <c r="D898" t="s">
        <v>8</v>
      </c>
      <c r="E898" t="str">
        <f t="shared" si="191"/>
        <v>11</v>
      </c>
      <c r="F898">
        <v>297391</v>
      </c>
      <c r="G898">
        <v>191660</v>
      </c>
      <c r="H898">
        <v>8521</v>
      </c>
      <c r="I898" t="str">
        <f t="shared" ref="I898:I908" si="194">("5")</f>
        <v>5</v>
      </c>
      <c r="J898" t="str">
        <f t="shared" ref="J898:J908" si="195">("N-VA")</f>
        <v>N-VA</v>
      </c>
      <c r="K898">
        <v>20186</v>
      </c>
      <c r="L898">
        <v>14354</v>
      </c>
      <c r="M898">
        <v>34540</v>
      </c>
      <c r="N898">
        <v>2</v>
      </c>
      <c r="O898" t="str">
        <f>("1")</f>
        <v>1</v>
      </c>
      <c r="P898" t="str">
        <f>("Aernoudt Wim")</f>
        <v>Aernoudt Wim</v>
      </c>
      <c r="Q898">
        <v>6766</v>
      </c>
      <c r="R898">
        <v>1</v>
      </c>
    </row>
    <row r="899" spans="1:19" x14ac:dyDescent="0.3">
      <c r="A899" t="s">
        <v>0</v>
      </c>
      <c r="B899" s="1">
        <v>45578</v>
      </c>
      <c r="C899" t="str">
        <f t="shared" si="190"/>
        <v>33011</v>
      </c>
      <c r="D899" t="s">
        <v>8</v>
      </c>
      <c r="E899" t="str">
        <f t="shared" si="191"/>
        <v>11</v>
      </c>
      <c r="F899">
        <v>297391</v>
      </c>
      <c r="G899">
        <v>191660</v>
      </c>
      <c r="H899">
        <v>8521</v>
      </c>
      <c r="I899" t="str">
        <f t="shared" si="194"/>
        <v>5</v>
      </c>
      <c r="J899" t="str">
        <f t="shared" si="195"/>
        <v>N-VA</v>
      </c>
      <c r="K899">
        <v>20186</v>
      </c>
      <c r="L899">
        <v>14354</v>
      </c>
      <c r="M899">
        <v>34540</v>
      </c>
      <c r="N899">
        <v>2</v>
      </c>
      <c r="O899" t="str">
        <f>("2")</f>
        <v>2</v>
      </c>
      <c r="P899" t="str">
        <f>("Speleers Anouk")</f>
        <v>Speleers Anouk</v>
      </c>
      <c r="Q899">
        <v>3951</v>
      </c>
      <c r="S899">
        <v>1</v>
      </c>
    </row>
    <row r="900" spans="1:19" x14ac:dyDescent="0.3">
      <c r="A900" t="s">
        <v>0</v>
      </c>
      <c r="B900" s="1">
        <v>45578</v>
      </c>
      <c r="C900" t="str">
        <f t="shared" si="190"/>
        <v>33011</v>
      </c>
      <c r="D900" t="s">
        <v>8</v>
      </c>
      <c r="E900" t="str">
        <f t="shared" si="191"/>
        <v>11</v>
      </c>
      <c r="F900">
        <v>297391</v>
      </c>
      <c r="G900">
        <v>191660</v>
      </c>
      <c r="H900">
        <v>8521</v>
      </c>
      <c r="I900" t="str">
        <f t="shared" si="194"/>
        <v>5</v>
      </c>
      <c r="J900" t="str">
        <f t="shared" si="195"/>
        <v>N-VA</v>
      </c>
      <c r="K900">
        <v>20186</v>
      </c>
      <c r="L900">
        <v>14354</v>
      </c>
      <c r="M900">
        <v>34540</v>
      </c>
      <c r="N900">
        <v>2</v>
      </c>
      <c r="O900" t="str">
        <f>("3")</f>
        <v>3</v>
      </c>
      <c r="P900" t="str">
        <f>("Hillewaere Peter")</f>
        <v>Hillewaere Peter</v>
      </c>
      <c r="Q900">
        <v>3858</v>
      </c>
      <c r="S900">
        <v>2</v>
      </c>
    </row>
    <row r="901" spans="1:19" x14ac:dyDescent="0.3">
      <c r="A901" t="s">
        <v>0</v>
      </c>
      <c r="B901" s="1">
        <v>45578</v>
      </c>
      <c r="C901" t="str">
        <f t="shared" si="190"/>
        <v>33011</v>
      </c>
      <c r="D901" t="s">
        <v>8</v>
      </c>
      <c r="E901" t="str">
        <f t="shared" si="191"/>
        <v>11</v>
      </c>
      <c r="F901">
        <v>297391</v>
      </c>
      <c r="G901">
        <v>191660</v>
      </c>
      <c r="H901">
        <v>8521</v>
      </c>
      <c r="I901" t="str">
        <f t="shared" si="194"/>
        <v>5</v>
      </c>
      <c r="J901" t="str">
        <f t="shared" si="195"/>
        <v>N-VA</v>
      </c>
      <c r="K901">
        <v>20186</v>
      </c>
      <c r="L901">
        <v>14354</v>
      </c>
      <c r="M901">
        <v>34540</v>
      </c>
      <c r="N901">
        <v>2</v>
      </c>
      <c r="O901" t="str">
        <f>("4")</f>
        <v>4</v>
      </c>
      <c r="P901" t="str">
        <f>("Vanslembrouck Veerle")</f>
        <v>Vanslembrouck Veerle</v>
      </c>
      <c r="Q901">
        <v>3328</v>
      </c>
      <c r="S901">
        <v>4</v>
      </c>
    </row>
    <row r="902" spans="1:19" x14ac:dyDescent="0.3">
      <c r="A902" t="s">
        <v>0</v>
      </c>
      <c r="B902" s="1">
        <v>45578</v>
      </c>
      <c r="C902" t="str">
        <f t="shared" si="190"/>
        <v>33011</v>
      </c>
      <c r="D902" t="s">
        <v>8</v>
      </c>
      <c r="E902" t="str">
        <f t="shared" si="191"/>
        <v>11</v>
      </c>
      <c r="F902">
        <v>297391</v>
      </c>
      <c r="G902">
        <v>191660</v>
      </c>
      <c r="H902">
        <v>8521</v>
      </c>
      <c r="I902" t="str">
        <f t="shared" si="194"/>
        <v>5</v>
      </c>
      <c r="J902" t="str">
        <f t="shared" si="195"/>
        <v>N-VA</v>
      </c>
      <c r="K902">
        <v>20186</v>
      </c>
      <c r="L902">
        <v>14354</v>
      </c>
      <c r="M902">
        <v>34540</v>
      </c>
      <c r="N902">
        <v>2</v>
      </c>
      <c r="O902" t="str">
        <f>("5")</f>
        <v>5</v>
      </c>
      <c r="P902" t="str">
        <f>("Denorme Jari")</f>
        <v>Denorme Jari</v>
      </c>
      <c r="Q902">
        <v>2848</v>
      </c>
      <c r="S902">
        <v>8</v>
      </c>
    </row>
    <row r="903" spans="1:19" x14ac:dyDescent="0.3">
      <c r="A903" t="s">
        <v>0</v>
      </c>
      <c r="B903" s="1">
        <v>45578</v>
      </c>
      <c r="C903" t="str">
        <f t="shared" si="190"/>
        <v>33011</v>
      </c>
      <c r="D903" t="s">
        <v>8</v>
      </c>
      <c r="E903" t="str">
        <f t="shared" si="191"/>
        <v>11</v>
      </c>
      <c r="F903">
        <v>297391</v>
      </c>
      <c r="G903">
        <v>191660</v>
      </c>
      <c r="H903">
        <v>8521</v>
      </c>
      <c r="I903" t="str">
        <f t="shared" si="194"/>
        <v>5</v>
      </c>
      <c r="J903" t="str">
        <f t="shared" si="195"/>
        <v>N-VA</v>
      </c>
      <c r="K903">
        <v>20186</v>
      </c>
      <c r="L903">
        <v>14354</v>
      </c>
      <c r="M903">
        <v>34540</v>
      </c>
      <c r="N903">
        <v>2</v>
      </c>
      <c r="O903" t="str">
        <f>("6")</f>
        <v>6</v>
      </c>
      <c r="P903" t="str">
        <f>("Sys Staf")</f>
        <v>Sys Staf</v>
      </c>
      <c r="Q903">
        <v>3038</v>
      </c>
      <c r="S903">
        <v>6</v>
      </c>
    </row>
    <row r="904" spans="1:19" x14ac:dyDescent="0.3">
      <c r="A904" t="s">
        <v>0</v>
      </c>
      <c r="B904" s="1">
        <v>45578</v>
      </c>
      <c r="C904" t="str">
        <f t="shared" si="190"/>
        <v>33011</v>
      </c>
      <c r="D904" t="s">
        <v>8</v>
      </c>
      <c r="E904" t="str">
        <f t="shared" si="191"/>
        <v>11</v>
      </c>
      <c r="F904">
        <v>297391</v>
      </c>
      <c r="G904">
        <v>191660</v>
      </c>
      <c r="H904">
        <v>8521</v>
      </c>
      <c r="I904" t="str">
        <f t="shared" si="194"/>
        <v>5</v>
      </c>
      <c r="J904" t="str">
        <f t="shared" si="195"/>
        <v>N-VA</v>
      </c>
      <c r="K904">
        <v>20186</v>
      </c>
      <c r="L904">
        <v>14354</v>
      </c>
      <c r="M904">
        <v>34540</v>
      </c>
      <c r="N904">
        <v>2</v>
      </c>
      <c r="O904" t="str">
        <f>("7")</f>
        <v>7</v>
      </c>
      <c r="P904" t="str">
        <f>("Dierickx Edouard")</f>
        <v>Dierickx Edouard</v>
      </c>
      <c r="Q904">
        <v>2695</v>
      </c>
      <c r="S904">
        <v>9</v>
      </c>
    </row>
    <row r="905" spans="1:19" x14ac:dyDescent="0.3">
      <c r="A905" t="s">
        <v>0</v>
      </c>
      <c r="B905" s="1">
        <v>45578</v>
      </c>
      <c r="C905" t="str">
        <f t="shared" si="190"/>
        <v>33011</v>
      </c>
      <c r="D905" t="s">
        <v>8</v>
      </c>
      <c r="E905" t="str">
        <f t="shared" si="191"/>
        <v>11</v>
      </c>
      <c r="F905">
        <v>297391</v>
      </c>
      <c r="G905">
        <v>191660</v>
      </c>
      <c r="H905">
        <v>8521</v>
      </c>
      <c r="I905" t="str">
        <f t="shared" si="194"/>
        <v>5</v>
      </c>
      <c r="J905" t="str">
        <f t="shared" si="195"/>
        <v>N-VA</v>
      </c>
      <c r="K905">
        <v>20186</v>
      </c>
      <c r="L905">
        <v>14354</v>
      </c>
      <c r="M905">
        <v>34540</v>
      </c>
      <c r="N905">
        <v>2</v>
      </c>
      <c r="O905" t="str">
        <f>("8")</f>
        <v>8</v>
      </c>
      <c r="P905" t="str">
        <f>("Steen Anuschka")</f>
        <v>Steen Anuschka</v>
      </c>
      <c r="Q905">
        <v>2891</v>
      </c>
      <c r="S905">
        <v>7</v>
      </c>
    </row>
    <row r="906" spans="1:19" x14ac:dyDescent="0.3">
      <c r="A906" t="s">
        <v>0</v>
      </c>
      <c r="B906" s="1">
        <v>45578</v>
      </c>
      <c r="C906" t="str">
        <f t="shared" si="190"/>
        <v>33011</v>
      </c>
      <c r="D906" t="s">
        <v>8</v>
      </c>
      <c r="E906" t="str">
        <f t="shared" si="191"/>
        <v>11</v>
      </c>
      <c r="F906">
        <v>297391</v>
      </c>
      <c r="G906">
        <v>191660</v>
      </c>
      <c r="H906">
        <v>8521</v>
      </c>
      <c r="I906" t="str">
        <f t="shared" si="194"/>
        <v>5</v>
      </c>
      <c r="J906" t="str">
        <f t="shared" si="195"/>
        <v>N-VA</v>
      </c>
      <c r="K906">
        <v>20186</v>
      </c>
      <c r="L906">
        <v>14354</v>
      </c>
      <c r="M906">
        <v>34540</v>
      </c>
      <c r="N906">
        <v>2</v>
      </c>
      <c r="O906" t="str">
        <f>("9")</f>
        <v>9</v>
      </c>
      <c r="P906" t="str">
        <f>("Michem Sarah")</f>
        <v>Michem Sarah</v>
      </c>
      <c r="Q906">
        <v>3103</v>
      </c>
      <c r="S906">
        <v>5</v>
      </c>
    </row>
    <row r="907" spans="1:19" x14ac:dyDescent="0.3">
      <c r="A907" t="s">
        <v>0</v>
      </c>
      <c r="B907" s="1">
        <v>45578</v>
      </c>
      <c r="C907" t="str">
        <f t="shared" si="190"/>
        <v>33011</v>
      </c>
      <c r="D907" t="s">
        <v>8</v>
      </c>
      <c r="E907" t="str">
        <f t="shared" si="191"/>
        <v>11</v>
      </c>
      <c r="F907">
        <v>297391</v>
      </c>
      <c r="G907">
        <v>191660</v>
      </c>
      <c r="H907">
        <v>8521</v>
      </c>
      <c r="I907" t="str">
        <f t="shared" si="194"/>
        <v>5</v>
      </c>
      <c r="J907" t="str">
        <f t="shared" si="195"/>
        <v>N-VA</v>
      </c>
      <c r="K907">
        <v>20186</v>
      </c>
      <c r="L907">
        <v>14354</v>
      </c>
      <c r="M907">
        <v>34540</v>
      </c>
      <c r="N907">
        <v>2</v>
      </c>
      <c r="O907" t="str">
        <f>("10")</f>
        <v>10</v>
      </c>
      <c r="P907" t="str">
        <f>("Ryde Eva")</f>
        <v>Ryde Eva</v>
      </c>
      <c r="Q907">
        <v>4458</v>
      </c>
      <c r="R907">
        <v>2</v>
      </c>
    </row>
    <row r="908" spans="1:19" x14ac:dyDescent="0.3">
      <c r="A908" t="s">
        <v>0</v>
      </c>
      <c r="B908" s="1">
        <v>45578</v>
      </c>
      <c r="C908" t="str">
        <f t="shared" si="190"/>
        <v>33011</v>
      </c>
      <c r="D908" t="s">
        <v>8</v>
      </c>
      <c r="E908" t="str">
        <f t="shared" si="191"/>
        <v>11</v>
      </c>
      <c r="F908">
        <v>297391</v>
      </c>
      <c r="G908">
        <v>191660</v>
      </c>
      <c r="H908">
        <v>8521</v>
      </c>
      <c r="I908" t="str">
        <f t="shared" si="194"/>
        <v>5</v>
      </c>
      <c r="J908" t="str">
        <f t="shared" si="195"/>
        <v>N-VA</v>
      </c>
      <c r="K908">
        <v>20186</v>
      </c>
      <c r="L908">
        <v>14354</v>
      </c>
      <c r="M908">
        <v>34540</v>
      </c>
      <c r="N908">
        <v>2</v>
      </c>
      <c r="O908" t="str">
        <f>("11")</f>
        <v>11</v>
      </c>
      <c r="P908" t="str">
        <f>("Coupillie Luc")</f>
        <v>Coupillie Luc</v>
      </c>
      <c r="Q908">
        <v>3799</v>
      </c>
      <c r="S908">
        <v>3</v>
      </c>
    </row>
    <row r="909" spans="1:19" x14ac:dyDescent="0.3">
      <c r="A909" t="s">
        <v>0</v>
      </c>
      <c r="B909" s="1">
        <v>45578</v>
      </c>
      <c r="C909" t="str">
        <f t="shared" si="190"/>
        <v>33011</v>
      </c>
      <c r="D909" t="s">
        <v>8</v>
      </c>
      <c r="E909" t="str">
        <f t="shared" si="191"/>
        <v>11</v>
      </c>
      <c r="F909">
        <v>297391</v>
      </c>
      <c r="G909">
        <v>191660</v>
      </c>
      <c r="H909">
        <v>8521</v>
      </c>
      <c r="I909" t="str">
        <f t="shared" ref="I909:I919" si="196">("6")</f>
        <v>6</v>
      </c>
      <c r="J909" t="str">
        <f t="shared" ref="J909:J919" si="197">("Open Vld")</f>
        <v>Open Vld</v>
      </c>
      <c r="K909">
        <v>6073</v>
      </c>
      <c r="L909">
        <v>15208</v>
      </c>
      <c r="M909">
        <v>21281</v>
      </c>
      <c r="N909">
        <v>1</v>
      </c>
      <c r="O909" t="str">
        <f>("1")</f>
        <v>1</v>
      </c>
      <c r="P909" t="str">
        <f>("Lahaye-Battheu Sabien")</f>
        <v>Lahaye-Battheu Sabien</v>
      </c>
      <c r="Q909">
        <v>8352</v>
      </c>
      <c r="R909">
        <v>1</v>
      </c>
    </row>
    <row r="910" spans="1:19" x14ac:dyDescent="0.3">
      <c r="A910" t="s">
        <v>0</v>
      </c>
      <c r="B910" s="1">
        <v>45578</v>
      </c>
      <c r="C910" t="str">
        <f t="shared" si="190"/>
        <v>33011</v>
      </c>
      <c r="D910" t="s">
        <v>8</v>
      </c>
      <c r="E910" t="str">
        <f t="shared" si="191"/>
        <v>11</v>
      </c>
      <c r="F910">
        <v>297391</v>
      </c>
      <c r="G910">
        <v>191660</v>
      </c>
      <c r="H910">
        <v>8521</v>
      </c>
      <c r="I910" t="str">
        <f t="shared" si="196"/>
        <v>6</v>
      </c>
      <c r="J910" t="str">
        <f t="shared" si="197"/>
        <v>Open Vld</v>
      </c>
      <c r="K910">
        <v>6073</v>
      </c>
      <c r="L910">
        <v>15208</v>
      </c>
      <c r="M910">
        <v>21281</v>
      </c>
      <c r="N910">
        <v>1</v>
      </c>
      <c r="O910" t="str">
        <f>("2")</f>
        <v>2</v>
      </c>
      <c r="P910" t="str">
        <f>("Dumarey Anthony")</f>
        <v>Dumarey Anthony</v>
      </c>
      <c r="Q910">
        <v>5026</v>
      </c>
      <c r="S910">
        <v>1</v>
      </c>
    </row>
    <row r="911" spans="1:19" x14ac:dyDescent="0.3">
      <c r="A911" t="s">
        <v>0</v>
      </c>
      <c r="B911" s="1">
        <v>45578</v>
      </c>
      <c r="C911" t="str">
        <f t="shared" si="190"/>
        <v>33011</v>
      </c>
      <c r="D911" t="s">
        <v>8</v>
      </c>
      <c r="E911" t="str">
        <f t="shared" si="191"/>
        <v>11</v>
      </c>
      <c r="F911">
        <v>297391</v>
      </c>
      <c r="G911">
        <v>191660</v>
      </c>
      <c r="H911">
        <v>8521</v>
      </c>
      <c r="I911" t="str">
        <f t="shared" si="196"/>
        <v>6</v>
      </c>
      <c r="J911" t="str">
        <f t="shared" si="197"/>
        <v>Open Vld</v>
      </c>
      <c r="K911">
        <v>6073</v>
      </c>
      <c r="L911">
        <v>15208</v>
      </c>
      <c r="M911">
        <v>21281</v>
      </c>
      <c r="N911">
        <v>1</v>
      </c>
      <c r="O911" t="str">
        <f>("3")</f>
        <v>3</v>
      </c>
      <c r="P911" t="str">
        <f>("Jonckheere Arianne")</f>
        <v>Jonckheere Arianne</v>
      </c>
      <c r="Q911">
        <v>2158</v>
      </c>
      <c r="S911">
        <v>5</v>
      </c>
    </row>
    <row r="912" spans="1:19" x14ac:dyDescent="0.3">
      <c r="A912" t="s">
        <v>0</v>
      </c>
      <c r="B912" s="1">
        <v>45578</v>
      </c>
      <c r="C912" t="str">
        <f t="shared" si="190"/>
        <v>33011</v>
      </c>
      <c r="D912" t="s">
        <v>8</v>
      </c>
      <c r="E912" t="str">
        <f t="shared" si="191"/>
        <v>11</v>
      </c>
      <c r="F912">
        <v>297391</v>
      </c>
      <c r="G912">
        <v>191660</v>
      </c>
      <c r="H912">
        <v>8521</v>
      </c>
      <c r="I912" t="str">
        <f t="shared" si="196"/>
        <v>6</v>
      </c>
      <c r="J912" t="str">
        <f t="shared" si="197"/>
        <v>Open Vld</v>
      </c>
      <c r="K912">
        <v>6073</v>
      </c>
      <c r="L912">
        <v>15208</v>
      </c>
      <c r="M912">
        <v>21281</v>
      </c>
      <c r="N912">
        <v>1</v>
      </c>
      <c r="O912" t="str">
        <f>("4")</f>
        <v>4</v>
      </c>
      <c r="P912" t="str">
        <f>("Dalle Bieke")</f>
        <v>Dalle Bieke</v>
      </c>
      <c r="Q912">
        <v>2311</v>
      </c>
      <c r="S912">
        <v>4</v>
      </c>
    </row>
    <row r="913" spans="1:19" x14ac:dyDescent="0.3">
      <c r="A913" t="s">
        <v>0</v>
      </c>
      <c r="B913" s="1">
        <v>45578</v>
      </c>
      <c r="C913" t="str">
        <f t="shared" si="190"/>
        <v>33011</v>
      </c>
      <c r="D913" t="s">
        <v>8</v>
      </c>
      <c r="E913" t="str">
        <f t="shared" si="191"/>
        <v>11</v>
      </c>
      <c r="F913">
        <v>297391</v>
      </c>
      <c r="G913">
        <v>191660</v>
      </c>
      <c r="H913">
        <v>8521</v>
      </c>
      <c r="I913" t="str">
        <f t="shared" si="196"/>
        <v>6</v>
      </c>
      <c r="J913" t="str">
        <f t="shared" si="197"/>
        <v>Open Vld</v>
      </c>
      <c r="K913">
        <v>6073</v>
      </c>
      <c r="L913">
        <v>15208</v>
      </c>
      <c r="M913">
        <v>21281</v>
      </c>
      <c r="N913">
        <v>1</v>
      </c>
      <c r="O913" t="str">
        <f>("5")</f>
        <v>5</v>
      </c>
      <c r="P913" t="str">
        <f>("Pieters David")</f>
        <v>Pieters David</v>
      </c>
      <c r="Q913">
        <v>2578</v>
      </c>
      <c r="S913">
        <v>3</v>
      </c>
    </row>
    <row r="914" spans="1:19" x14ac:dyDescent="0.3">
      <c r="A914" t="s">
        <v>0</v>
      </c>
      <c r="B914" s="1">
        <v>45578</v>
      </c>
      <c r="C914" t="str">
        <f t="shared" si="190"/>
        <v>33011</v>
      </c>
      <c r="D914" t="s">
        <v>8</v>
      </c>
      <c r="E914" t="str">
        <f t="shared" si="191"/>
        <v>11</v>
      </c>
      <c r="F914">
        <v>297391</v>
      </c>
      <c r="G914">
        <v>191660</v>
      </c>
      <c r="H914">
        <v>8521</v>
      </c>
      <c r="I914" t="str">
        <f t="shared" si="196"/>
        <v>6</v>
      </c>
      <c r="J914" t="str">
        <f t="shared" si="197"/>
        <v>Open Vld</v>
      </c>
      <c r="K914">
        <v>6073</v>
      </c>
      <c r="L914">
        <v>15208</v>
      </c>
      <c r="M914">
        <v>21281</v>
      </c>
      <c r="N914">
        <v>1</v>
      </c>
      <c r="O914" t="str">
        <f>("6")</f>
        <v>6</v>
      </c>
      <c r="P914" t="str">
        <f>("Bouton Sarah")</f>
        <v>Bouton Sarah</v>
      </c>
      <c r="Q914">
        <v>2150</v>
      </c>
      <c r="S914">
        <v>6</v>
      </c>
    </row>
    <row r="915" spans="1:19" x14ac:dyDescent="0.3">
      <c r="A915" t="s">
        <v>0</v>
      </c>
      <c r="B915" s="1">
        <v>45578</v>
      </c>
      <c r="C915" t="str">
        <f t="shared" si="190"/>
        <v>33011</v>
      </c>
      <c r="D915" t="s">
        <v>8</v>
      </c>
      <c r="E915" t="str">
        <f t="shared" si="191"/>
        <v>11</v>
      </c>
      <c r="F915">
        <v>297391</v>
      </c>
      <c r="G915">
        <v>191660</v>
      </c>
      <c r="H915">
        <v>8521</v>
      </c>
      <c r="I915" t="str">
        <f t="shared" si="196"/>
        <v>6</v>
      </c>
      <c r="J915" t="str">
        <f t="shared" si="197"/>
        <v>Open Vld</v>
      </c>
      <c r="K915">
        <v>6073</v>
      </c>
      <c r="L915">
        <v>15208</v>
      </c>
      <c r="M915">
        <v>21281</v>
      </c>
      <c r="N915">
        <v>1</v>
      </c>
      <c r="O915" t="str">
        <f>("7")</f>
        <v>7</v>
      </c>
      <c r="P915" t="str">
        <f>("Doom Pieter")</f>
        <v>Doom Pieter</v>
      </c>
      <c r="Q915">
        <v>1599</v>
      </c>
      <c r="S915">
        <v>9</v>
      </c>
    </row>
    <row r="916" spans="1:19" x14ac:dyDescent="0.3">
      <c r="A916" t="s">
        <v>0</v>
      </c>
      <c r="B916" s="1">
        <v>45578</v>
      </c>
      <c r="C916" t="str">
        <f t="shared" si="190"/>
        <v>33011</v>
      </c>
      <c r="D916" t="s">
        <v>8</v>
      </c>
      <c r="E916" t="str">
        <f t="shared" si="191"/>
        <v>11</v>
      </c>
      <c r="F916">
        <v>297391</v>
      </c>
      <c r="G916">
        <v>191660</v>
      </c>
      <c r="H916">
        <v>8521</v>
      </c>
      <c r="I916" t="str">
        <f t="shared" si="196"/>
        <v>6</v>
      </c>
      <c r="J916" t="str">
        <f t="shared" si="197"/>
        <v>Open Vld</v>
      </c>
      <c r="K916">
        <v>6073</v>
      </c>
      <c r="L916">
        <v>15208</v>
      </c>
      <c r="M916">
        <v>21281</v>
      </c>
      <c r="N916">
        <v>1</v>
      </c>
      <c r="O916" t="str">
        <f>("8")</f>
        <v>8</v>
      </c>
      <c r="P916" t="str">
        <f>("Allaert Stefanie")</f>
        <v>Allaert Stefanie</v>
      </c>
      <c r="Q916">
        <v>1534</v>
      </c>
      <c r="S916">
        <v>10</v>
      </c>
    </row>
    <row r="917" spans="1:19" x14ac:dyDescent="0.3">
      <c r="A917" t="s">
        <v>0</v>
      </c>
      <c r="B917" s="1">
        <v>45578</v>
      </c>
      <c r="C917" t="str">
        <f t="shared" si="190"/>
        <v>33011</v>
      </c>
      <c r="D917" t="s">
        <v>8</v>
      </c>
      <c r="E917" t="str">
        <f t="shared" si="191"/>
        <v>11</v>
      </c>
      <c r="F917">
        <v>297391</v>
      </c>
      <c r="G917">
        <v>191660</v>
      </c>
      <c r="H917">
        <v>8521</v>
      </c>
      <c r="I917" t="str">
        <f t="shared" si="196"/>
        <v>6</v>
      </c>
      <c r="J917" t="str">
        <f t="shared" si="197"/>
        <v>Open Vld</v>
      </c>
      <c r="K917">
        <v>6073</v>
      </c>
      <c r="L917">
        <v>15208</v>
      </c>
      <c r="M917">
        <v>21281</v>
      </c>
      <c r="N917">
        <v>1</v>
      </c>
      <c r="O917" t="str">
        <f>("9")</f>
        <v>9</v>
      </c>
      <c r="P917" t="str">
        <f>("Deschuytter Bjarni")</f>
        <v>Deschuytter Bjarni</v>
      </c>
      <c r="Q917">
        <v>1735</v>
      </c>
      <c r="S917">
        <v>7</v>
      </c>
    </row>
    <row r="918" spans="1:19" x14ac:dyDescent="0.3">
      <c r="A918" t="s">
        <v>0</v>
      </c>
      <c r="B918" s="1">
        <v>45578</v>
      </c>
      <c r="C918" t="str">
        <f t="shared" ref="C918:C940" si="198">("33011")</f>
        <v>33011</v>
      </c>
      <c r="D918" t="s">
        <v>8</v>
      </c>
      <c r="E918" t="str">
        <f t="shared" ref="E918:E940" si="199">("11")</f>
        <v>11</v>
      </c>
      <c r="F918">
        <v>297391</v>
      </c>
      <c r="G918">
        <v>191660</v>
      </c>
      <c r="H918">
        <v>8521</v>
      </c>
      <c r="I918" t="str">
        <f t="shared" si="196"/>
        <v>6</v>
      </c>
      <c r="J918" t="str">
        <f t="shared" si="197"/>
        <v>Open Vld</v>
      </c>
      <c r="K918">
        <v>6073</v>
      </c>
      <c r="L918">
        <v>15208</v>
      </c>
      <c r="M918">
        <v>21281</v>
      </c>
      <c r="N918">
        <v>1</v>
      </c>
      <c r="O918" t="str">
        <f>("10")</f>
        <v>10</v>
      </c>
      <c r="P918" t="str">
        <f>("Sioen Dirk")</f>
        <v>Sioen Dirk</v>
      </c>
      <c r="Q918">
        <v>1725</v>
      </c>
      <c r="S918">
        <v>8</v>
      </c>
    </row>
    <row r="919" spans="1:19" x14ac:dyDescent="0.3">
      <c r="A919" t="s">
        <v>0</v>
      </c>
      <c r="B919" s="1">
        <v>45578</v>
      </c>
      <c r="C919" t="str">
        <f t="shared" si="198"/>
        <v>33011</v>
      </c>
      <c r="D919" t="s">
        <v>8</v>
      </c>
      <c r="E919" t="str">
        <f t="shared" si="199"/>
        <v>11</v>
      </c>
      <c r="F919">
        <v>297391</v>
      </c>
      <c r="G919">
        <v>191660</v>
      </c>
      <c r="H919">
        <v>8521</v>
      </c>
      <c r="I919" t="str">
        <f t="shared" si="196"/>
        <v>6</v>
      </c>
      <c r="J919" t="str">
        <f t="shared" si="197"/>
        <v>Open Vld</v>
      </c>
      <c r="K919">
        <v>6073</v>
      </c>
      <c r="L919">
        <v>15208</v>
      </c>
      <c r="M919">
        <v>21281</v>
      </c>
      <c r="N919">
        <v>1</v>
      </c>
      <c r="O919" t="str">
        <f>("11")</f>
        <v>11</v>
      </c>
      <c r="P919" t="str">
        <f>("Mourisse Stephan")</f>
        <v>Mourisse Stephan</v>
      </c>
      <c r="Q919">
        <v>2694</v>
      </c>
      <c r="S919">
        <v>2</v>
      </c>
    </row>
    <row r="920" spans="1:19" x14ac:dyDescent="0.3">
      <c r="A920" t="s">
        <v>0</v>
      </c>
      <c r="B920" s="1">
        <v>45578</v>
      </c>
      <c r="C920" t="str">
        <f t="shared" si="198"/>
        <v>33011</v>
      </c>
      <c r="D920" t="s">
        <v>8</v>
      </c>
      <c r="E920" t="str">
        <f t="shared" si="199"/>
        <v>11</v>
      </c>
      <c r="F920">
        <v>297391</v>
      </c>
      <c r="G920">
        <v>191660</v>
      </c>
      <c r="H920">
        <v>8521</v>
      </c>
      <c r="I920" t="str">
        <f t="shared" ref="I920:I930" si="200">("7")</f>
        <v>7</v>
      </c>
      <c r="J920" t="str">
        <f t="shared" ref="J920:J930" si="201">("GROEN")</f>
        <v>GROEN</v>
      </c>
      <c r="K920">
        <v>5630</v>
      </c>
      <c r="L920">
        <v>4048</v>
      </c>
      <c r="M920">
        <v>9678</v>
      </c>
      <c r="N920">
        <v>0</v>
      </c>
      <c r="O920" t="str">
        <f>("1")</f>
        <v>1</v>
      </c>
      <c r="P920" t="str">
        <f>("Mahjor Farhat")</f>
        <v>Mahjor Farhat</v>
      </c>
      <c r="Q920">
        <v>1787</v>
      </c>
    </row>
    <row r="921" spans="1:19" x14ac:dyDescent="0.3">
      <c r="A921" t="s">
        <v>0</v>
      </c>
      <c r="B921" s="1">
        <v>45578</v>
      </c>
      <c r="C921" t="str">
        <f t="shared" si="198"/>
        <v>33011</v>
      </c>
      <c r="D921" t="s">
        <v>8</v>
      </c>
      <c r="E921" t="str">
        <f t="shared" si="199"/>
        <v>11</v>
      </c>
      <c r="F921">
        <v>297391</v>
      </c>
      <c r="G921">
        <v>191660</v>
      </c>
      <c r="H921">
        <v>8521</v>
      </c>
      <c r="I921" t="str">
        <f t="shared" si="200"/>
        <v>7</v>
      </c>
      <c r="J921" t="str">
        <f t="shared" si="201"/>
        <v>GROEN</v>
      </c>
      <c r="K921">
        <v>5630</v>
      </c>
      <c r="L921">
        <v>4048</v>
      </c>
      <c r="M921">
        <v>9678</v>
      </c>
      <c r="N921">
        <v>0</v>
      </c>
      <c r="O921" t="str">
        <f>("2")</f>
        <v>2</v>
      </c>
      <c r="P921" t="str">
        <f>("Devreese Renaat")</f>
        <v>Devreese Renaat</v>
      </c>
      <c r="Q921">
        <v>1478</v>
      </c>
    </row>
    <row r="922" spans="1:19" x14ac:dyDescent="0.3">
      <c r="A922" t="s">
        <v>0</v>
      </c>
      <c r="B922" s="1">
        <v>45578</v>
      </c>
      <c r="C922" t="str">
        <f t="shared" si="198"/>
        <v>33011</v>
      </c>
      <c r="D922" t="s">
        <v>8</v>
      </c>
      <c r="E922" t="str">
        <f t="shared" si="199"/>
        <v>11</v>
      </c>
      <c r="F922">
        <v>297391</v>
      </c>
      <c r="G922">
        <v>191660</v>
      </c>
      <c r="H922">
        <v>8521</v>
      </c>
      <c r="I922" t="str">
        <f t="shared" si="200"/>
        <v>7</v>
      </c>
      <c r="J922" t="str">
        <f t="shared" si="201"/>
        <v>GROEN</v>
      </c>
      <c r="K922">
        <v>5630</v>
      </c>
      <c r="L922">
        <v>4048</v>
      </c>
      <c r="M922">
        <v>9678</v>
      </c>
      <c r="N922">
        <v>0</v>
      </c>
      <c r="O922" t="str">
        <f>("3")</f>
        <v>3</v>
      </c>
      <c r="P922" t="str">
        <f>("Maertens Elke")</f>
        <v>Maertens Elke</v>
      </c>
      <c r="Q922">
        <v>1648</v>
      </c>
    </row>
    <row r="923" spans="1:19" x14ac:dyDescent="0.3">
      <c r="A923" t="s">
        <v>0</v>
      </c>
      <c r="B923" s="1">
        <v>45578</v>
      </c>
      <c r="C923" t="str">
        <f t="shared" si="198"/>
        <v>33011</v>
      </c>
      <c r="D923" t="s">
        <v>8</v>
      </c>
      <c r="E923" t="str">
        <f t="shared" si="199"/>
        <v>11</v>
      </c>
      <c r="F923">
        <v>297391</v>
      </c>
      <c r="G923">
        <v>191660</v>
      </c>
      <c r="H923">
        <v>8521</v>
      </c>
      <c r="I923" t="str">
        <f t="shared" si="200"/>
        <v>7</v>
      </c>
      <c r="J923" t="str">
        <f t="shared" si="201"/>
        <v>GROEN</v>
      </c>
      <c r="K923">
        <v>5630</v>
      </c>
      <c r="L923">
        <v>4048</v>
      </c>
      <c r="M923">
        <v>9678</v>
      </c>
      <c r="N923">
        <v>0</v>
      </c>
      <c r="O923" t="str">
        <f>("4")</f>
        <v>4</v>
      </c>
      <c r="P923" t="str">
        <f>("Vandemaele Matti")</f>
        <v>Vandemaele Matti</v>
      </c>
      <c r="Q923">
        <v>926</v>
      </c>
    </row>
    <row r="924" spans="1:19" x14ac:dyDescent="0.3">
      <c r="A924" t="s">
        <v>0</v>
      </c>
      <c r="B924" s="1">
        <v>45578</v>
      </c>
      <c r="C924" t="str">
        <f t="shared" si="198"/>
        <v>33011</v>
      </c>
      <c r="D924" t="s">
        <v>8</v>
      </c>
      <c r="E924" t="str">
        <f t="shared" si="199"/>
        <v>11</v>
      </c>
      <c r="F924">
        <v>297391</v>
      </c>
      <c r="G924">
        <v>191660</v>
      </c>
      <c r="H924">
        <v>8521</v>
      </c>
      <c r="I924" t="str">
        <f t="shared" si="200"/>
        <v>7</v>
      </c>
      <c r="J924" t="str">
        <f t="shared" si="201"/>
        <v>GROEN</v>
      </c>
      <c r="K924">
        <v>5630</v>
      </c>
      <c r="L924">
        <v>4048</v>
      </c>
      <c r="M924">
        <v>9678</v>
      </c>
      <c r="N924">
        <v>0</v>
      </c>
      <c r="O924" t="str">
        <f>("5")</f>
        <v>5</v>
      </c>
      <c r="P924" t="str">
        <f>("Laekeman Hanna")</f>
        <v>Laekeman Hanna</v>
      </c>
      <c r="Q924">
        <v>1351</v>
      </c>
    </row>
    <row r="925" spans="1:19" x14ac:dyDescent="0.3">
      <c r="A925" t="s">
        <v>0</v>
      </c>
      <c r="B925" s="1">
        <v>45578</v>
      </c>
      <c r="C925" t="str">
        <f t="shared" si="198"/>
        <v>33011</v>
      </c>
      <c r="D925" t="s">
        <v>8</v>
      </c>
      <c r="E925" t="str">
        <f t="shared" si="199"/>
        <v>11</v>
      </c>
      <c r="F925">
        <v>297391</v>
      </c>
      <c r="G925">
        <v>191660</v>
      </c>
      <c r="H925">
        <v>8521</v>
      </c>
      <c r="I925" t="str">
        <f t="shared" si="200"/>
        <v>7</v>
      </c>
      <c r="J925" t="str">
        <f t="shared" si="201"/>
        <v>GROEN</v>
      </c>
      <c r="K925">
        <v>5630</v>
      </c>
      <c r="L925">
        <v>4048</v>
      </c>
      <c r="M925">
        <v>9678</v>
      </c>
      <c r="N925">
        <v>0</v>
      </c>
      <c r="O925" t="str">
        <f>("6")</f>
        <v>6</v>
      </c>
      <c r="P925" t="str">
        <f>("Leye Ronny")</f>
        <v>Leye Ronny</v>
      </c>
      <c r="Q925">
        <v>874</v>
      </c>
    </row>
    <row r="926" spans="1:19" x14ac:dyDescent="0.3">
      <c r="A926" t="s">
        <v>0</v>
      </c>
      <c r="B926" s="1">
        <v>45578</v>
      </c>
      <c r="C926" t="str">
        <f t="shared" si="198"/>
        <v>33011</v>
      </c>
      <c r="D926" t="s">
        <v>8</v>
      </c>
      <c r="E926" t="str">
        <f t="shared" si="199"/>
        <v>11</v>
      </c>
      <c r="F926">
        <v>297391</v>
      </c>
      <c r="G926">
        <v>191660</v>
      </c>
      <c r="H926">
        <v>8521</v>
      </c>
      <c r="I926" t="str">
        <f t="shared" si="200"/>
        <v>7</v>
      </c>
      <c r="J926" t="str">
        <f t="shared" si="201"/>
        <v>GROEN</v>
      </c>
      <c r="K926">
        <v>5630</v>
      </c>
      <c r="L926">
        <v>4048</v>
      </c>
      <c r="M926">
        <v>9678</v>
      </c>
      <c r="N926">
        <v>0</v>
      </c>
      <c r="O926" t="str">
        <f>("7")</f>
        <v>7</v>
      </c>
      <c r="P926" t="str">
        <f>("Asaert Sofie")</f>
        <v>Asaert Sofie</v>
      </c>
      <c r="Q926">
        <v>1249</v>
      </c>
    </row>
    <row r="927" spans="1:19" x14ac:dyDescent="0.3">
      <c r="A927" t="s">
        <v>0</v>
      </c>
      <c r="B927" s="1">
        <v>45578</v>
      </c>
      <c r="C927" t="str">
        <f t="shared" si="198"/>
        <v>33011</v>
      </c>
      <c r="D927" t="s">
        <v>8</v>
      </c>
      <c r="E927" t="str">
        <f t="shared" si="199"/>
        <v>11</v>
      </c>
      <c r="F927">
        <v>297391</v>
      </c>
      <c r="G927">
        <v>191660</v>
      </c>
      <c r="H927">
        <v>8521</v>
      </c>
      <c r="I927" t="str">
        <f t="shared" si="200"/>
        <v>7</v>
      </c>
      <c r="J927" t="str">
        <f t="shared" si="201"/>
        <v>GROEN</v>
      </c>
      <c r="K927">
        <v>5630</v>
      </c>
      <c r="L927">
        <v>4048</v>
      </c>
      <c r="M927">
        <v>9678</v>
      </c>
      <c r="N927">
        <v>0</v>
      </c>
      <c r="O927" t="str">
        <f>("8")</f>
        <v>8</v>
      </c>
      <c r="P927" t="str">
        <f>("Otlet Andréa")</f>
        <v>Otlet Andréa</v>
      </c>
      <c r="Q927">
        <v>1016</v>
      </c>
    </row>
    <row r="928" spans="1:19" x14ac:dyDescent="0.3">
      <c r="A928" t="s">
        <v>0</v>
      </c>
      <c r="B928" s="1">
        <v>45578</v>
      </c>
      <c r="C928" t="str">
        <f t="shared" si="198"/>
        <v>33011</v>
      </c>
      <c r="D928" t="s">
        <v>8</v>
      </c>
      <c r="E928" t="str">
        <f t="shared" si="199"/>
        <v>11</v>
      </c>
      <c r="F928">
        <v>297391</v>
      </c>
      <c r="G928">
        <v>191660</v>
      </c>
      <c r="H928">
        <v>8521</v>
      </c>
      <c r="I928" t="str">
        <f t="shared" si="200"/>
        <v>7</v>
      </c>
      <c r="J928" t="str">
        <f t="shared" si="201"/>
        <v>GROEN</v>
      </c>
      <c r="K928">
        <v>5630</v>
      </c>
      <c r="L928">
        <v>4048</v>
      </c>
      <c r="M928">
        <v>9678</v>
      </c>
      <c r="N928">
        <v>0</v>
      </c>
      <c r="O928" t="str">
        <f>("9")</f>
        <v>9</v>
      </c>
      <c r="P928" t="str">
        <f>("Gryson Philippe")</f>
        <v>Gryson Philippe</v>
      </c>
      <c r="Q928">
        <v>873</v>
      </c>
    </row>
    <row r="929" spans="1:19" x14ac:dyDescent="0.3">
      <c r="A929" t="s">
        <v>0</v>
      </c>
      <c r="B929" s="1">
        <v>45578</v>
      </c>
      <c r="C929" t="str">
        <f t="shared" si="198"/>
        <v>33011</v>
      </c>
      <c r="D929" t="s">
        <v>8</v>
      </c>
      <c r="E929" t="str">
        <f t="shared" si="199"/>
        <v>11</v>
      </c>
      <c r="F929">
        <v>297391</v>
      </c>
      <c r="G929">
        <v>191660</v>
      </c>
      <c r="H929">
        <v>8521</v>
      </c>
      <c r="I929" t="str">
        <f t="shared" si="200"/>
        <v>7</v>
      </c>
      <c r="J929" t="str">
        <f t="shared" si="201"/>
        <v>GROEN</v>
      </c>
      <c r="K929">
        <v>5630</v>
      </c>
      <c r="L929">
        <v>4048</v>
      </c>
      <c r="M929">
        <v>9678</v>
      </c>
      <c r="N929">
        <v>0</v>
      </c>
      <c r="O929" t="str">
        <f>("10")</f>
        <v>10</v>
      </c>
      <c r="P929" t="str">
        <f>("Lodewyckx Herman")</f>
        <v>Lodewyckx Herman</v>
      </c>
      <c r="Q929">
        <v>915</v>
      </c>
    </row>
    <row r="930" spans="1:19" x14ac:dyDescent="0.3">
      <c r="A930" t="s">
        <v>0</v>
      </c>
      <c r="B930" s="1">
        <v>45578</v>
      </c>
      <c r="C930" t="str">
        <f t="shared" si="198"/>
        <v>33011</v>
      </c>
      <c r="D930" t="s">
        <v>8</v>
      </c>
      <c r="E930" t="str">
        <f t="shared" si="199"/>
        <v>11</v>
      </c>
      <c r="F930">
        <v>297391</v>
      </c>
      <c r="G930">
        <v>191660</v>
      </c>
      <c r="H930">
        <v>8521</v>
      </c>
      <c r="I930" t="str">
        <f t="shared" si="200"/>
        <v>7</v>
      </c>
      <c r="J930" t="str">
        <f t="shared" si="201"/>
        <v>GROEN</v>
      </c>
      <c r="K930">
        <v>5630</v>
      </c>
      <c r="L930">
        <v>4048</v>
      </c>
      <c r="M930">
        <v>9678</v>
      </c>
      <c r="N930">
        <v>0</v>
      </c>
      <c r="O930" t="str">
        <f>("11")</f>
        <v>11</v>
      </c>
      <c r="P930" t="str">
        <f>("Vaneeckhout Jeremie")</f>
        <v>Vaneeckhout Jeremie</v>
      </c>
      <c r="Q930">
        <v>1316</v>
      </c>
    </row>
    <row r="931" spans="1:19" x14ac:dyDescent="0.3">
      <c r="A931" t="s">
        <v>0</v>
      </c>
      <c r="B931" s="1">
        <v>45578</v>
      </c>
      <c r="C931" t="str">
        <f t="shared" si="198"/>
        <v>33011</v>
      </c>
      <c r="D931" t="s">
        <v>8</v>
      </c>
      <c r="E931" t="str">
        <f t="shared" si="199"/>
        <v>11</v>
      </c>
      <c r="F931">
        <v>297391</v>
      </c>
      <c r="G931">
        <v>191660</v>
      </c>
      <c r="H931">
        <v>8521</v>
      </c>
      <c r="I931" t="str">
        <f>("8")</f>
        <v>8</v>
      </c>
      <c r="J931" t="str">
        <f>("V.I.T.A.L.")</f>
        <v>V.I.T.A.L.</v>
      </c>
      <c r="K931">
        <v>243</v>
      </c>
      <c r="L931">
        <v>344</v>
      </c>
      <c r="M931">
        <v>587</v>
      </c>
      <c r="N931">
        <v>0</v>
      </c>
      <c r="O931" t="str">
        <f>("1")</f>
        <v>1</v>
      </c>
      <c r="P931" t="str">
        <f>("Haghebaert Vital")</f>
        <v>Haghebaert Vital</v>
      </c>
      <c r="Q931">
        <v>344</v>
      </c>
    </row>
    <row r="932" spans="1:19" x14ac:dyDescent="0.3">
      <c r="A932" t="s">
        <v>0</v>
      </c>
      <c r="B932" s="1">
        <v>45578</v>
      </c>
      <c r="C932" t="str">
        <f t="shared" si="198"/>
        <v>33011</v>
      </c>
      <c r="D932" t="s">
        <v>8</v>
      </c>
      <c r="E932" t="str">
        <f t="shared" si="199"/>
        <v>11</v>
      </c>
      <c r="F932">
        <v>297391</v>
      </c>
      <c r="G932">
        <v>191660</v>
      </c>
      <c r="H932">
        <v>8521</v>
      </c>
      <c r="I932" t="str">
        <f t="shared" ref="I932:I940" si="202">("9")</f>
        <v>9</v>
      </c>
      <c r="J932" t="str">
        <f t="shared" ref="J932:J940" si="203">("SVD")</f>
        <v>SVD</v>
      </c>
      <c r="K932">
        <v>274</v>
      </c>
      <c r="L932">
        <v>450</v>
      </c>
      <c r="M932">
        <v>724</v>
      </c>
      <c r="N932">
        <v>0</v>
      </c>
      <c r="O932" t="str">
        <f>("1")</f>
        <v>1</v>
      </c>
      <c r="P932" t="str">
        <f>("Devos Steven")</f>
        <v>Devos Steven</v>
      </c>
      <c r="Q932">
        <v>269</v>
      </c>
    </row>
    <row r="933" spans="1:19" x14ac:dyDescent="0.3">
      <c r="A933" t="s">
        <v>0</v>
      </c>
      <c r="B933" s="1">
        <v>45578</v>
      </c>
      <c r="C933" t="str">
        <f t="shared" si="198"/>
        <v>33011</v>
      </c>
      <c r="D933" t="s">
        <v>8</v>
      </c>
      <c r="E933" t="str">
        <f t="shared" si="199"/>
        <v>11</v>
      </c>
      <c r="F933">
        <v>297391</v>
      </c>
      <c r="G933">
        <v>191660</v>
      </c>
      <c r="H933">
        <v>8521</v>
      </c>
      <c r="I933" t="str">
        <f t="shared" si="202"/>
        <v>9</v>
      </c>
      <c r="J933" t="str">
        <f t="shared" si="203"/>
        <v>SVD</v>
      </c>
      <c r="K933">
        <v>274</v>
      </c>
      <c r="L933">
        <v>450</v>
      </c>
      <c r="M933">
        <v>724</v>
      </c>
      <c r="N933">
        <v>0</v>
      </c>
      <c r="O933" t="str">
        <f>("2")</f>
        <v>2</v>
      </c>
      <c r="P933" t="str">
        <f>("Schampaert Caroline")</f>
        <v>Schampaert Caroline</v>
      </c>
      <c r="Q933">
        <v>97</v>
      </c>
    </row>
    <row r="934" spans="1:19" x14ac:dyDescent="0.3">
      <c r="A934" t="s">
        <v>0</v>
      </c>
      <c r="B934" s="1">
        <v>45578</v>
      </c>
      <c r="C934" t="str">
        <f t="shared" si="198"/>
        <v>33011</v>
      </c>
      <c r="D934" t="s">
        <v>8</v>
      </c>
      <c r="E934" t="str">
        <f t="shared" si="199"/>
        <v>11</v>
      </c>
      <c r="F934">
        <v>297391</v>
      </c>
      <c r="G934">
        <v>191660</v>
      </c>
      <c r="H934">
        <v>8521</v>
      </c>
      <c r="I934" t="str">
        <f t="shared" si="202"/>
        <v>9</v>
      </c>
      <c r="J934" t="str">
        <f t="shared" si="203"/>
        <v>SVD</v>
      </c>
      <c r="K934">
        <v>274</v>
      </c>
      <c r="L934">
        <v>450</v>
      </c>
      <c r="M934">
        <v>724</v>
      </c>
      <c r="N934">
        <v>0</v>
      </c>
      <c r="O934" t="str">
        <f>("3")</f>
        <v>3</v>
      </c>
      <c r="P934" t="str">
        <f>("Stratsaert Alain")</f>
        <v>Stratsaert Alain</v>
      </c>
      <c r="Q934">
        <v>114</v>
      </c>
    </row>
    <row r="935" spans="1:19" x14ac:dyDescent="0.3">
      <c r="A935" t="s">
        <v>0</v>
      </c>
      <c r="B935" s="1">
        <v>45578</v>
      </c>
      <c r="C935" t="str">
        <f t="shared" si="198"/>
        <v>33011</v>
      </c>
      <c r="D935" t="s">
        <v>8</v>
      </c>
      <c r="E935" t="str">
        <f t="shared" si="199"/>
        <v>11</v>
      </c>
      <c r="F935">
        <v>297391</v>
      </c>
      <c r="G935">
        <v>191660</v>
      </c>
      <c r="H935">
        <v>8521</v>
      </c>
      <c r="I935" t="str">
        <f t="shared" si="202"/>
        <v>9</v>
      </c>
      <c r="J935" t="str">
        <f t="shared" si="203"/>
        <v>SVD</v>
      </c>
      <c r="K935">
        <v>274</v>
      </c>
      <c r="L935">
        <v>450</v>
      </c>
      <c r="M935">
        <v>724</v>
      </c>
      <c r="N935">
        <v>0</v>
      </c>
      <c r="O935" t="str">
        <f>("4")</f>
        <v>4</v>
      </c>
      <c r="P935" t="str">
        <f>("Doom Angelique")</f>
        <v>Doom Angelique</v>
      </c>
      <c r="Q935">
        <v>95</v>
      </c>
    </row>
    <row r="936" spans="1:19" x14ac:dyDescent="0.3">
      <c r="A936" t="s">
        <v>0</v>
      </c>
      <c r="B936" s="1">
        <v>45578</v>
      </c>
      <c r="C936" t="str">
        <f t="shared" si="198"/>
        <v>33011</v>
      </c>
      <c r="D936" t="s">
        <v>8</v>
      </c>
      <c r="E936" t="str">
        <f t="shared" si="199"/>
        <v>11</v>
      </c>
      <c r="F936">
        <v>297391</v>
      </c>
      <c r="G936">
        <v>191660</v>
      </c>
      <c r="H936">
        <v>8521</v>
      </c>
      <c r="I936" t="str">
        <f t="shared" si="202"/>
        <v>9</v>
      </c>
      <c r="J936" t="str">
        <f t="shared" si="203"/>
        <v>SVD</v>
      </c>
      <c r="K936">
        <v>274</v>
      </c>
      <c r="L936">
        <v>450</v>
      </c>
      <c r="M936">
        <v>724</v>
      </c>
      <c r="N936">
        <v>0</v>
      </c>
      <c r="O936" t="str">
        <f>("5")</f>
        <v>5</v>
      </c>
      <c r="P936" t="str">
        <f>("Wuestenberg Andy")</f>
        <v>Wuestenberg Andy</v>
      </c>
      <c r="Q936">
        <v>88</v>
      </c>
    </row>
    <row r="937" spans="1:19" x14ac:dyDescent="0.3">
      <c r="A937" t="s">
        <v>0</v>
      </c>
      <c r="B937" s="1">
        <v>45578</v>
      </c>
      <c r="C937" t="str">
        <f t="shared" si="198"/>
        <v>33011</v>
      </c>
      <c r="D937" t="s">
        <v>8</v>
      </c>
      <c r="E937" t="str">
        <f t="shared" si="199"/>
        <v>11</v>
      </c>
      <c r="F937">
        <v>297391</v>
      </c>
      <c r="G937">
        <v>191660</v>
      </c>
      <c r="H937">
        <v>8521</v>
      </c>
      <c r="I937" t="str">
        <f t="shared" si="202"/>
        <v>9</v>
      </c>
      <c r="J937" t="str">
        <f t="shared" si="203"/>
        <v>SVD</v>
      </c>
      <c r="K937">
        <v>274</v>
      </c>
      <c r="L937">
        <v>450</v>
      </c>
      <c r="M937">
        <v>724</v>
      </c>
      <c r="N937">
        <v>0</v>
      </c>
      <c r="O937" t="str">
        <f>("6")</f>
        <v>6</v>
      </c>
      <c r="P937" t="str">
        <f>("Debal Charlotte")</f>
        <v>Debal Charlotte</v>
      </c>
      <c r="Q937">
        <v>114</v>
      </c>
    </row>
    <row r="938" spans="1:19" x14ac:dyDescent="0.3">
      <c r="A938" t="s">
        <v>0</v>
      </c>
      <c r="B938" s="1">
        <v>45578</v>
      </c>
      <c r="C938" t="str">
        <f t="shared" si="198"/>
        <v>33011</v>
      </c>
      <c r="D938" t="s">
        <v>8</v>
      </c>
      <c r="E938" t="str">
        <f t="shared" si="199"/>
        <v>11</v>
      </c>
      <c r="F938">
        <v>297391</v>
      </c>
      <c r="G938">
        <v>191660</v>
      </c>
      <c r="H938">
        <v>8521</v>
      </c>
      <c r="I938" t="str">
        <f t="shared" si="202"/>
        <v>9</v>
      </c>
      <c r="J938" t="str">
        <f t="shared" si="203"/>
        <v>SVD</v>
      </c>
      <c r="K938">
        <v>274</v>
      </c>
      <c r="L938">
        <v>450</v>
      </c>
      <c r="M938">
        <v>724</v>
      </c>
      <c r="N938">
        <v>0</v>
      </c>
      <c r="O938" t="str">
        <f>("7")</f>
        <v>7</v>
      </c>
      <c r="P938" t="str">
        <f>("Boute Christian")</f>
        <v>Boute Christian</v>
      </c>
      <c r="Q938">
        <v>75</v>
      </c>
    </row>
    <row r="939" spans="1:19" x14ac:dyDescent="0.3">
      <c r="A939" t="s">
        <v>0</v>
      </c>
      <c r="B939" s="1">
        <v>45578</v>
      </c>
      <c r="C939" t="str">
        <f t="shared" si="198"/>
        <v>33011</v>
      </c>
      <c r="D939" t="s">
        <v>8</v>
      </c>
      <c r="E939" t="str">
        <f t="shared" si="199"/>
        <v>11</v>
      </c>
      <c r="F939">
        <v>297391</v>
      </c>
      <c r="G939">
        <v>191660</v>
      </c>
      <c r="H939">
        <v>8521</v>
      </c>
      <c r="I939" t="str">
        <f t="shared" si="202"/>
        <v>9</v>
      </c>
      <c r="J939" t="str">
        <f t="shared" si="203"/>
        <v>SVD</v>
      </c>
      <c r="K939">
        <v>274</v>
      </c>
      <c r="L939">
        <v>450</v>
      </c>
      <c r="M939">
        <v>724</v>
      </c>
      <c r="N939">
        <v>0</v>
      </c>
      <c r="O939" t="str">
        <f>("8")</f>
        <v>8</v>
      </c>
      <c r="P939" t="str">
        <f>("Claessens Bieke")</f>
        <v>Claessens Bieke</v>
      </c>
      <c r="Q939">
        <v>90</v>
      </c>
    </row>
    <row r="940" spans="1:19" x14ac:dyDescent="0.3">
      <c r="A940" t="s">
        <v>0</v>
      </c>
      <c r="B940" s="1">
        <v>45578</v>
      </c>
      <c r="C940" t="str">
        <f t="shared" si="198"/>
        <v>33011</v>
      </c>
      <c r="D940" t="s">
        <v>8</v>
      </c>
      <c r="E940" t="str">
        <f t="shared" si="199"/>
        <v>11</v>
      </c>
      <c r="F940">
        <v>297391</v>
      </c>
      <c r="G940">
        <v>191660</v>
      </c>
      <c r="H940">
        <v>8521</v>
      </c>
      <c r="I940" t="str">
        <f t="shared" si="202"/>
        <v>9</v>
      </c>
      <c r="J940" t="str">
        <f t="shared" si="203"/>
        <v>SVD</v>
      </c>
      <c r="K940">
        <v>274</v>
      </c>
      <c r="L940">
        <v>450</v>
      </c>
      <c r="M940">
        <v>724</v>
      </c>
      <c r="N940">
        <v>0</v>
      </c>
      <c r="O940" t="str">
        <f>("9")</f>
        <v>9</v>
      </c>
      <c r="P940" t="str">
        <f>("Desnouck Marc")</f>
        <v>Desnouck Marc</v>
      </c>
      <c r="Q940">
        <v>98</v>
      </c>
    </row>
    <row r="941" spans="1:19" x14ac:dyDescent="0.3">
      <c r="A941" t="s">
        <v>0</v>
      </c>
      <c r="B941" s="1">
        <v>45578</v>
      </c>
      <c r="C941" t="str">
        <f t="shared" ref="C941:C972" si="204">("34022")</f>
        <v>34022</v>
      </c>
      <c r="D941" t="s">
        <v>9</v>
      </c>
      <c r="E941" t="str">
        <f t="shared" ref="E941:E1004" si="205">("16")</f>
        <v>16</v>
      </c>
      <c r="F941">
        <v>415132</v>
      </c>
      <c r="G941">
        <v>270680</v>
      </c>
      <c r="H941">
        <v>11163</v>
      </c>
      <c r="I941" t="str">
        <f t="shared" ref="I941:I956" si="206">("1")</f>
        <v>1</v>
      </c>
      <c r="J941" t="str">
        <f t="shared" ref="J941:J956" si="207">("Vooruit")</f>
        <v>Vooruit</v>
      </c>
      <c r="K941">
        <v>18674</v>
      </c>
      <c r="L941">
        <v>14840</v>
      </c>
      <c r="M941">
        <v>33514</v>
      </c>
      <c r="N941">
        <v>2</v>
      </c>
      <c r="O941" t="str">
        <f>("1")</f>
        <v>1</v>
      </c>
      <c r="P941" t="str">
        <f>("Bekaert Simon")</f>
        <v>Bekaert Simon</v>
      </c>
      <c r="Q941">
        <v>6567</v>
      </c>
      <c r="R941">
        <v>1</v>
      </c>
    </row>
    <row r="942" spans="1:19" x14ac:dyDescent="0.3">
      <c r="A942" t="s">
        <v>0</v>
      </c>
      <c r="B942" s="1">
        <v>45578</v>
      </c>
      <c r="C942" t="str">
        <f t="shared" si="204"/>
        <v>34022</v>
      </c>
      <c r="D942" t="s">
        <v>9</v>
      </c>
      <c r="E942" t="str">
        <f t="shared" si="205"/>
        <v>16</v>
      </c>
      <c r="F942">
        <v>415132</v>
      </c>
      <c r="G942">
        <v>270680</v>
      </c>
      <c r="H942">
        <v>11163</v>
      </c>
      <c r="I942" t="str">
        <f t="shared" si="206"/>
        <v>1</v>
      </c>
      <c r="J942" t="str">
        <f t="shared" si="207"/>
        <v>Vooruit</v>
      </c>
      <c r="K942">
        <v>18674</v>
      </c>
      <c r="L942">
        <v>14840</v>
      </c>
      <c r="M942">
        <v>33514</v>
      </c>
      <c r="N942">
        <v>2</v>
      </c>
      <c r="O942" t="str">
        <f>("2")</f>
        <v>2</v>
      </c>
      <c r="P942" t="str">
        <f>("Fahi Rania")</f>
        <v>Fahi Rania</v>
      </c>
      <c r="Q942">
        <v>3312</v>
      </c>
      <c r="S942">
        <v>2</v>
      </c>
    </row>
    <row r="943" spans="1:19" x14ac:dyDescent="0.3">
      <c r="A943" t="s">
        <v>0</v>
      </c>
      <c r="B943" s="1">
        <v>45578</v>
      </c>
      <c r="C943" t="str">
        <f t="shared" si="204"/>
        <v>34022</v>
      </c>
      <c r="D943" t="s">
        <v>9</v>
      </c>
      <c r="E943" t="str">
        <f t="shared" si="205"/>
        <v>16</v>
      </c>
      <c r="F943">
        <v>415132</v>
      </c>
      <c r="G943">
        <v>270680</v>
      </c>
      <c r="H943">
        <v>11163</v>
      </c>
      <c r="I943" t="str">
        <f t="shared" si="206"/>
        <v>1</v>
      </c>
      <c r="J943" t="str">
        <f t="shared" si="207"/>
        <v>Vooruit</v>
      </c>
      <c r="K943">
        <v>18674</v>
      </c>
      <c r="L943">
        <v>14840</v>
      </c>
      <c r="M943">
        <v>33514</v>
      </c>
      <c r="N943">
        <v>2</v>
      </c>
      <c r="O943" t="str">
        <f>("3")</f>
        <v>3</v>
      </c>
      <c r="P943" t="str">
        <f>("Yaftali Ershad")</f>
        <v>Yaftali Ershad</v>
      </c>
      <c r="Q943">
        <v>2459</v>
      </c>
      <c r="S943">
        <v>10</v>
      </c>
    </row>
    <row r="944" spans="1:19" x14ac:dyDescent="0.3">
      <c r="A944" t="s">
        <v>0</v>
      </c>
      <c r="B944" s="1">
        <v>45578</v>
      </c>
      <c r="C944" t="str">
        <f t="shared" si="204"/>
        <v>34022</v>
      </c>
      <c r="D944" t="s">
        <v>9</v>
      </c>
      <c r="E944" t="str">
        <f t="shared" si="205"/>
        <v>16</v>
      </c>
      <c r="F944">
        <v>415132</v>
      </c>
      <c r="G944">
        <v>270680</v>
      </c>
      <c r="H944">
        <v>11163</v>
      </c>
      <c r="I944" t="str">
        <f t="shared" si="206"/>
        <v>1</v>
      </c>
      <c r="J944" t="str">
        <f t="shared" si="207"/>
        <v>Vooruit</v>
      </c>
      <c r="K944">
        <v>18674</v>
      </c>
      <c r="L944">
        <v>14840</v>
      </c>
      <c r="M944">
        <v>33514</v>
      </c>
      <c r="N944">
        <v>2</v>
      </c>
      <c r="O944" t="str">
        <f>("4")</f>
        <v>4</v>
      </c>
      <c r="P944" t="str">
        <f>("Vandewatere Julie")</f>
        <v>Vandewatere Julie</v>
      </c>
      <c r="Q944">
        <v>3522</v>
      </c>
      <c r="S944">
        <v>1</v>
      </c>
    </row>
    <row r="945" spans="1:19" x14ac:dyDescent="0.3">
      <c r="A945" t="s">
        <v>0</v>
      </c>
      <c r="B945" s="1">
        <v>45578</v>
      </c>
      <c r="C945" t="str">
        <f t="shared" si="204"/>
        <v>34022</v>
      </c>
      <c r="D945" t="s">
        <v>9</v>
      </c>
      <c r="E945" t="str">
        <f t="shared" si="205"/>
        <v>16</v>
      </c>
      <c r="F945">
        <v>415132</v>
      </c>
      <c r="G945">
        <v>270680</v>
      </c>
      <c r="H945">
        <v>11163</v>
      </c>
      <c r="I945" t="str">
        <f t="shared" si="206"/>
        <v>1</v>
      </c>
      <c r="J945" t="str">
        <f t="shared" si="207"/>
        <v>Vooruit</v>
      </c>
      <c r="K945">
        <v>18674</v>
      </c>
      <c r="L945">
        <v>14840</v>
      </c>
      <c r="M945">
        <v>33514</v>
      </c>
      <c r="N945">
        <v>2</v>
      </c>
      <c r="O945" t="str">
        <f>("5")</f>
        <v>5</v>
      </c>
      <c r="P945" t="str">
        <f>("El Haddaji Youssef")</f>
        <v>El Haddaji Youssef</v>
      </c>
      <c r="Q945">
        <v>2948</v>
      </c>
      <c r="S945">
        <v>3</v>
      </c>
    </row>
    <row r="946" spans="1:19" x14ac:dyDescent="0.3">
      <c r="A946" t="s">
        <v>0</v>
      </c>
      <c r="B946" s="1">
        <v>45578</v>
      </c>
      <c r="C946" t="str">
        <f t="shared" si="204"/>
        <v>34022</v>
      </c>
      <c r="D946" t="s">
        <v>9</v>
      </c>
      <c r="E946" t="str">
        <f t="shared" si="205"/>
        <v>16</v>
      </c>
      <c r="F946">
        <v>415132</v>
      </c>
      <c r="G946">
        <v>270680</v>
      </c>
      <c r="H946">
        <v>11163</v>
      </c>
      <c r="I946" t="str">
        <f t="shared" si="206"/>
        <v>1</v>
      </c>
      <c r="J946" t="str">
        <f t="shared" si="207"/>
        <v>Vooruit</v>
      </c>
      <c r="K946">
        <v>18674</v>
      </c>
      <c r="L946">
        <v>14840</v>
      </c>
      <c r="M946">
        <v>33514</v>
      </c>
      <c r="N946">
        <v>2</v>
      </c>
      <c r="O946" t="str">
        <f>("6")</f>
        <v>6</v>
      </c>
      <c r="P946" t="str">
        <f>("Hennion Britt")</f>
        <v>Hennion Britt</v>
      </c>
      <c r="Q946">
        <v>2657</v>
      </c>
      <c r="S946">
        <v>7</v>
      </c>
    </row>
    <row r="947" spans="1:19" x14ac:dyDescent="0.3">
      <c r="A947" t="s">
        <v>0</v>
      </c>
      <c r="B947" s="1">
        <v>45578</v>
      </c>
      <c r="C947" t="str">
        <f t="shared" si="204"/>
        <v>34022</v>
      </c>
      <c r="D947" t="s">
        <v>9</v>
      </c>
      <c r="E947" t="str">
        <f t="shared" si="205"/>
        <v>16</v>
      </c>
      <c r="F947">
        <v>415132</v>
      </c>
      <c r="G947">
        <v>270680</v>
      </c>
      <c r="H947">
        <v>11163</v>
      </c>
      <c r="I947" t="str">
        <f t="shared" si="206"/>
        <v>1</v>
      </c>
      <c r="J947" t="str">
        <f t="shared" si="207"/>
        <v>Vooruit</v>
      </c>
      <c r="K947">
        <v>18674</v>
      </c>
      <c r="L947">
        <v>14840</v>
      </c>
      <c r="M947">
        <v>33514</v>
      </c>
      <c r="N947">
        <v>2</v>
      </c>
      <c r="O947" t="str">
        <f>("7")</f>
        <v>7</v>
      </c>
      <c r="P947" t="str">
        <f>("Casier Connor")</f>
        <v>Casier Connor</v>
      </c>
      <c r="Q947">
        <v>2548</v>
      </c>
      <c r="S947">
        <v>8</v>
      </c>
    </row>
    <row r="948" spans="1:19" x14ac:dyDescent="0.3">
      <c r="A948" t="s">
        <v>0</v>
      </c>
      <c r="B948" s="1">
        <v>45578</v>
      </c>
      <c r="C948" t="str">
        <f t="shared" si="204"/>
        <v>34022</v>
      </c>
      <c r="D948" t="s">
        <v>9</v>
      </c>
      <c r="E948" t="str">
        <f t="shared" si="205"/>
        <v>16</v>
      </c>
      <c r="F948">
        <v>415132</v>
      </c>
      <c r="G948">
        <v>270680</v>
      </c>
      <c r="H948">
        <v>11163</v>
      </c>
      <c r="I948" t="str">
        <f t="shared" si="206"/>
        <v>1</v>
      </c>
      <c r="J948" t="str">
        <f t="shared" si="207"/>
        <v>Vooruit</v>
      </c>
      <c r="K948">
        <v>18674</v>
      </c>
      <c r="L948">
        <v>14840</v>
      </c>
      <c r="M948">
        <v>33514</v>
      </c>
      <c r="N948">
        <v>2</v>
      </c>
      <c r="O948" t="str">
        <f>("8")</f>
        <v>8</v>
      </c>
      <c r="P948" t="str">
        <f>("Degrendele Vanessa")</f>
        <v>Degrendele Vanessa</v>
      </c>
      <c r="Q948">
        <v>2937</v>
      </c>
      <c r="S948">
        <v>4</v>
      </c>
    </row>
    <row r="949" spans="1:19" x14ac:dyDescent="0.3">
      <c r="A949" t="s">
        <v>0</v>
      </c>
      <c r="B949" s="1">
        <v>45578</v>
      </c>
      <c r="C949" t="str">
        <f t="shared" si="204"/>
        <v>34022</v>
      </c>
      <c r="D949" t="s">
        <v>9</v>
      </c>
      <c r="E949" t="str">
        <f t="shared" si="205"/>
        <v>16</v>
      </c>
      <c r="F949">
        <v>415132</v>
      </c>
      <c r="G949">
        <v>270680</v>
      </c>
      <c r="H949">
        <v>11163</v>
      </c>
      <c r="I949" t="str">
        <f t="shared" si="206"/>
        <v>1</v>
      </c>
      <c r="J949" t="str">
        <f t="shared" si="207"/>
        <v>Vooruit</v>
      </c>
      <c r="K949">
        <v>18674</v>
      </c>
      <c r="L949">
        <v>14840</v>
      </c>
      <c r="M949">
        <v>33514</v>
      </c>
      <c r="N949">
        <v>2</v>
      </c>
      <c r="O949" t="str">
        <f>("9")</f>
        <v>9</v>
      </c>
      <c r="P949" t="str">
        <f>("Mommerency Kacem")</f>
        <v>Mommerency Kacem</v>
      </c>
      <c r="Q949">
        <v>1864</v>
      </c>
      <c r="S949">
        <v>14</v>
      </c>
    </row>
    <row r="950" spans="1:19" x14ac:dyDescent="0.3">
      <c r="A950" t="s">
        <v>0</v>
      </c>
      <c r="B950" s="1">
        <v>45578</v>
      </c>
      <c r="C950" t="str">
        <f t="shared" si="204"/>
        <v>34022</v>
      </c>
      <c r="D950" t="s">
        <v>9</v>
      </c>
      <c r="E950" t="str">
        <f t="shared" si="205"/>
        <v>16</v>
      </c>
      <c r="F950">
        <v>415132</v>
      </c>
      <c r="G950">
        <v>270680</v>
      </c>
      <c r="H950">
        <v>11163</v>
      </c>
      <c r="I950" t="str">
        <f t="shared" si="206"/>
        <v>1</v>
      </c>
      <c r="J950" t="str">
        <f t="shared" si="207"/>
        <v>Vooruit</v>
      </c>
      <c r="K950">
        <v>18674</v>
      </c>
      <c r="L950">
        <v>14840</v>
      </c>
      <c r="M950">
        <v>33514</v>
      </c>
      <c r="N950">
        <v>2</v>
      </c>
      <c r="O950" t="str">
        <f>("10")</f>
        <v>10</v>
      </c>
      <c r="P950" t="str">
        <f>("Vanacker Hélène")</f>
        <v>Vanacker Hélène</v>
      </c>
      <c r="Q950">
        <v>2530</v>
      </c>
      <c r="S950">
        <v>9</v>
      </c>
    </row>
    <row r="951" spans="1:19" x14ac:dyDescent="0.3">
      <c r="A951" t="s">
        <v>0</v>
      </c>
      <c r="B951" s="1">
        <v>45578</v>
      </c>
      <c r="C951" t="str">
        <f t="shared" si="204"/>
        <v>34022</v>
      </c>
      <c r="D951" t="s">
        <v>9</v>
      </c>
      <c r="E951" t="str">
        <f t="shared" si="205"/>
        <v>16</v>
      </c>
      <c r="F951">
        <v>415132</v>
      </c>
      <c r="G951">
        <v>270680</v>
      </c>
      <c r="H951">
        <v>11163</v>
      </c>
      <c r="I951" t="str">
        <f t="shared" si="206"/>
        <v>1</v>
      </c>
      <c r="J951" t="str">
        <f t="shared" si="207"/>
        <v>Vooruit</v>
      </c>
      <c r="K951">
        <v>18674</v>
      </c>
      <c r="L951">
        <v>14840</v>
      </c>
      <c r="M951">
        <v>33514</v>
      </c>
      <c r="N951">
        <v>2</v>
      </c>
      <c r="O951" t="str">
        <f>("11")</f>
        <v>11</v>
      </c>
      <c r="P951" t="str">
        <f>("Mortier Frederic")</f>
        <v>Mortier Frederic</v>
      </c>
      <c r="Q951">
        <v>1906</v>
      </c>
      <c r="S951">
        <v>13</v>
      </c>
    </row>
    <row r="952" spans="1:19" x14ac:dyDescent="0.3">
      <c r="A952" t="s">
        <v>0</v>
      </c>
      <c r="B952" s="1">
        <v>45578</v>
      </c>
      <c r="C952" t="str">
        <f t="shared" si="204"/>
        <v>34022</v>
      </c>
      <c r="D952" t="s">
        <v>9</v>
      </c>
      <c r="E952" t="str">
        <f t="shared" si="205"/>
        <v>16</v>
      </c>
      <c r="F952">
        <v>415132</v>
      </c>
      <c r="G952">
        <v>270680</v>
      </c>
      <c r="H952">
        <v>11163</v>
      </c>
      <c r="I952" t="str">
        <f t="shared" si="206"/>
        <v>1</v>
      </c>
      <c r="J952" t="str">
        <f t="shared" si="207"/>
        <v>Vooruit</v>
      </c>
      <c r="K952">
        <v>18674</v>
      </c>
      <c r="L952">
        <v>14840</v>
      </c>
      <c r="M952">
        <v>33514</v>
      </c>
      <c r="N952">
        <v>2</v>
      </c>
      <c r="O952" t="str">
        <f>("12")</f>
        <v>12</v>
      </c>
      <c r="P952" t="str">
        <f>("De Loose Marina")</f>
        <v>De Loose Marina</v>
      </c>
      <c r="Q952">
        <v>2247</v>
      </c>
      <c r="S952">
        <v>11</v>
      </c>
    </row>
    <row r="953" spans="1:19" x14ac:dyDescent="0.3">
      <c r="A953" t="s">
        <v>0</v>
      </c>
      <c r="B953" s="1">
        <v>45578</v>
      </c>
      <c r="C953" t="str">
        <f t="shared" si="204"/>
        <v>34022</v>
      </c>
      <c r="D953" t="s">
        <v>9</v>
      </c>
      <c r="E953" t="str">
        <f t="shared" si="205"/>
        <v>16</v>
      </c>
      <c r="F953">
        <v>415132</v>
      </c>
      <c r="G953">
        <v>270680</v>
      </c>
      <c r="H953">
        <v>11163</v>
      </c>
      <c r="I953" t="str">
        <f t="shared" si="206"/>
        <v>1</v>
      </c>
      <c r="J953" t="str">
        <f t="shared" si="207"/>
        <v>Vooruit</v>
      </c>
      <c r="K953">
        <v>18674</v>
      </c>
      <c r="L953">
        <v>14840</v>
      </c>
      <c r="M953">
        <v>33514</v>
      </c>
      <c r="N953">
        <v>2</v>
      </c>
      <c r="O953" t="str">
        <f>("13")</f>
        <v>13</v>
      </c>
      <c r="P953" t="str">
        <f>("Vandenbussche Annelies")</f>
        <v>Vandenbussche Annelies</v>
      </c>
      <c r="Q953">
        <v>2685</v>
      </c>
      <c r="S953">
        <v>6</v>
      </c>
    </row>
    <row r="954" spans="1:19" x14ac:dyDescent="0.3">
      <c r="A954" t="s">
        <v>0</v>
      </c>
      <c r="B954" s="1">
        <v>45578</v>
      </c>
      <c r="C954" t="str">
        <f t="shared" si="204"/>
        <v>34022</v>
      </c>
      <c r="D954" t="s">
        <v>9</v>
      </c>
      <c r="E954" t="str">
        <f t="shared" si="205"/>
        <v>16</v>
      </c>
      <c r="F954">
        <v>415132</v>
      </c>
      <c r="G954">
        <v>270680</v>
      </c>
      <c r="H954">
        <v>11163</v>
      </c>
      <c r="I954" t="str">
        <f t="shared" si="206"/>
        <v>1</v>
      </c>
      <c r="J954" t="str">
        <f t="shared" si="207"/>
        <v>Vooruit</v>
      </c>
      <c r="K954">
        <v>18674</v>
      </c>
      <c r="L954">
        <v>14840</v>
      </c>
      <c r="M954">
        <v>33514</v>
      </c>
      <c r="N954">
        <v>2</v>
      </c>
      <c r="O954" t="str">
        <f>("14")</f>
        <v>14</v>
      </c>
      <c r="P954" t="str">
        <f>("Claeys Vicky")</f>
        <v>Claeys Vicky</v>
      </c>
      <c r="Q954">
        <v>2841</v>
      </c>
      <c r="S954">
        <v>5</v>
      </c>
    </row>
    <row r="955" spans="1:19" x14ac:dyDescent="0.3">
      <c r="A955" t="s">
        <v>0</v>
      </c>
      <c r="B955" s="1">
        <v>45578</v>
      </c>
      <c r="C955" t="str">
        <f t="shared" si="204"/>
        <v>34022</v>
      </c>
      <c r="D955" t="s">
        <v>9</v>
      </c>
      <c r="E955" t="str">
        <f t="shared" si="205"/>
        <v>16</v>
      </c>
      <c r="F955">
        <v>415132</v>
      </c>
      <c r="G955">
        <v>270680</v>
      </c>
      <c r="H955">
        <v>11163</v>
      </c>
      <c r="I955" t="str">
        <f t="shared" si="206"/>
        <v>1</v>
      </c>
      <c r="J955" t="str">
        <f t="shared" si="207"/>
        <v>Vooruit</v>
      </c>
      <c r="K955">
        <v>18674</v>
      </c>
      <c r="L955">
        <v>14840</v>
      </c>
      <c r="M955">
        <v>33514</v>
      </c>
      <c r="N955">
        <v>2</v>
      </c>
      <c r="O955" t="str">
        <f>("15")</f>
        <v>15</v>
      </c>
      <c r="P955" t="str">
        <f>("Lambrecht Jean-Marie")</f>
        <v>Lambrecht Jean-Marie</v>
      </c>
      <c r="Q955">
        <v>2117</v>
      </c>
      <c r="S955">
        <v>12</v>
      </c>
    </row>
    <row r="956" spans="1:19" x14ac:dyDescent="0.3">
      <c r="A956" t="s">
        <v>0</v>
      </c>
      <c r="B956" s="1">
        <v>45578</v>
      </c>
      <c r="C956" t="str">
        <f t="shared" si="204"/>
        <v>34022</v>
      </c>
      <c r="D956" t="s">
        <v>9</v>
      </c>
      <c r="E956" t="str">
        <f t="shared" si="205"/>
        <v>16</v>
      </c>
      <c r="F956">
        <v>415132</v>
      </c>
      <c r="G956">
        <v>270680</v>
      </c>
      <c r="H956">
        <v>11163</v>
      </c>
      <c r="I956" t="str">
        <f t="shared" si="206"/>
        <v>1</v>
      </c>
      <c r="J956" t="str">
        <f t="shared" si="207"/>
        <v>Vooruit</v>
      </c>
      <c r="K956">
        <v>18674</v>
      </c>
      <c r="L956">
        <v>14840</v>
      </c>
      <c r="M956">
        <v>33514</v>
      </c>
      <c r="N956">
        <v>2</v>
      </c>
      <c r="O956" t="str">
        <f>("16")</f>
        <v>16</v>
      </c>
      <c r="P956" t="str">
        <f>("Crombez John")</f>
        <v>Crombez John</v>
      </c>
      <c r="Q956">
        <v>5804</v>
      </c>
      <c r="R956">
        <v>2</v>
      </c>
    </row>
    <row r="957" spans="1:19" x14ac:dyDescent="0.3">
      <c r="A957" t="s">
        <v>0</v>
      </c>
      <c r="B957" s="1">
        <v>45578</v>
      </c>
      <c r="C957" t="str">
        <f t="shared" si="204"/>
        <v>34022</v>
      </c>
      <c r="D957" t="s">
        <v>9</v>
      </c>
      <c r="E957" t="str">
        <f t="shared" si="205"/>
        <v>16</v>
      </c>
      <c r="F957">
        <v>415132</v>
      </c>
      <c r="G957">
        <v>270680</v>
      </c>
      <c r="H957">
        <v>11163</v>
      </c>
      <c r="I957" t="str">
        <f t="shared" ref="I957:I972" si="208">("2")</f>
        <v>2</v>
      </c>
      <c r="J957" t="str">
        <f t="shared" ref="J957:J972" si="209">("PVDA")</f>
        <v>PVDA</v>
      </c>
      <c r="K957">
        <v>3812</v>
      </c>
      <c r="L957">
        <v>2517</v>
      </c>
      <c r="M957">
        <v>6329</v>
      </c>
      <c r="N957">
        <v>0</v>
      </c>
      <c r="O957" t="str">
        <f>("1")</f>
        <v>1</v>
      </c>
      <c r="P957" t="str">
        <f>("Platteau Dave")</f>
        <v>Platteau Dave</v>
      </c>
      <c r="Q957">
        <v>1141</v>
      </c>
    </row>
    <row r="958" spans="1:19" x14ac:dyDescent="0.3">
      <c r="A958" t="s">
        <v>0</v>
      </c>
      <c r="B958" s="1">
        <v>45578</v>
      </c>
      <c r="C958" t="str">
        <f t="shared" si="204"/>
        <v>34022</v>
      </c>
      <c r="D958" t="s">
        <v>9</v>
      </c>
      <c r="E958" t="str">
        <f t="shared" si="205"/>
        <v>16</v>
      </c>
      <c r="F958">
        <v>415132</v>
      </c>
      <c r="G958">
        <v>270680</v>
      </c>
      <c r="H958">
        <v>11163</v>
      </c>
      <c r="I958" t="str">
        <f t="shared" si="208"/>
        <v>2</v>
      </c>
      <c r="J958" t="str">
        <f t="shared" si="209"/>
        <v>PVDA</v>
      </c>
      <c r="K958">
        <v>3812</v>
      </c>
      <c r="L958">
        <v>2517</v>
      </c>
      <c r="M958">
        <v>6329</v>
      </c>
      <c r="N958">
        <v>0</v>
      </c>
      <c r="O958" t="str">
        <f>("2")</f>
        <v>2</v>
      </c>
      <c r="P958" t="str">
        <f>("Descamps Tina")</f>
        <v>Descamps Tina</v>
      </c>
      <c r="Q958">
        <v>870</v>
      </c>
    </row>
    <row r="959" spans="1:19" x14ac:dyDescent="0.3">
      <c r="A959" t="s">
        <v>0</v>
      </c>
      <c r="B959" s="1">
        <v>45578</v>
      </c>
      <c r="C959" t="str">
        <f t="shared" si="204"/>
        <v>34022</v>
      </c>
      <c r="D959" t="s">
        <v>9</v>
      </c>
      <c r="E959" t="str">
        <f t="shared" si="205"/>
        <v>16</v>
      </c>
      <c r="F959">
        <v>415132</v>
      </c>
      <c r="G959">
        <v>270680</v>
      </c>
      <c r="H959">
        <v>11163</v>
      </c>
      <c r="I959" t="str">
        <f t="shared" si="208"/>
        <v>2</v>
      </c>
      <c r="J959" t="str">
        <f t="shared" si="209"/>
        <v>PVDA</v>
      </c>
      <c r="K959">
        <v>3812</v>
      </c>
      <c r="L959">
        <v>2517</v>
      </c>
      <c r="M959">
        <v>6329</v>
      </c>
      <c r="N959">
        <v>0</v>
      </c>
      <c r="O959" t="str">
        <f>("3")</f>
        <v>3</v>
      </c>
      <c r="P959" t="str">
        <f>("Plets Renzo")</f>
        <v>Plets Renzo</v>
      </c>
      <c r="Q959">
        <v>564</v>
      </c>
    </row>
    <row r="960" spans="1:19" x14ac:dyDescent="0.3">
      <c r="A960" t="s">
        <v>0</v>
      </c>
      <c r="B960" s="1">
        <v>45578</v>
      </c>
      <c r="C960" t="str">
        <f t="shared" si="204"/>
        <v>34022</v>
      </c>
      <c r="D960" t="s">
        <v>9</v>
      </c>
      <c r="E960" t="str">
        <f t="shared" si="205"/>
        <v>16</v>
      </c>
      <c r="F960">
        <v>415132</v>
      </c>
      <c r="G960">
        <v>270680</v>
      </c>
      <c r="H960">
        <v>11163</v>
      </c>
      <c r="I960" t="str">
        <f t="shared" si="208"/>
        <v>2</v>
      </c>
      <c r="J960" t="str">
        <f t="shared" si="209"/>
        <v>PVDA</v>
      </c>
      <c r="K960">
        <v>3812</v>
      </c>
      <c r="L960">
        <v>2517</v>
      </c>
      <c r="M960">
        <v>6329</v>
      </c>
      <c r="N960">
        <v>0</v>
      </c>
      <c r="O960" t="str">
        <f>("4")</f>
        <v>4</v>
      </c>
      <c r="P960" t="str">
        <f>("Vandamme Annelies")</f>
        <v>Vandamme Annelies</v>
      </c>
      <c r="Q960">
        <v>691</v>
      </c>
    </row>
    <row r="961" spans="1:19" x14ac:dyDescent="0.3">
      <c r="A961" t="s">
        <v>0</v>
      </c>
      <c r="B961" s="1">
        <v>45578</v>
      </c>
      <c r="C961" t="str">
        <f t="shared" si="204"/>
        <v>34022</v>
      </c>
      <c r="D961" t="s">
        <v>9</v>
      </c>
      <c r="E961" t="str">
        <f t="shared" si="205"/>
        <v>16</v>
      </c>
      <c r="F961">
        <v>415132</v>
      </c>
      <c r="G961">
        <v>270680</v>
      </c>
      <c r="H961">
        <v>11163</v>
      </c>
      <c r="I961" t="str">
        <f t="shared" si="208"/>
        <v>2</v>
      </c>
      <c r="J961" t="str">
        <f t="shared" si="209"/>
        <v>PVDA</v>
      </c>
      <c r="K961">
        <v>3812</v>
      </c>
      <c r="L961">
        <v>2517</v>
      </c>
      <c r="M961">
        <v>6329</v>
      </c>
      <c r="N961">
        <v>0</v>
      </c>
      <c r="O961" t="str">
        <f>("5")</f>
        <v>5</v>
      </c>
      <c r="P961" t="str">
        <f>("Saqawe Omar Mikail")</f>
        <v>Saqawe Omar Mikail</v>
      </c>
      <c r="Q961">
        <v>696</v>
      </c>
    </row>
    <row r="962" spans="1:19" x14ac:dyDescent="0.3">
      <c r="A962" t="s">
        <v>0</v>
      </c>
      <c r="B962" s="1">
        <v>45578</v>
      </c>
      <c r="C962" t="str">
        <f t="shared" si="204"/>
        <v>34022</v>
      </c>
      <c r="D962" t="s">
        <v>9</v>
      </c>
      <c r="E962" t="str">
        <f t="shared" si="205"/>
        <v>16</v>
      </c>
      <c r="F962">
        <v>415132</v>
      </c>
      <c r="G962">
        <v>270680</v>
      </c>
      <c r="H962">
        <v>11163</v>
      </c>
      <c r="I962" t="str">
        <f t="shared" si="208"/>
        <v>2</v>
      </c>
      <c r="J962" t="str">
        <f t="shared" si="209"/>
        <v>PVDA</v>
      </c>
      <c r="K962">
        <v>3812</v>
      </c>
      <c r="L962">
        <v>2517</v>
      </c>
      <c r="M962">
        <v>6329</v>
      </c>
      <c r="N962">
        <v>0</v>
      </c>
      <c r="O962" t="str">
        <f>("6")</f>
        <v>6</v>
      </c>
      <c r="P962" t="str">
        <f>("Verbrugghe Stephanie")</f>
        <v>Verbrugghe Stephanie</v>
      </c>
      <c r="Q962">
        <v>618</v>
      </c>
    </row>
    <row r="963" spans="1:19" x14ac:dyDescent="0.3">
      <c r="A963" t="s">
        <v>0</v>
      </c>
      <c r="B963" s="1">
        <v>45578</v>
      </c>
      <c r="C963" t="str">
        <f t="shared" si="204"/>
        <v>34022</v>
      </c>
      <c r="D963" t="s">
        <v>9</v>
      </c>
      <c r="E963" t="str">
        <f t="shared" si="205"/>
        <v>16</v>
      </c>
      <c r="F963">
        <v>415132</v>
      </c>
      <c r="G963">
        <v>270680</v>
      </c>
      <c r="H963">
        <v>11163</v>
      </c>
      <c r="I963" t="str">
        <f t="shared" si="208"/>
        <v>2</v>
      </c>
      <c r="J963" t="str">
        <f t="shared" si="209"/>
        <v>PVDA</v>
      </c>
      <c r="K963">
        <v>3812</v>
      </c>
      <c r="L963">
        <v>2517</v>
      </c>
      <c r="M963">
        <v>6329</v>
      </c>
      <c r="N963">
        <v>0</v>
      </c>
      <c r="O963" t="str">
        <f>("7")</f>
        <v>7</v>
      </c>
      <c r="P963" t="str">
        <f>("Vanhecke Kenneth")</f>
        <v>Vanhecke Kenneth</v>
      </c>
      <c r="Q963">
        <v>447</v>
      </c>
    </row>
    <row r="964" spans="1:19" x14ac:dyDescent="0.3">
      <c r="A964" t="s">
        <v>0</v>
      </c>
      <c r="B964" s="1">
        <v>45578</v>
      </c>
      <c r="C964" t="str">
        <f t="shared" si="204"/>
        <v>34022</v>
      </c>
      <c r="D964" t="s">
        <v>9</v>
      </c>
      <c r="E964" t="str">
        <f t="shared" si="205"/>
        <v>16</v>
      </c>
      <c r="F964">
        <v>415132</v>
      </c>
      <c r="G964">
        <v>270680</v>
      </c>
      <c r="H964">
        <v>11163</v>
      </c>
      <c r="I964" t="str">
        <f t="shared" si="208"/>
        <v>2</v>
      </c>
      <c r="J964" t="str">
        <f t="shared" si="209"/>
        <v>PVDA</v>
      </c>
      <c r="K964">
        <v>3812</v>
      </c>
      <c r="L964">
        <v>2517</v>
      </c>
      <c r="M964">
        <v>6329</v>
      </c>
      <c r="N964">
        <v>0</v>
      </c>
      <c r="O964" t="str">
        <f>("8")</f>
        <v>8</v>
      </c>
      <c r="P964" t="str">
        <f>("Willaert Carla")</f>
        <v>Willaert Carla</v>
      </c>
      <c r="Q964">
        <v>553</v>
      </c>
    </row>
    <row r="965" spans="1:19" x14ac:dyDescent="0.3">
      <c r="A965" t="s">
        <v>0</v>
      </c>
      <c r="B965" s="1">
        <v>45578</v>
      </c>
      <c r="C965" t="str">
        <f t="shared" si="204"/>
        <v>34022</v>
      </c>
      <c r="D965" t="s">
        <v>9</v>
      </c>
      <c r="E965" t="str">
        <f t="shared" si="205"/>
        <v>16</v>
      </c>
      <c r="F965">
        <v>415132</v>
      </c>
      <c r="G965">
        <v>270680</v>
      </c>
      <c r="H965">
        <v>11163</v>
      </c>
      <c r="I965" t="str">
        <f t="shared" si="208"/>
        <v>2</v>
      </c>
      <c r="J965" t="str">
        <f t="shared" si="209"/>
        <v>PVDA</v>
      </c>
      <c r="K965">
        <v>3812</v>
      </c>
      <c r="L965">
        <v>2517</v>
      </c>
      <c r="M965">
        <v>6329</v>
      </c>
      <c r="N965">
        <v>0</v>
      </c>
      <c r="O965" t="str">
        <f>("9")</f>
        <v>9</v>
      </c>
      <c r="P965" t="str">
        <f>("Desimpelaere Jolan")</f>
        <v>Desimpelaere Jolan</v>
      </c>
      <c r="Q965">
        <v>440</v>
      </c>
    </row>
    <row r="966" spans="1:19" x14ac:dyDescent="0.3">
      <c r="A966" t="s">
        <v>0</v>
      </c>
      <c r="B966" s="1">
        <v>45578</v>
      </c>
      <c r="C966" t="str">
        <f t="shared" si="204"/>
        <v>34022</v>
      </c>
      <c r="D966" t="s">
        <v>9</v>
      </c>
      <c r="E966" t="str">
        <f t="shared" si="205"/>
        <v>16</v>
      </c>
      <c r="F966">
        <v>415132</v>
      </c>
      <c r="G966">
        <v>270680</v>
      </c>
      <c r="H966">
        <v>11163</v>
      </c>
      <c r="I966" t="str">
        <f t="shared" si="208"/>
        <v>2</v>
      </c>
      <c r="J966" t="str">
        <f t="shared" si="209"/>
        <v>PVDA</v>
      </c>
      <c r="K966">
        <v>3812</v>
      </c>
      <c r="L966">
        <v>2517</v>
      </c>
      <c r="M966">
        <v>6329</v>
      </c>
      <c r="N966">
        <v>0</v>
      </c>
      <c r="O966" t="str">
        <f>("10")</f>
        <v>10</v>
      </c>
      <c r="P966" t="str">
        <f>("Hugelier Katrien")</f>
        <v>Hugelier Katrien</v>
      </c>
      <c r="Q966">
        <v>568</v>
      </c>
    </row>
    <row r="967" spans="1:19" x14ac:dyDescent="0.3">
      <c r="A967" t="s">
        <v>0</v>
      </c>
      <c r="B967" s="1">
        <v>45578</v>
      </c>
      <c r="C967" t="str">
        <f t="shared" si="204"/>
        <v>34022</v>
      </c>
      <c r="D967" t="s">
        <v>9</v>
      </c>
      <c r="E967" t="str">
        <f t="shared" si="205"/>
        <v>16</v>
      </c>
      <c r="F967">
        <v>415132</v>
      </c>
      <c r="G967">
        <v>270680</v>
      </c>
      <c r="H967">
        <v>11163</v>
      </c>
      <c r="I967" t="str">
        <f t="shared" si="208"/>
        <v>2</v>
      </c>
      <c r="J967" t="str">
        <f t="shared" si="209"/>
        <v>PVDA</v>
      </c>
      <c r="K967">
        <v>3812</v>
      </c>
      <c r="L967">
        <v>2517</v>
      </c>
      <c r="M967">
        <v>6329</v>
      </c>
      <c r="N967">
        <v>0</v>
      </c>
      <c r="O967" t="str">
        <f>("11")</f>
        <v>11</v>
      </c>
      <c r="P967" t="str">
        <f>("De Pauw Ivan")</f>
        <v>De Pauw Ivan</v>
      </c>
      <c r="Q967">
        <v>439</v>
      </c>
    </row>
    <row r="968" spans="1:19" x14ac:dyDescent="0.3">
      <c r="A968" t="s">
        <v>0</v>
      </c>
      <c r="B968" s="1">
        <v>45578</v>
      </c>
      <c r="C968" t="str">
        <f t="shared" si="204"/>
        <v>34022</v>
      </c>
      <c r="D968" t="s">
        <v>9</v>
      </c>
      <c r="E968" t="str">
        <f t="shared" si="205"/>
        <v>16</v>
      </c>
      <c r="F968">
        <v>415132</v>
      </c>
      <c r="G968">
        <v>270680</v>
      </c>
      <c r="H968">
        <v>11163</v>
      </c>
      <c r="I968" t="str">
        <f t="shared" si="208"/>
        <v>2</v>
      </c>
      <c r="J968" t="str">
        <f t="shared" si="209"/>
        <v>PVDA</v>
      </c>
      <c r="K968">
        <v>3812</v>
      </c>
      <c r="L968">
        <v>2517</v>
      </c>
      <c r="M968">
        <v>6329</v>
      </c>
      <c r="N968">
        <v>0</v>
      </c>
      <c r="O968" t="str">
        <f>("12")</f>
        <v>12</v>
      </c>
      <c r="P968" t="str">
        <f>("De Bevere Eveline")</f>
        <v>De Bevere Eveline</v>
      </c>
      <c r="Q968">
        <v>489</v>
      </c>
    </row>
    <row r="969" spans="1:19" x14ac:dyDescent="0.3">
      <c r="A969" t="s">
        <v>0</v>
      </c>
      <c r="B969" s="1">
        <v>45578</v>
      </c>
      <c r="C969" t="str">
        <f t="shared" si="204"/>
        <v>34022</v>
      </c>
      <c r="D969" t="s">
        <v>9</v>
      </c>
      <c r="E969" t="str">
        <f t="shared" si="205"/>
        <v>16</v>
      </c>
      <c r="F969">
        <v>415132</v>
      </c>
      <c r="G969">
        <v>270680</v>
      </c>
      <c r="H969">
        <v>11163</v>
      </c>
      <c r="I969" t="str">
        <f t="shared" si="208"/>
        <v>2</v>
      </c>
      <c r="J969" t="str">
        <f t="shared" si="209"/>
        <v>PVDA</v>
      </c>
      <c r="K969">
        <v>3812</v>
      </c>
      <c r="L969">
        <v>2517</v>
      </c>
      <c r="M969">
        <v>6329</v>
      </c>
      <c r="N969">
        <v>0</v>
      </c>
      <c r="O969" t="str">
        <f>("13")</f>
        <v>13</v>
      </c>
      <c r="P969" t="str">
        <f>("Decroos Paul")</f>
        <v>Decroos Paul</v>
      </c>
      <c r="Q969">
        <v>418</v>
      </c>
    </row>
    <row r="970" spans="1:19" x14ac:dyDescent="0.3">
      <c r="A970" t="s">
        <v>0</v>
      </c>
      <c r="B970" s="1">
        <v>45578</v>
      </c>
      <c r="C970" t="str">
        <f t="shared" si="204"/>
        <v>34022</v>
      </c>
      <c r="D970" t="s">
        <v>9</v>
      </c>
      <c r="E970" t="str">
        <f t="shared" si="205"/>
        <v>16</v>
      </c>
      <c r="F970">
        <v>415132</v>
      </c>
      <c r="G970">
        <v>270680</v>
      </c>
      <c r="H970">
        <v>11163</v>
      </c>
      <c r="I970" t="str">
        <f t="shared" si="208"/>
        <v>2</v>
      </c>
      <c r="J970" t="str">
        <f t="shared" si="209"/>
        <v>PVDA</v>
      </c>
      <c r="K970">
        <v>3812</v>
      </c>
      <c r="L970">
        <v>2517</v>
      </c>
      <c r="M970">
        <v>6329</v>
      </c>
      <c r="N970">
        <v>0</v>
      </c>
      <c r="O970" t="str">
        <f>("14")</f>
        <v>14</v>
      </c>
      <c r="P970" t="str">
        <f>("Tienpont Lotte")</f>
        <v>Tienpont Lotte</v>
      </c>
      <c r="Q970">
        <v>638</v>
      </c>
    </row>
    <row r="971" spans="1:19" x14ac:dyDescent="0.3">
      <c r="A971" t="s">
        <v>0</v>
      </c>
      <c r="B971" s="1">
        <v>45578</v>
      </c>
      <c r="C971" t="str">
        <f t="shared" si="204"/>
        <v>34022</v>
      </c>
      <c r="D971" t="s">
        <v>9</v>
      </c>
      <c r="E971" t="str">
        <f t="shared" si="205"/>
        <v>16</v>
      </c>
      <c r="F971">
        <v>415132</v>
      </c>
      <c r="G971">
        <v>270680</v>
      </c>
      <c r="H971">
        <v>11163</v>
      </c>
      <c r="I971" t="str">
        <f t="shared" si="208"/>
        <v>2</v>
      </c>
      <c r="J971" t="str">
        <f t="shared" si="209"/>
        <v>PVDA</v>
      </c>
      <c r="K971">
        <v>3812</v>
      </c>
      <c r="L971">
        <v>2517</v>
      </c>
      <c r="M971">
        <v>6329</v>
      </c>
      <c r="N971">
        <v>0</v>
      </c>
      <c r="O971" t="str">
        <f>("15")</f>
        <v>15</v>
      </c>
      <c r="P971" t="str">
        <f>("Hubrecht Fieke")</f>
        <v>Hubrecht Fieke</v>
      </c>
      <c r="Q971">
        <v>498</v>
      </c>
    </row>
    <row r="972" spans="1:19" x14ac:dyDescent="0.3">
      <c r="A972" t="s">
        <v>0</v>
      </c>
      <c r="B972" s="1">
        <v>45578</v>
      </c>
      <c r="C972" t="str">
        <f t="shared" si="204"/>
        <v>34022</v>
      </c>
      <c r="D972" t="s">
        <v>9</v>
      </c>
      <c r="E972" t="str">
        <f t="shared" si="205"/>
        <v>16</v>
      </c>
      <c r="F972">
        <v>415132</v>
      </c>
      <c r="G972">
        <v>270680</v>
      </c>
      <c r="H972">
        <v>11163</v>
      </c>
      <c r="I972" t="str">
        <f t="shared" si="208"/>
        <v>2</v>
      </c>
      <c r="J972" t="str">
        <f t="shared" si="209"/>
        <v>PVDA</v>
      </c>
      <c r="K972">
        <v>3812</v>
      </c>
      <c r="L972">
        <v>2517</v>
      </c>
      <c r="M972">
        <v>6329</v>
      </c>
      <c r="N972">
        <v>0</v>
      </c>
      <c r="O972" t="str">
        <f>("16")</f>
        <v>16</v>
      </c>
      <c r="P972" t="str">
        <f>("Vanhoutteghem Jouwe")</f>
        <v>Vanhoutteghem Jouwe</v>
      </c>
      <c r="Q972">
        <v>576</v>
      </c>
    </row>
    <row r="973" spans="1:19" x14ac:dyDescent="0.3">
      <c r="A973" t="s">
        <v>0</v>
      </c>
      <c r="B973" s="1">
        <v>45578</v>
      </c>
      <c r="C973" t="str">
        <f t="shared" ref="C973:C1004" si="210">("34022")</f>
        <v>34022</v>
      </c>
      <c r="D973" t="s">
        <v>9</v>
      </c>
      <c r="E973" t="str">
        <f t="shared" si="205"/>
        <v>16</v>
      </c>
      <c r="F973">
        <v>415132</v>
      </c>
      <c r="G973">
        <v>270680</v>
      </c>
      <c r="H973">
        <v>11163</v>
      </c>
      <c r="I973" t="str">
        <f t="shared" ref="I973:I988" si="211">("3")</f>
        <v>3</v>
      </c>
      <c r="J973" t="str">
        <f t="shared" ref="J973:J988" si="212">("cd&amp;v")</f>
        <v>cd&amp;v</v>
      </c>
      <c r="K973">
        <v>25592</v>
      </c>
      <c r="L973">
        <v>45496</v>
      </c>
      <c r="M973">
        <v>71088</v>
      </c>
      <c r="N973">
        <v>5</v>
      </c>
      <c r="O973" t="str">
        <f>("1")</f>
        <v>1</v>
      </c>
      <c r="P973" t="str">
        <f>("de Béthune Jean")</f>
        <v>de Béthune Jean</v>
      </c>
      <c r="Q973">
        <v>15536</v>
      </c>
      <c r="R973">
        <v>1</v>
      </c>
    </row>
    <row r="974" spans="1:19" x14ac:dyDescent="0.3">
      <c r="A974" t="s">
        <v>0</v>
      </c>
      <c r="B974" s="1">
        <v>45578</v>
      </c>
      <c r="C974" t="str">
        <f t="shared" si="210"/>
        <v>34022</v>
      </c>
      <c r="D974" t="s">
        <v>9</v>
      </c>
      <c r="E974" t="str">
        <f t="shared" si="205"/>
        <v>16</v>
      </c>
      <c r="F974">
        <v>415132</v>
      </c>
      <c r="G974">
        <v>270680</v>
      </c>
      <c r="H974">
        <v>11163</v>
      </c>
      <c r="I974" t="str">
        <f t="shared" si="211"/>
        <v>3</v>
      </c>
      <c r="J974" t="str">
        <f t="shared" si="212"/>
        <v>cd&amp;v</v>
      </c>
      <c r="K974">
        <v>25592</v>
      </c>
      <c r="L974">
        <v>45496</v>
      </c>
      <c r="M974">
        <v>71088</v>
      </c>
      <c r="N974">
        <v>5</v>
      </c>
      <c r="O974" t="str">
        <f>("2")</f>
        <v>2</v>
      </c>
      <c r="P974" t="str">
        <f>("Kindt Els")</f>
        <v>Kindt Els</v>
      </c>
      <c r="Q974">
        <v>11976</v>
      </c>
      <c r="R974">
        <v>2</v>
      </c>
    </row>
    <row r="975" spans="1:19" x14ac:dyDescent="0.3">
      <c r="A975" t="s">
        <v>0</v>
      </c>
      <c r="B975" s="1">
        <v>45578</v>
      </c>
      <c r="C975" t="str">
        <f t="shared" si="210"/>
        <v>34022</v>
      </c>
      <c r="D975" t="s">
        <v>9</v>
      </c>
      <c r="E975" t="str">
        <f t="shared" si="205"/>
        <v>16</v>
      </c>
      <c r="F975">
        <v>415132</v>
      </c>
      <c r="G975">
        <v>270680</v>
      </c>
      <c r="H975">
        <v>11163</v>
      </c>
      <c r="I975" t="str">
        <f t="shared" si="211"/>
        <v>3</v>
      </c>
      <c r="J975" t="str">
        <f t="shared" si="212"/>
        <v>cd&amp;v</v>
      </c>
      <c r="K975">
        <v>25592</v>
      </c>
      <c r="L975">
        <v>45496</v>
      </c>
      <c r="M975">
        <v>71088</v>
      </c>
      <c r="N975">
        <v>5</v>
      </c>
      <c r="O975" t="str">
        <f>("3")</f>
        <v>3</v>
      </c>
      <c r="P975" t="str">
        <f>("Poppe Jasminka")</f>
        <v>Poppe Jasminka</v>
      </c>
      <c r="Q975">
        <v>4793</v>
      </c>
      <c r="S975">
        <v>4</v>
      </c>
    </row>
    <row r="976" spans="1:19" x14ac:dyDescent="0.3">
      <c r="A976" t="s">
        <v>0</v>
      </c>
      <c r="B976" s="1">
        <v>45578</v>
      </c>
      <c r="C976" t="str">
        <f t="shared" si="210"/>
        <v>34022</v>
      </c>
      <c r="D976" t="s">
        <v>9</v>
      </c>
      <c r="E976" t="str">
        <f t="shared" si="205"/>
        <v>16</v>
      </c>
      <c r="F976">
        <v>415132</v>
      </c>
      <c r="G976">
        <v>270680</v>
      </c>
      <c r="H976">
        <v>11163</v>
      </c>
      <c r="I976" t="str">
        <f t="shared" si="211"/>
        <v>3</v>
      </c>
      <c r="J976" t="str">
        <f t="shared" si="212"/>
        <v>cd&amp;v</v>
      </c>
      <c r="K976">
        <v>25592</v>
      </c>
      <c r="L976">
        <v>45496</v>
      </c>
      <c r="M976">
        <v>71088</v>
      </c>
      <c r="N976">
        <v>5</v>
      </c>
      <c r="O976" t="str">
        <f>("4")</f>
        <v>4</v>
      </c>
      <c r="P976" t="str">
        <f>("Croes Claude")</f>
        <v>Croes Claude</v>
      </c>
      <c r="Q976">
        <v>9695</v>
      </c>
      <c r="R976">
        <v>3</v>
      </c>
    </row>
    <row r="977" spans="1:19" x14ac:dyDescent="0.3">
      <c r="A977" t="s">
        <v>0</v>
      </c>
      <c r="B977" s="1">
        <v>45578</v>
      </c>
      <c r="C977" t="str">
        <f t="shared" si="210"/>
        <v>34022</v>
      </c>
      <c r="D977" t="s">
        <v>9</v>
      </c>
      <c r="E977" t="str">
        <f t="shared" si="205"/>
        <v>16</v>
      </c>
      <c r="F977">
        <v>415132</v>
      </c>
      <c r="G977">
        <v>270680</v>
      </c>
      <c r="H977">
        <v>11163</v>
      </c>
      <c r="I977" t="str">
        <f t="shared" si="211"/>
        <v>3</v>
      </c>
      <c r="J977" t="str">
        <f t="shared" si="212"/>
        <v>cd&amp;v</v>
      </c>
      <c r="K977">
        <v>25592</v>
      </c>
      <c r="L977">
        <v>45496</v>
      </c>
      <c r="M977">
        <v>71088</v>
      </c>
      <c r="N977">
        <v>5</v>
      </c>
      <c r="O977" t="str">
        <f>("5")</f>
        <v>5</v>
      </c>
      <c r="P977" t="str">
        <f>("Debruyne Francis")</f>
        <v>Debruyne Francis</v>
      </c>
      <c r="Q977">
        <v>6304</v>
      </c>
      <c r="S977">
        <v>2</v>
      </c>
    </row>
    <row r="978" spans="1:19" x14ac:dyDescent="0.3">
      <c r="A978" t="s">
        <v>0</v>
      </c>
      <c r="B978" s="1">
        <v>45578</v>
      </c>
      <c r="C978" t="str">
        <f t="shared" si="210"/>
        <v>34022</v>
      </c>
      <c r="D978" t="s">
        <v>9</v>
      </c>
      <c r="E978" t="str">
        <f t="shared" si="205"/>
        <v>16</v>
      </c>
      <c r="F978">
        <v>415132</v>
      </c>
      <c r="G978">
        <v>270680</v>
      </c>
      <c r="H978">
        <v>11163</v>
      </c>
      <c r="I978" t="str">
        <f t="shared" si="211"/>
        <v>3</v>
      </c>
      <c r="J978" t="str">
        <f t="shared" si="212"/>
        <v>cd&amp;v</v>
      </c>
      <c r="K978">
        <v>25592</v>
      </c>
      <c r="L978">
        <v>45496</v>
      </c>
      <c r="M978">
        <v>71088</v>
      </c>
      <c r="N978">
        <v>5</v>
      </c>
      <c r="O978" t="str">
        <f>("6")</f>
        <v>6</v>
      </c>
      <c r="P978" t="str">
        <f>("Huys Lieven")</f>
        <v>Huys Lieven</v>
      </c>
      <c r="Q978">
        <v>6992</v>
      </c>
      <c r="S978">
        <v>1</v>
      </c>
    </row>
    <row r="979" spans="1:19" x14ac:dyDescent="0.3">
      <c r="A979" t="s">
        <v>0</v>
      </c>
      <c r="B979" s="1">
        <v>45578</v>
      </c>
      <c r="C979" t="str">
        <f t="shared" si="210"/>
        <v>34022</v>
      </c>
      <c r="D979" t="s">
        <v>9</v>
      </c>
      <c r="E979" t="str">
        <f t="shared" si="205"/>
        <v>16</v>
      </c>
      <c r="F979">
        <v>415132</v>
      </c>
      <c r="G979">
        <v>270680</v>
      </c>
      <c r="H979">
        <v>11163</v>
      </c>
      <c r="I979" t="str">
        <f t="shared" si="211"/>
        <v>3</v>
      </c>
      <c r="J979" t="str">
        <f t="shared" si="212"/>
        <v>cd&amp;v</v>
      </c>
      <c r="K979">
        <v>25592</v>
      </c>
      <c r="L979">
        <v>45496</v>
      </c>
      <c r="M979">
        <v>71088</v>
      </c>
      <c r="N979">
        <v>5</v>
      </c>
      <c r="O979" t="str">
        <f>("7")</f>
        <v>7</v>
      </c>
      <c r="P979" t="str">
        <f>("Van Essche Ann")</f>
        <v>Van Essche Ann</v>
      </c>
      <c r="Q979">
        <v>4284</v>
      </c>
      <c r="S979">
        <v>7</v>
      </c>
    </row>
    <row r="980" spans="1:19" x14ac:dyDescent="0.3">
      <c r="A980" t="s">
        <v>0</v>
      </c>
      <c r="B980" s="1">
        <v>45578</v>
      </c>
      <c r="C980" t="str">
        <f t="shared" si="210"/>
        <v>34022</v>
      </c>
      <c r="D980" t="s">
        <v>9</v>
      </c>
      <c r="E980" t="str">
        <f t="shared" si="205"/>
        <v>16</v>
      </c>
      <c r="F980">
        <v>415132</v>
      </c>
      <c r="G980">
        <v>270680</v>
      </c>
      <c r="H980">
        <v>11163</v>
      </c>
      <c r="I980" t="str">
        <f t="shared" si="211"/>
        <v>3</v>
      </c>
      <c r="J980" t="str">
        <f t="shared" si="212"/>
        <v>cd&amp;v</v>
      </c>
      <c r="K980">
        <v>25592</v>
      </c>
      <c r="L980">
        <v>45496</v>
      </c>
      <c r="M980">
        <v>71088</v>
      </c>
      <c r="N980">
        <v>5</v>
      </c>
      <c r="O980" t="str">
        <f>("8")</f>
        <v>8</v>
      </c>
      <c r="P980" t="str">
        <f>("Vanraes Caroline")</f>
        <v>Vanraes Caroline</v>
      </c>
      <c r="Q980">
        <v>4384</v>
      </c>
      <c r="S980">
        <v>6</v>
      </c>
    </row>
    <row r="981" spans="1:19" x14ac:dyDescent="0.3">
      <c r="A981" t="s">
        <v>0</v>
      </c>
      <c r="B981" s="1">
        <v>45578</v>
      </c>
      <c r="C981" t="str">
        <f t="shared" si="210"/>
        <v>34022</v>
      </c>
      <c r="D981" t="s">
        <v>9</v>
      </c>
      <c r="E981" t="str">
        <f t="shared" si="205"/>
        <v>16</v>
      </c>
      <c r="F981">
        <v>415132</v>
      </c>
      <c r="G981">
        <v>270680</v>
      </c>
      <c r="H981">
        <v>11163</v>
      </c>
      <c r="I981" t="str">
        <f t="shared" si="211"/>
        <v>3</v>
      </c>
      <c r="J981" t="str">
        <f t="shared" si="212"/>
        <v>cd&amp;v</v>
      </c>
      <c r="K981">
        <v>25592</v>
      </c>
      <c r="L981">
        <v>45496</v>
      </c>
      <c r="M981">
        <v>71088</v>
      </c>
      <c r="N981">
        <v>5</v>
      </c>
      <c r="O981" t="str">
        <f>("9")</f>
        <v>9</v>
      </c>
      <c r="P981" t="str">
        <f>("Degezelle Isabelle")</f>
        <v>Degezelle Isabelle</v>
      </c>
      <c r="Q981">
        <v>7525</v>
      </c>
      <c r="R981">
        <v>5</v>
      </c>
    </row>
    <row r="982" spans="1:19" x14ac:dyDescent="0.3">
      <c r="A982" t="s">
        <v>0</v>
      </c>
      <c r="B982" s="1">
        <v>45578</v>
      </c>
      <c r="C982" t="str">
        <f t="shared" si="210"/>
        <v>34022</v>
      </c>
      <c r="D982" t="s">
        <v>9</v>
      </c>
      <c r="E982" t="str">
        <f t="shared" si="205"/>
        <v>16</v>
      </c>
      <c r="F982">
        <v>415132</v>
      </c>
      <c r="G982">
        <v>270680</v>
      </c>
      <c r="H982">
        <v>11163</v>
      </c>
      <c r="I982" t="str">
        <f t="shared" si="211"/>
        <v>3</v>
      </c>
      <c r="J982" t="str">
        <f t="shared" si="212"/>
        <v>cd&amp;v</v>
      </c>
      <c r="K982">
        <v>25592</v>
      </c>
      <c r="L982">
        <v>45496</v>
      </c>
      <c r="M982">
        <v>71088</v>
      </c>
      <c r="N982">
        <v>5</v>
      </c>
      <c r="O982" t="str">
        <f>("10")</f>
        <v>10</v>
      </c>
      <c r="P982" t="str">
        <f>("Deplancke Kim")</f>
        <v>Deplancke Kim</v>
      </c>
      <c r="Q982">
        <v>4536</v>
      </c>
      <c r="S982">
        <v>5</v>
      </c>
    </row>
    <row r="983" spans="1:19" x14ac:dyDescent="0.3">
      <c r="A983" t="s">
        <v>0</v>
      </c>
      <c r="B983" s="1">
        <v>45578</v>
      </c>
      <c r="C983" t="str">
        <f t="shared" si="210"/>
        <v>34022</v>
      </c>
      <c r="D983" t="s">
        <v>9</v>
      </c>
      <c r="E983" t="str">
        <f t="shared" si="205"/>
        <v>16</v>
      </c>
      <c r="F983">
        <v>415132</v>
      </c>
      <c r="G983">
        <v>270680</v>
      </c>
      <c r="H983">
        <v>11163</v>
      </c>
      <c r="I983" t="str">
        <f t="shared" si="211"/>
        <v>3</v>
      </c>
      <c r="J983" t="str">
        <f t="shared" si="212"/>
        <v>cd&amp;v</v>
      </c>
      <c r="K983">
        <v>25592</v>
      </c>
      <c r="L983">
        <v>45496</v>
      </c>
      <c r="M983">
        <v>71088</v>
      </c>
      <c r="N983">
        <v>5</v>
      </c>
      <c r="O983" t="str">
        <f>("11")</f>
        <v>11</v>
      </c>
      <c r="P983" t="str">
        <f>("Min Jou Arne")</f>
        <v>Min Jou Arne</v>
      </c>
      <c r="Q983">
        <v>3426</v>
      </c>
      <c r="S983">
        <v>11</v>
      </c>
    </row>
    <row r="984" spans="1:19" x14ac:dyDescent="0.3">
      <c r="A984" t="s">
        <v>0</v>
      </c>
      <c r="B984" s="1">
        <v>45578</v>
      </c>
      <c r="C984" t="str">
        <f t="shared" si="210"/>
        <v>34022</v>
      </c>
      <c r="D984" t="s">
        <v>9</v>
      </c>
      <c r="E984" t="str">
        <f t="shared" si="205"/>
        <v>16</v>
      </c>
      <c r="F984">
        <v>415132</v>
      </c>
      <c r="G984">
        <v>270680</v>
      </c>
      <c r="H984">
        <v>11163</v>
      </c>
      <c r="I984" t="str">
        <f t="shared" si="211"/>
        <v>3</v>
      </c>
      <c r="J984" t="str">
        <f t="shared" si="212"/>
        <v>cd&amp;v</v>
      </c>
      <c r="K984">
        <v>25592</v>
      </c>
      <c r="L984">
        <v>45496</v>
      </c>
      <c r="M984">
        <v>71088</v>
      </c>
      <c r="N984">
        <v>5</v>
      </c>
      <c r="O984" t="str">
        <f>("12")</f>
        <v>12</v>
      </c>
      <c r="P984" t="str">
        <f>("Davidts Stephanie")</f>
        <v>Davidts Stephanie</v>
      </c>
      <c r="Q984">
        <v>3768</v>
      </c>
      <c r="S984">
        <v>9</v>
      </c>
    </row>
    <row r="985" spans="1:19" x14ac:dyDescent="0.3">
      <c r="A985" t="s">
        <v>0</v>
      </c>
      <c r="B985" s="1">
        <v>45578</v>
      </c>
      <c r="C985" t="str">
        <f t="shared" si="210"/>
        <v>34022</v>
      </c>
      <c r="D985" t="s">
        <v>9</v>
      </c>
      <c r="E985" t="str">
        <f t="shared" si="205"/>
        <v>16</v>
      </c>
      <c r="F985">
        <v>415132</v>
      </c>
      <c r="G985">
        <v>270680</v>
      </c>
      <c r="H985">
        <v>11163</v>
      </c>
      <c r="I985" t="str">
        <f t="shared" si="211"/>
        <v>3</v>
      </c>
      <c r="J985" t="str">
        <f t="shared" si="212"/>
        <v>cd&amp;v</v>
      </c>
      <c r="K985">
        <v>25592</v>
      </c>
      <c r="L985">
        <v>45496</v>
      </c>
      <c r="M985">
        <v>71088</v>
      </c>
      <c r="N985">
        <v>5</v>
      </c>
      <c r="O985" t="str">
        <f>("13")</f>
        <v>13</v>
      </c>
      <c r="P985" t="str">
        <f>("Mostaert Daan")</f>
        <v>Mostaert Daan</v>
      </c>
      <c r="Q985">
        <v>3626</v>
      </c>
      <c r="S985">
        <v>10</v>
      </c>
    </row>
    <row r="986" spans="1:19" x14ac:dyDescent="0.3">
      <c r="A986" t="s">
        <v>0</v>
      </c>
      <c r="B986" s="1">
        <v>45578</v>
      </c>
      <c r="C986" t="str">
        <f t="shared" si="210"/>
        <v>34022</v>
      </c>
      <c r="D986" t="s">
        <v>9</v>
      </c>
      <c r="E986" t="str">
        <f t="shared" si="205"/>
        <v>16</v>
      </c>
      <c r="F986">
        <v>415132</v>
      </c>
      <c r="G986">
        <v>270680</v>
      </c>
      <c r="H986">
        <v>11163</v>
      </c>
      <c r="I986" t="str">
        <f t="shared" si="211"/>
        <v>3</v>
      </c>
      <c r="J986" t="str">
        <f t="shared" si="212"/>
        <v>cd&amp;v</v>
      </c>
      <c r="K986">
        <v>25592</v>
      </c>
      <c r="L986">
        <v>45496</v>
      </c>
      <c r="M986">
        <v>71088</v>
      </c>
      <c r="N986">
        <v>5</v>
      </c>
      <c r="O986" t="str">
        <f>("14")</f>
        <v>14</v>
      </c>
      <c r="P986" t="str">
        <f>("Callewaert Lynn")</f>
        <v>Callewaert Lynn</v>
      </c>
      <c r="Q986">
        <v>5249</v>
      </c>
      <c r="S986">
        <v>3</v>
      </c>
    </row>
    <row r="987" spans="1:19" x14ac:dyDescent="0.3">
      <c r="A987" t="s">
        <v>0</v>
      </c>
      <c r="B987" s="1">
        <v>45578</v>
      </c>
      <c r="C987" t="str">
        <f t="shared" si="210"/>
        <v>34022</v>
      </c>
      <c r="D987" t="s">
        <v>9</v>
      </c>
      <c r="E987" t="str">
        <f t="shared" si="205"/>
        <v>16</v>
      </c>
      <c r="F987">
        <v>415132</v>
      </c>
      <c r="G987">
        <v>270680</v>
      </c>
      <c r="H987">
        <v>11163</v>
      </c>
      <c r="I987" t="str">
        <f t="shared" si="211"/>
        <v>3</v>
      </c>
      <c r="J987" t="str">
        <f t="shared" si="212"/>
        <v>cd&amp;v</v>
      </c>
      <c r="K987">
        <v>25592</v>
      </c>
      <c r="L987">
        <v>45496</v>
      </c>
      <c r="M987">
        <v>71088</v>
      </c>
      <c r="N987">
        <v>5</v>
      </c>
      <c r="O987" t="str">
        <f>("15")</f>
        <v>15</v>
      </c>
      <c r="P987" t="str">
        <f>("Byttebier Vincent")</f>
        <v>Byttebier Vincent</v>
      </c>
      <c r="Q987">
        <v>3820</v>
      </c>
      <c r="S987">
        <v>8</v>
      </c>
    </row>
    <row r="988" spans="1:19" x14ac:dyDescent="0.3">
      <c r="A988" t="s">
        <v>0</v>
      </c>
      <c r="B988" s="1">
        <v>45578</v>
      </c>
      <c r="C988" t="str">
        <f t="shared" si="210"/>
        <v>34022</v>
      </c>
      <c r="D988" t="s">
        <v>9</v>
      </c>
      <c r="E988" t="str">
        <f t="shared" si="205"/>
        <v>16</v>
      </c>
      <c r="F988">
        <v>415132</v>
      </c>
      <c r="G988">
        <v>270680</v>
      </c>
      <c r="H988">
        <v>11163</v>
      </c>
      <c r="I988" t="str">
        <f t="shared" si="211"/>
        <v>3</v>
      </c>
      <c r="J988" t="str">
        <f t="shared" si="212"/>
        <v>cd&amp;v</v>
      </c>
      <c r="K988">
        <v>25592</v>
      </c>
      <c r="L988">
        <v>45496</v>
      </c>
      <c r="M988">
        <v>71088</v>
      </c>
      <c r="N988">
        <v>5</v>
      </c>
      <c r="O988" t="str">
        <f>("16")</f>
        <v>16</v>
      </c>
      <c r="P988" t="str">
        <f>("Vanryckeghem Kurt")</f>
        <v>Vanryckeghem Kurt</v>
      </c>
      <c r="Q988">
        <v>8777</v>
      </c>
      <c r="R988">
        <v>4</v>
      </c>
    </row>
    <row r="989" spans="1:19" x14ac:dyDescent="0.3">
      <c r="A989" t="s">
        <v>0</v>
      </c>
      <c r="B989" s="1">
        <v>45578</v>
      </c>
      <c r="C989" t="str">
        <f t="shared" si="210"/>
        <v>34022</v>
      </c>
      <c r="D989" t="s">
        <v>9</v>
      </c>
      <c r="E989" t="str">
        <f t="shared" si="205"/>
        <v>16</v>
      </c>
      <c r="F989">
        <v>415132</v>
      </c>
      <c r="G989">
        <v>270680</v>
      </c>
      <c r="H989">
        <v>11163</v>
      </c>
      <c r="I989" t="str">
        <f t="shared" ref="I989:I1004" si="213">("4")</f>
        <v>4</v>
      </c>
      <c r="J989" t="str">
        <f t="shared" ref="J989:J1004" si="214">("VLAAMS BELANG")</f>
        <v>VLAAMS BELANG</v>
      </c>
      <c r="K989">
        <v>37602</v>
      </c>
      <c r="L989">
        <v>18130</v>
      </c>
      <c r="M989">
        <v>55732</v>
      </c>
      <c r="N989">
        <v>4</v>
      </c>
      <c r="O989" t="str">
        <f>("1")</f>
        <v>1</v>
      </c>
      <c r="P989" t="str">
        <f>("Descheemaeker Michiel")</f>
        <v>Descheemaeker Michiel</v>
      </c>
      <c r="Q989">
        <v>10986</v>
      </c>
      <c r="R989">
        <v>1</v>
      </c>
    </row>
    <row r="990" spans="1:19" x14ac:dyDescent="0.3">
      <c r="A990" t="s">
        <v>0</v>
      </c>
      <c r="B990" s="1">
        <v>45578</v>
      </c>
      <c r="C990" t="str">
        <f t="shared" si="210"/>
        <v>34022</v>
      </c>
      <c r="D990" t="s">
        <v>9</v>
      </c>
      <c r="E990" t="str">
        <f t="shared" si="205"/>
        <v>16</v>
      </c>
      <c r="F990">
        <v>415132</v>
      </c>
      <c r="G990">
        <v>270680</v>
      </c>
      <c r="H990">
        <v>11163</v>
      </c>
      <c r="I990" t="str">
        <f t="shared" si="213"/>
        <v>4</v>
      </c>
      <c r="J990" t="str">
        <f t="shared" si="214"/>
        <v>VLAAMS BELANG</v>
      </c>
      <c r="K990">
        <v>37602</v>
      </c>
      <c r="L990">
        <v>18130</v>
      </c>
      <c r="M990">
        <v>55732</v>
      </c>
      <c r="N990">
        <v>4</v>
      </c>
      <c r="O990" t="str">
        <f>("2")</f>
        <v>2</v>
      </c>
      <c r="P990" t="str">
        <f>("Cleve Sofie")</f>
        <v>Cleve Sofie</v>
      </c>
      <c r="Q990">
        <v>6581</v>
      </c>
      <c r="R990">
        <v>3</v>
      </c>
    </row>
    <row r="991" spans="1:19" x14ac:dyDescent="0.3">
      <c r="A991" t="s">
        <v>0</v>
      </c>
      <c r="B991" s="1">
        <v>45578</v>
      </c>
      <c r="C991" t="str">
        <f t="shared" si="210"/>
        <v>34022</v>
      </c>
      <c r="D991" t="s">
        <v>9</v>
      </c>
      <c r="E991" t="str">
        <f t="shared" si="205"/>
        <v>16</v>
      </c>
      <c r="F991">
        <v>415132</v>
      </c>
      <c r="G991">
        <v>270680</v>
      </c>
      <c r="H991">
        <v>11163</v>
      </c>
      <c r="I991" t="str">
        <f t="shared" si="213"/>
        <v>4</v>
      </c>
      <c r="J991" t="str">
        <f t="shared" si="214"/>
        <v>VLAAMS BELANG</v>
      </c>
      <c r="K991">
        <v>37602</v>
      </c>
      <c r="L991">
        <v>18130</v>
      </c>
      <c r="M991">
        <v>55732</v>
      </c>
      <c r="N991">
        <v>4</v>
      </c>
      <c r="O991" t="str">
        <f>("3")</f>
        <v>3</v>
      </c>
      <c r="P991" t="str">
        <f>("Buyse Filip")</f>
        <v>Buyse Filip</v>
      </c>
      <c r="Q991">
        <v>6013</v>
      </c>
      <c r="R991">
        <v>4</v>
      </c>
    </row>
    <row r="992" spans="1:19" x14ac:dyDescent="0.3">
      <c r="A992" t="s">
        <v>0</v>
      </c>
      <c r="B992" s="1">
        <v>45578</v>
      </c>
      <c r="C992" t="str">
        <f t="shared" si="210"/>
        <v>34022</v>
      </c>
      <c r="D992" t="s">
        <v>9</v>
      </c>
      <c r="E992" t="str">
        <f t="shared" si="205"/>
        <v>16</v>
      </c>
      <c r="F992">
        <v>415132</v>
      </c>
      <c r="G992">
        <v>270680</v>
      </c>
      <c r="H992">
        <v>11163</v>
      </c>
      <c r="I992" t="str">
        <f t="shared" si="213"/>
        <v>4</v>
      </c>
      <c r="J992" t="str">
        <f t="shared" si="214"/>
        <v>VLAAMS BELANG</v>
      </c>
      <c r="K992">
        <v>37602</v>
      </c>
      <c r="L992">
        <v>18130</v>
      </c>
      <c r="M992">
        <v>55732</v>
      </c>
      <c r="N992">
        <v>4</v>
      </c>
      <c r="O992" t="str">
        <f>("4")</f>
        <v>4</v>
      </c>
      <c r="P992" t="str">
        <f>("De Bruyne Marniek")</f>
        <v>De Bruyne Marniek</v>
      </c>
      <c r="Q992">
        <v>5232</v>
      </c>
      <c r="S992">
        <v>3</v>
      </c>
    </row>
    <row r="993" spans="1:19" x14ac:dyDescent="0.3">
      <c r="A993" t="s">
        <v>0</v>
      </c>
      <c r="B993" s="1">
        <v>45578</v>
      </c>
      <c r="C993" t="str">
        <f t="shared" si="210"/>
        <v>34022</v>
      </c>
      <c r="D993" t="s">
        <v>9</v>
      </c>
      <c r="E993" t="str">
        <f t="shared" si="205"/>
        <v>16</v>
      </c>
      <c r="F993">
        <v>415132</v>
      </c>
      <c r="G993">
        <v>270680</v>
      </c>
      <c r="H993">
        <v>11163</v>
      </c>
      <c r="I993" t="str">
        <f t="shared" si="213"/>
        <v>4</v>
      </c>
      <c r="J993" t="str">
        <f t="shared" si="214"/>
        <v>VLAAMS BELANG</v>
      </c>
      <c r="K993">
        <v>37602</v>
      </c>
      <c r="L993">
        <v>18130</v>
      </c>
      <c r="M993">
        <v>55732</v>
      </c>
      <c r="N993">
        <v>4</v>
      </c>
      <c r="O993" t="str">
        <f>("5")</f>
        <v>5</v>
      </c>
      <c r="P993" t="str">
        <f>("Dugardein Kimberley")</f>
        <v>Dugardein Kimberley</v>
      </c>
      <c r="Q993">
        <v>5558</v>
      </c>
      <c r="S993">
        <v>1</v>
      </c>
    </row>
    <row r="994" spans="1:19" x14ac:dyDescent="0.3">
      <c r="A994" t="s">
        <v>0</v>
      </c>
      <c r="B994" s="1">
        <v>45578</v>
      </c>
      <c r="C994" t="str">
        <f t="shared" si="210"/>
        <v>34022</v>
      </c>
      <c r="D994" t="s">
        <v>9</v>
      </c>
      <c r="E994" t="str">
        <f t="shared" si="205"/>
        <v>16</v>
      </c>
      <c r="F994">
        <v>415132</v>
      </c>
      <c r="G994">
        <v>270680</v>
      </c>
      <c r="H994">
        <v>11163</v>
      </c>
      <c r="I994" t="str">
        <f t="shared" si="213"/>
        <v>4</v>
      </c>
      <c r="J994" t="str">
        <f t="shared" si="214"/>
        <v>VLAAMS BELANG</v>
      </c>
      <c r="K994">
        <v>37602</v>
      </c>
      <c r="L994">
        <v>18130</v>
      </c>
      <c r="M994">
        <v>55732</v>
      </c>
      <c r="N994">
        <v>4</v>
      </c>
      <c r="O994" t="str">
        <f>("6")</f>
        <v>6</v>
      </c>
      <c r="P994" t="str">
        <f>("De Maesschalck Martijn")</f>
        <v>De Maesschalck Martijn</v>
      </c>
      <c r="Q994">
        <v>5373</v>
      </c>
      <c r="S994">
        <v>2</v>
      </c>
    </row>
    <row r="995" spans="1:19" x14ac:dyDescent="0.3">
      <c r="A995" t="s">
        <v>0</v>
      </c>
      <c r="B995" s="1">
        <v>45578</v>
      </c>
      <c r="C995" t="str">
        <f t="shared" si="210"/>
        <v>34022</v>
      </c>
      <c r="D995" t="s">
        <v>9</v>
      </c>
      <c r="E995" t="str">
        <f t="shared" si="205"/>
        <v>16</v>
      </c>
      <c r="F995">
        <v>415132</v>
      </c>
      <c r="G995">
        <v>270680</v>
      </c>
      <c r="H995">
        <v>11163</v>
      </c>
      <c r="I995" t="str">
        <f t="shared" si="213"/>
        <v>4</v>
      </c>
      <c r="J995" t="str">
        <f t="shared" si="214"/>
        <v>VLAAMS BELANG</v>
      </c>
      <c r="K995">
        <v>37602</v>
      </c>
      <c r="L995">
        <v>18130</v>
      </c>
      <c r="M995">
        <v>55732</v>
      </c>
      <c r="N995">
        <v>4</v>
      </c>
      <c r="O995" t="str">
        <f>("7")</f>
        <v>7</v>
      </c>
      <c r="P995" t="str">
        <f>("Casier-Buyse Deborah")</f>
        <v>Casier-Buyse Deborah</v>
      </c>
      <c r="Q995">
        <v>5019</v>
      </c>
      <c r="S995">
        <v>6</v>
      </c>
    </row>
    <row r="996" spans="1:19" x14ac:dyDescent="0.3">
      <c r="A996" t="s">
        <v>0</v>
      </c>
      <c r="B996" s="1">
        <v>45578</v>
      </c>
      <c r="C996" t="str">
        <f t="shared" si="210"/>
        <v>34022</v>
      </c>
      <c r="D996" t="s">
        <v>9</v>
      </c>
      <c r="E996" t="str">
        <f t="shared" si="205"/>
        <v>16</v>
      </c>
      <c r="F996">
        <v>415132</v>
      </c>
      <c r="G996">
        <v>270680</v>
      </c>
      <c r="H996">
        <v>11163</v>
      </c>
      <c r="I996" t="str">
        <f t="shared" si="213"/>
        <v>4</v>
      </c>
      <c r="J996" t="str">
        <f t="shared" si="214"/>
        <v>VLAAMS BELANG</v>
      </c>
      <c r="K996">
        <v>37602</v>
      </c>
      <c r="L996">
        <v>18130</v>
      </c>
      <c r="M996">
        <v>55732</v>
      </c>
      <c r="N996">
        <v>4</v>
      </c>
      <c r="O996" t="str">
        <f>("8")</f>
        <v>8</v>
      </c>
      <c r="P996" t="str">
        <f>("Nollet Joke")</f>
        <v>Nollet Joke</v>
      </c>
      <c r="Q996">
        <v>5219</v>
      </c>
      <c r="S996">
        <v>4</v>
      </c>
    </row>
    <row r="997" spans="1:19" x14ac:dyDescent="0.3">
      <c r="A997" t="s">
        <v>0</v>
      </c>
      <c r="B997" s="1">
        <v>45578</v>
      </c>
      <c r="C997" t="str">
        <f t="shared" si="210"/>
        <v>34022</v>
      </c>
      <c r="D997" t="s">
        <v>9</v>
      </c>
      <c r="E997" t="str">
        <f t="shared" si="205"/>
        <v>16</v>
      </c>
      <c r="F997">
        <v>415132</v>
      </c>
      <c r="G997">
        <v>270680</v>
      </c>
      <c r="H997">
        <v>11163</v>
      </c>
      <c r="I997" t="str">
        <f t="shared" si="213"/>
        <v>4</v>
      </c>
      <c r="J997" t="str">
        <f t="shared" si="214"/>
        <v>VLAAMS BELANG</v>
      </c>
      <c r="K997">
        <v>37602</v>
      </c>
      <c r="L997">
        <v>18130</v>
      </c>
      <c r="M997">
        <v>55732</v>
      </c>
      <c r="N997">
        <v>4</v>
      </c>
      <c r="O997" t="str">
        <f>("9")</f>
        <v>9</v>
      </c>
      <c r="P997" t="str">
        <f>("Naert Filip")</f>
        <v>Naert Filip</v>
      </c>
      <c r="Q997">
        <v>4928</v>
      </c>
      <c r="S997">
        <v>7</v>
      </c>
    </row>
    <row r="998" spans="1:19" x14ac:dyDescent="0.3">
      <c r="A998" t="s">
        <v>0</v>
      </c>
      <c r="B998" s="1">
        <v>45578</v>
      </c>
      <c r="C998" t="str">
        <f t="shared" si="210"/>
        <v>34022</v>
      </c>
      <c r="D998" t="s">
        <v>9</v>
      </c>
      <c r="E998" t="str">
        <f t="shared" si="205"/>
        <v>16</v>
      </c>
      <c r="F998">
        <v>415132</v>
      </c>
      <c r="G998">
        <v>270680</v>
      </c>
      <c r="H998">
        <v>11163</v>
      </c>
      <c r="I998" t="str">
        <f t="shared" si="213"/>
        <v>4</v>
      </c>
      <c r="J998" t="str">
        <f t="shared" si="214"/>
        <v>VLAAMS BELANG</v>
      </c>
      <c r="K998">
        <v>37602</v>
      </c>
      <c r="L998">
        <v>18130</v>
      </c>
      <c r="M998">
        <v>55732</v>
      </c>
      <c r="N998">
        <v>4</v>
      </c>
      <c r="O998" t="str">
        <f>("10")</f>
        <v>10</v>
      </c>
      <c r="P998" t="str">
        <f>("Vercaemst Liesbeth")</f>
        <v>Vercaemst Liesbeth</v>
      </c>
      <c r="Q998">
        <v>5025</v>
      </c>
      <c r="S998">
        <v>5</v>
      </c>
    </row>
    <row r="999" spans="1:19" x14ac:dyDescent="0.3">
      <c r="A999" t="s">
        <v>0</v>
      </c>
      <c r="B999" s="1">
        <v>45578</v>
      </c>
      <c r="C999" t="str">
        <f t="shared" si="210"/>
        <v>34022</v>
      </c>
      <c r="D999" t="s">
        <v>9</v>
      </c>
      <c r="E999" t="str">
        <f t="shared" si="205"/>
        <v>16</v>
      </c>
      <c r="F999">
        <v>415132</v>
      </c>
      <c r="G999">
        <v>270680</v>
      </c>
      <c r="H999">
        <v>11163</v>
      </c>
      <c r="I999" t="str">
        <f t="shared" si="213"/>
        <v>4</v>
      </c>
      <c r="J999" t="str">
        <f t="shared" si="214"/>
        <v>VLAAMS BELANG</v>
      </c>
      <c r="K999">
        <v>37602</v>
      </c>
      <c r="L999">
        <v>18130</v>
      </c>
      <c r="M999">
        <v>55732</v>
      </c>
      <c r="N999">
        <v>4</v>
      </c>
      <c r="O999" t="str">
        <f>("11")</f>
        <v>11</v>
      </c>
      <c r="P999" t="str">
        <f>("De Roeck Gregory")</f>
        <v>De Roeck Gregory</v>
      </c>
      <c r="Q999">
        <v>4451</v>
      </c>
      <c r="S999">
        <v>11</v>
      </c>
    </row>
    <row r="1000" spans="1:19" x14ac:dyDescent="0.3">
      <c r="A1000" t="s">
        <v>0</v>
      </c>
      <c r="B1000" s="1">
        <v>45578</v>
      </c>
      <c r="C1000" t="str">
        <f t="shared" si="210"/>
        <v>34022</v>
      </c>
      <c r="D1000" t="s">
        <v>9</v>
      </c>
      <c r="E1000" t="str">
        <f t="shared" si="205"/>
        <v>16</v>
      </c>
      <c r="F1000">
        <v>415132</v>
      </c>
      <c r="G1000">
        <v>270680</v>
      </c>
      <c r="H1000">
        <v>11163</v>
      </c>
      <c r="I1000" t="str">
        <f t="shared" si="213"/>
        <v>4</v>
      </c>
      <c r="J1000" t="str">
        <f t="shared" si="214"/>
        <v>VLAAMS BELANG</v>
      </c>
      <c r="K1000">
        <v>37602</v>
      </c>
      <c r="L1000">
        <v>18130</v>
      </c>
      <c r="M1000">
        <v>55732</v>
      </c>
      <c r="N1000">
        <v>4</v>
      </c>
      <c r="O1000" t="str">
        <f>("12")</f>
        <v>12</v>
      </c>
      <c r="P1000" t="str">
        <f>("Sohier Heidi")</f>
        <v>Sohier Heidi</v>
      </c>
      <c r="Q1000">
        <v>4735</v>
      </c>
      <c r="S1000">
        <v>9</v>
      </c>
    </row>
    <row r="1001" spans="1:19" x14ac:dyDescent="0.3">
      <c r="A1001" t="s">
        <v>0</v>
      </c>
      <c r="B1001" s="1">
        <v>45578</v>
      </c>
      <c r="C1001" t="str">
        <f t="shared" si="210"/>
        <v>34022</v>
      </c>
      <c r="D1001" t="s">
        <v>9</v>
      </c>
      <c r="E1001" t="str">
        <f t="shared" si="205"/>
        <v>16</v>
      </c>
      <c r="F1001">
        <v>415132</v>
      </c>
      <c r="G1001">
        <v>270680</v>
      </c>
      <c r="H1001">
        <v>11163</v>
      </c>
      <c r="I1001" t="str">
        <f t="shared" si="213"/>
        <v>4</v>
      </c>
      <c r="J1001" t="str">
        <f t="shared" si="214"/>
        <v>VLAAMS BELANG</v>
      </c>
      <c r="K1001">
        <v>37602</v>
      </c>
      <c r="L1001">
        <v>18130</v>
      </c>
      <c r="M1001">
        <v>55732</v>
      </c>
      <c r="N1001">
        <v>4</v>
      </c>
      <c r="O1001" t="str">
        <f>("13")</f>
        <v>13</v>
      </c>
      <c r="P1001" t="str">
        <f>("Gallez Virginie")</f>
        <v>Gallez Virginie</v>
      </c>
      <c r="Q1001">
        <v>4617</v>
      </c>
      <c r="S1001">
        <v>10</v>
      </c>
    </row>
    <row r="1002" spans="1:19" x14ac:dyDescent="0.3">
      <c r="A1002" t="s">
        <v>0</v>
      </c>
      <c r="B1002" s="1">
        <v>45578</v>
      </c>
      <c r="C1002" t="str">
        <f t="shared" si="210"/>
        <v>34022</v>
      </c>
      <c r="D1002" t="s">
        <v>9</v>
      </c>
      <c r="E1002" t="str">
        <f t="shared" si="205"/>
        <v>16</v>
      </c>
      <c r="F1002">
        <v>415132</v>
      </c>
      <c r="G1002">
        <v>270680</v>
      </c>
      <c r="H1002">
        <v>11163</v>
      </c>
      <c r="I1002" t="str">
        <f t="shared" si="213"/>
        <v>4</v>
      </c>
      <c r="J1002" t="str">
        <f t="shared" si="214"/>
        <v>VLAAMS BELANG</v>
      </c>
      <c r="K1002">
        <v>37602</v>
      </c>
      <c r="L1002">
        <v>18130</v>
      </c>
      <c r="M1002">
        <v>55732</v>
      </c>
      <c r="N1002">
        <v>4</v>
      </c>
      <c r="O1002" t="str">
        <f>("14")</f>
        <v>14</v>
      </c>
      <c r="P1002" t="str">
        <f>("Greeven Stevy")</f>
        <v>Greeven Stevy</v>
      </c>
      <c r="Q1002">
        <v>4359</v>
      </c>
      <c r="S1002">
        <v>12</v>
      </c>
    </row>
    <row r="1003" spans="1:19" x14ac:dyDescent="0.3">
      <c r="A1003" t="s">
        <v>0</v>
      </c>
      <c r="B1003" s="1">
        <v>45578</v>
      </c>
      <c r="C1003" t="str">
        <f t="shared" si="210"/>
        <v>34022</v>
      </c>
      <c r="D1003" t="s">
        <v>9</v>
      </c>
      <c r="E1003" t="str">
        <f t="shared" si="205"/>
        <v>16</v>
      </c>
      <c r="F1003">
        <v>415132</v>
      </c>
      <c r="G1003">
        <v>270680</v>
      </c>
      <c r="H1003">
        <v>11163</v>
      </c>
      <c r="I1003" t="str">
        <f t="shared" si="213"/>
        <v>4</v>
      </c>
      <c r="J1003" t="str">
        <f t="shared" si="214"/>
        <v>VLAAMS BELANG</v>
      </c>
      <c r="K1003">
        <v>37602</v>
      </c>
      <c r="L1003">
        <v>18130</v>
      </c>
      <c r="M1003">
        <v>55732</v>
      </c>
      <c r="N1003">
        <v>4</v>
      </c>
      <c r="O1003" t="str">
        <f>("15")</f>
        <v>15</v>
      </c>
      <c r="P1003" t="str">
        <f>("Vansteenkiste Hilde")</f>
        <v>Vansteenkiste Hilde</v>
      </c>
      <c r="Q1003">
        <v>4844</v>
      </c>
      <c r="S1003">
        <v>8</v>
      </c>
    </row>
    <row r="1004" spans="1:19" x14ac:dyDescent="0.3">
      <c r="A1004" t="s">
        <v>0</v>
      </c>
      <c r="B1004" s="1">
        <v>45578</v>
      </c>
      <c r="C1004" t="str">
        <f t="shared" si="210"/>
        <v>34022</v>
      </c>
      <c r="D1004" t="s">
        <v>9</v>
      </c>
      <c r="E1004" t="str">
        <f t="shared" si="205"/>
        <v>16</v>
      </c>
      <c r="F1004">
        <v>415132</v>
      </c>
      <c r="G1004">
        <v>270680</v>
      </c>
      <c r="H1004">
        <v>11163</v>
      </c>
      <c r="I1004" t="str">
        <f t="shared" si="213"/>
        <v>4</v>
      </c>
      <c r="J1004" t="str">
        <f t="shared" si="214"/>
        <v>VLAAMS BELANG</v>
      </c>
      <c r="K1004">
        <v>37602</v>
      </c>
      <c r="L1004">
        <v>18130</v>
      </c>
      <c r="M1004">
        <v>55732</v>
      </c>
      <c r="N1004">
        <v>4</v>
      </c>
      <c r="O1004" t="str">
        <f>("16")</f>
        <v>16</v>
      </c>
      <c r="P1004" t="str">
        <f>("Vermeersch Wouter")</f>
        <v>Vermeersch Wouter</v>
      </c>
      <c r="Q1004">
        <v>7460</v>
      </c>
      <c r="R1004">
        <v>2</v>
      </c>
    </row>
    <row r="1005" spans="1:19" x14ac:dyDescent="0.3">
      <c r="A1005" t="s">
        <v>0</v>
      </c>
      <c r="B1005" s="1">
        <v>45578</v>
      </c>
      <c r="C1005" t="str">
        <f t="shared" ref="C1005:C1036" si="215">("34022")</f>
        <v>34022</v>
      </c>
      <c r="D1005" t="s">
        <v>9</v>
      </c>
      <c r="E1005" t="str">
        <f t="shared" ref="E1005:E1068" si="216">("16")</f>
        <v>16</v>
      </c>
      <c r="F1005">
        <v>415132</v>
      </c>
      <c r="G1005">
        <v>270680</v>
      </c>
      <c r="H1005">
        <v>11163</v>
      </c>
      <c r="I1005" t="str">
        <f t="shared" ref="I1005:I1020" si="217">("5")</f>
        <v>5</v>
      </c>
      <c r="J1005" t="str">
        <f t="shared" ref="J1005:J1020" si="218">("N-VA")</f>
        <v>N-VA</v>
      </c>
      <c r="K1005">
        <v>33850</v>
      </c>
      <c r="L1005">
        <v>19691</v>
      </c>
      <c r="M1005">
        <v>53541</v>
      </c>
      <c r="N1005">
        <v>3</v>
      </c>
      <c r="O1005" t="str">
        <f>("1")</f>
        <v>1</v>
      </c>
      <c r="P1005" t="str">
        <f>("Detavernier Kelly")</f>
        <v>Detavernier Kelly</v>
      </c>
      <c r="Q1005">
        <v>9011</v>
      </c>
      <c r="R1005">
        <v>1</v>
      </c>
    </row>
    <row r="1006" spans="1:19" x14ac:dyDescent="0.3">
      <c r="A1006" t="s">
        <v>0</v>
      </c>
      <c r="B1006" s="1">
        <v>45578</v>
      </c>
      <c r="C1006" t="str">
        <f t="shared" si="215"/>
        <v>34022</v>
      </c>
      <c r="D1006" t="s">
        <v>9</v>
      </c>
      <c r="E1006" t="str">
        <f t="shared" si="216"/>
        <v>16</v>
      </c>
      <c r="F1006">
        <v>415132</v>
      </c>
      <c r="G1006">
        <v>270680</v>
      </c>
      <c r="H1006">
        <v>11163</v>
      </c>
      <c r="I1006" t="str">
        <f t="shared" si="217"/>
        <v>5</v>
      </c>
      <c r="J1006" t="str">
        <f t="shared" si="218"/>
        <v>N-VA</v>
      </c>
      <c r="K1006">
        <v>33850</v>
      </c>
      <c r="L1006">
        <v>19691</v>
      </c>
      <c r="M1006">
        <v>53541</v>
      </c>
      <c r="N1006">
        <v>3</v>
      </c>
      <c r="O1006" t="str">
        <f>("2")</f>
        <v>2</v>
      </c>
      <c r="P1006" t="str">
        <f>("De Poorter Johan")</f>
        <v>De Poorter Johan</v>
      </c>
      <c r="Q1006">
        <v>4390</v>
      </c>
      <c r="S1006">
        <v>1</v>
      </c>
    </row>
    <row r="1007" spans="1:19" x14ac:dyDescent="0.3">
      <c r="A1007" t="s">
        <v>0</v>
      </c>
      <c r="B1007" s="1">
        <v>45578</v>
      </c>
      <c r="C1007" t="str">
        <f t="shared" si="215"/>
        <v>34022</v>
      </c>
      <c r="D1007" t="s">
        <v>9</v>
      </c>
      <c r="E1007" t="str">
        <f t="shared" si="216"/>
        <v>16</v>
      </c>
      <c r="F1007">
        <v>415132</v>
      </c>
      <c r="G1007">
        <v>270680</v>
      </c>
      <c r="H1007">
        <v>11163</v>
      </c>
      <c r="I1007" t="str">
        <f t="shared" si="217"/>
        <v>5</v>
      </c>
      <c r="J1007" t="str">
        <f t="shared" si="218"/>
        <v>N-VA</v>
      </c>
      <c r="K1007">
        <v>33850</v>
      </c>
      <c r="L1007">
        <v>19691</v>
      </c>
      <c r="M1007">
        <v>53541</v>
      </c>
      <c r="N1007">
        <v>3</v>
      </c>
      <c r="O1007" t="str">
        <f>("3")</f>
        <v>3</v>
      </c>
      <c r="P1007" t="str">
        <f>("Himpe Kurt")</f>
        <v>Himpe Kurt</v>
      </c>
      <c r="Q1007">
        <v>5515</v>
      </c>
      <c r="R1007">
        <v>3</v>
      </c>
    </row>
    <row r="1008" spans="1:19" x14ac:dyDescent="0.3">
      <c r="A1008" t="s">
        <v>0</v>
      </c>
      <c r="B1008" s="1">
        <v>45578</v>
      </c>
      <c r="C1008" t="str">
        <f t="shared" si="215"/>
        <v>34022</v>
      </c>
      <c r="D1008" t="s">
        <v>9</v>
      </c>
      <c r="E1008" t="str">
        <f t="shared" si="216"/>
        <v>16</v>
      </c>
      <c r="F1008">
        <v>415132</v>
      </c>
      <c r="G1008">
        <v>270680</v>
      </c>
      <c r="H1008">
        <v>11163</v>
      </c>
      <c r="I1008" t="str">
        <f t="shared" si="217"/>
        <v>5</v>
      </c>
      <c r="J1008" t="str">
        <f t="shared" si="218"/>
        <v>N-VA</v>
      </c>
      <c r="K1008">
        <v>33850</v>
      </c>
      <c r="L1008">
        <v>19691</v>
      </c>
      <c r="M1008">
        <v>53541</v>
      </c>
      <c r="N1008">
        <v>3</v>
      </c>
      <c r="O1008" t="str">
        <f>("4")</f>
        <v>4</v>
      </c>
      <c r="P1008" t="str">
        <f>("Braet Johan")</f>
        <v>Braet Johan</v>
      </c>
      <c r="Q1008">
        <v>3200</v>
      </c>
      <c r="S1008">
        <v>9</v>
      </c>
    </row>
    <row r="1009" spans="1:19" x14ac:dyDescent="0.3">
      <c r="A1009" t="s">
        <v>0</v>
      </c>
      <c r="B1009" s="1">
        <v>45578</v>
      </c>
      <c r="C1009" t="str">
        <f t="shared" si="215"/>
        <v>34022</v>
      </c>
      <c r="D1009" t="s">
        <v>9</v>
      </c>
      <c r="E1009" t="str">
        <f t="shared" si="216"/>
        <v>16</v>
      </c>
      <c r="F1009">
        <v>415132</v>
      </c>
      <c r="G1009">
        <v>270680</v>
      </c>
      <c r="H1009">
        <v>11163</v>
      </c>
      <c r="I1009" t="str">
        <f t="shared" si="217"/>
        <v>5</v>
      </c>
      <c r="J1009" t="str">
        <f t="shared" si="218"/>
        <v>N-VA</v>
      </c>
      <c r="K1009">
        <v>33850</v>
      </c>
      <c r="L1009">
        <v>19691</v>
      </c>
      <c r="M1009">
        <v>53541</v>
      </c>
      <c r="N1009">
        <v>3</v>
      </c>
      <c r="O1009" t="str">
        <f>("5")</f>
        <v>5</v>
      </c>
      <c r="P1009" t="str">
        <f>("Verhoyen Kevin")</f>
        <v>Verhoyen Kevin</v>
      </c>
      <c r="Q1009">
        <v>3130</v>
      </c>
      <c r="S1009">
        <v>10</v>
      </c>
    </row>
    <row r="1010" spans="1:19" x14ac:dyDescent="0.3">
      <c r="A1010" t="s">
        <v>0</v>
      </c>
      <c r="B1010" s="1">
        <v>45578</v>
      </c>
      <c r="C1010" t="str">
        <f t="shared" si="215"/>
        <v>34022</v>
      </c>
      <c r="D1010" t="s">
        <v>9</v>
      </c>
      <c r="E1010" t="str">
        <f t="shared" si="216"/>
        <v>16</v>
      </c>
      <c r="F1010">
        <v>415132</v>
      </c>
      <c r="G1010">
        <v>270680</v>
      </c>
      <c r="H1010">
        <v>11163</v>
      </c>
      <c r="I1010" t="str">
        <f t="shared" si="217"/>
        <v>5</v>
      </c>
      <c r="J1010" t="str">
        <f t="shared" si="218"/>
        <v>N-VA</v>
      </c>
      <c r="K1010">
        <v>33850</v>
      </c>
      <c r="L1010">
        <v>19691</v>
      </c>
      <c r="M1010">
        <v>53541</v>
      </c>
      <c r="N1010">
        <v>3</v>
      </c>
      <c r="O1010" t="str">
        <f>("6")</f>
        <v>6</v>
      </c>
      <c r="P1010" t="str">
        <f>("Singh Sukhpreet")</f>
        <v>Singh Sukhpreet</v>
      </c>
      <c r="Q1010">
        <v>3108</v>
      </c>
      <c r="S1010">
        <v>11</v>
      </c>
    </row>
    <row r="1011" spans="1:19" x14ac:dyDescent="0.3">
      <c r="A1011" t="s">
        <v>0</v>
      </c>
      <c r="B1011" s="1">
        <v>45578</v>
      </c>
      <c r="C1011" t="str">
        <f t="shared" si="215"/>
        <v>34022</v>
      </c>
      <c r="D1011" t="s">
        <v>9</v>
      </c>
      <c r="E1011" t="str">
        <f t="shared" si="216"/>
        <v>16</v>
      </c>
      <c r="F1011">
        <v>415132</v>
      </c>
      <c r="G1011">
        <v>270680</v>
      </c>
      <c r="H1011">
        <v>11163</v>
      </c>
      <c r="I1011" t="str">
        <f t="shared" si="217"/>
        <v>5</v>
      </c>
      <c r="J1011" t="str">
        <f t="shared" si="218"/>
        <v>N-VA</v>
      </c>
      <c r="K1011">
        <v>33850</v>
      </c>
      <c r="L1011">
        <v>19691</v>
      </c>
      <c r="M1011">
        <v>53541</v>
      </c>
      <c r="N1011">
        <v>3</v>
      </c>
      <c r="O1011" t="str">
        <f>("7")</f>
        <v>7</v>
      </c>
      <c r="P1011" t="str">
        <f>("Vandeputte Célestine")</f>
        <v>Vandeputte Célestine</v>
      </c>
      <c r="Q1011">
        <v>3956</v>
      </c>
      <c r="S1011">
        <v>2</v>
      </c>
    </row>
    <row r="1012" spans="1:19" x14ac:dyDescent="0.3">
      <c r="A1012" t="s">
        <v>0</v>
      </c>
      <c r="B1012" s="1">
        <v>45578</v>
      </c>
      <c r="C1012" t="str">
        <f t="shared" si="215"/>
        <v>34022</v>
      </c>
      <c r="D1012" t="s">
        <v>9</v>
      </c>
      <c r="E1012" t="str">
        <f t="shared" si="216"/>
        <v>16</v>
      </c>
      <c r="F1012">
        <v>415132</v>
      </c>
      <c r="G1012">
        <v>270680</v>
      </c>
      <c r="H1012">
        <v>11163</v>
      </c>
      <c r="I1012" t="str">
        <f t="shared" si="217"/>
        <v>5</v>
      </c>
      <c r="J1012" t="str">
        <f t="shared" si="218"/>
        <v>N-VA</v>
      </c>
      <c r="K1012">
        <v>33850</v>
      </c>
      <c r="L1012">
        <v>19691</v>
      </c>
      <c r="M1012">
        <v>53541</v>
      </c>
      <c r="N1012">
        <v>3</v>
      </c>
      <c r="O1012" t="str">
        <f>("8")</f>
        <v>8</v>
      </c>
      <c r="P1012" t="str">
        <f>("Verslijpe Mike")</f>
        <v>Verslijpe Mike</v>
      </c>
      <c r="Q1012">
        <v>2819</v>
      </c>
      <c r="S1012">
        <v>13</v>
      </c>
    </row>
    <row r="1013" spans="1:19" x14ac:dyDescent="0.3">
      <c r="A1013" t="s">
        <v>0</v>
      </c>
      <c r="B1013" s="1">
        <v>45578</v>
      </c>
      <c r="C1013" t="str">
        <f t="shared" si="215"/>
        <v>34022</v>
      </c>
      <c r="D1013" t="s">
        <v>9</v>
      </c>
      <c r="E1013" t="str">
        <f t="shared" si="216"/>
        <v>16</v>
      </c>
      <c r="F1013">
        <v>415132</v>
      </c>
      <c r="G1013">
        <v>270680</v>
      </c>
      <c r="H1013">
        <v>11163</v>
      </c>
      <c r="I1013" t="str">
        <f t="shared" si="217"/>
        <v>5</v>
      </c>
      <c r="J1013" t="str">
        <f t="shared" si="218"/>
        <v>N-VA</v>
      </c>
      <c r="K1013">
        <v>33850</v>
      </c>
      <c r="L1013">
        <v>19691</v>
      </c>
      <c r="M1013">
        <v>53541</v>
      </c>
      <c r="N1013">
        <v>3</v>
      </c>
      <c r="O1013" t="str">
        <f>("9")</f>
        <v>9</v>
      </c>
      <c r="P1013" t="str">
        <f>("Delaruye Ellen")</f>
        <v>Delaruye Ellen</v>
      </c>
      <c r="Q1013">
        <v>3258</v>
      </c>
      <c r="S1013">
        <v>8</v>
      </c>
    </row>
    <row r="1014" spans="1:19" x14ac:dyDescent="0.3">
      <c r="A1014" t="s">
        <v>0</v>
      </c>
      <c r="B1014" s="1">
        <v>45578</v>
      </c>
      <c r="C1014" t="str">
        <f t="shared" si="215"/>
        <v>34022</v>
      </c>
      <c r="D1014" t="s">
        <v>9</v>
      </c>
      <c r="E1014" t="str">
        <f t="shared" si="216"/>
        <v>16</v>
      </c>
      <c r="F1014">
        <v>415132</v>
      </c>
      <c r="G1014">
        <v>270680</v>
      </c>
      <c r="H1014">
        <v>11163</v>
      </c>
      <c r="I1014" t="str">
        <f t="shared" si="217"/>
        <v>5</v>
      </c>
      <c r="J1014" t="str">
        <f t="shared" si="218"/>
        <v>N-VA</v>
      </c>
      <c r="K1014">
        <v>33850</v>
      </c>
      <c r="L1014">
        <v>19691</v>
      </c>
      <c r="M1014">
        <v>53541</v>
      </c>
      <c r="N1014">
        <v>3</v>
      </c>
      <c r="O1014" t="str">
        <f>("10")</f>
        <v>10</v>
      </c>
      <c r="P1014" t="str">
        <f>("Rogie Conny")</f>
        <v>Rogie Conny</v>
      </c>
      <c r="Q1014">
        <v>2922</v>
      </c>
      <c r="S1014">
        <v>12</v>
      </c>
    </row>
    <row r="1015" spans="1:19" x14ac:dyDescent="0.3">
      <c r="A1015" t="s">
        <v>0</v>
      </c>
      <c r="B1015" s="1">
        <v>45578</v>
      </c>
      <c r="C1015" t="str">
        <f t="shared" si="215"/>
        <v>34022</v>
      </c>
      <c r="D1015" t="s">
        <v>9</v>
      </c>
      <c r="E1015" t="str">
        <f t="shared" si="216"/>
        <v>16</v>
      </c>
      <c r="F1015">
        <v>415132</v>
      </c>
      <c r="G1015">
        <v>270680</v>
      </c>
      <c r="H1015">
        <v>11163</v>
      </c>
      <c r="I1015" t="str">
        <f t="shared" si="217"/>
        <v>5</v>
      </c>
      <c r="J1015" t="str">
        <f t="shared" si="218"/>
        <v>N-VA</v>
      </c>
      <c r="K1015">
        <v>33850</v>
      </c>
      <c r="L1015">
        <v>19691</v>
      </c>
      <c r="M1015">
        <v>53541</v>
      </c>
      <c r="N1015">
        <v>3</v>
      </c>
      <c r="O1015" t="str">
        <f>("11")</f>
        <v>11</v>
      </c>
      <c r="P1015" t="str">
        <f>("Vanhaverbeke Hendrik")</f>
        <v>Vanhaverbeke Hendrik</v>
      </c>
      <c r="Q1015">
        <v>3453</v>
      </c>
      <c r="S1015">
        <v>5</v>
      </c>
    </row>
    <row r="1016" spans="1:19" x14ac:dyDescent="0.3">
      <c r="A1016" t="s">
        <v>0</v>
      </c>
      <c r="B1016" s="1">
        <v>45578</v>
      </c>
      <c r="C1016" t="str">
        <f t="shared" si="215"/>
        <v>34022</v>
      </c>
      <c r="D1016" t="s">
        <v>9</v>
      </c>
      <c r="E1016" t="str">
        <f t="shared" si="216"/>
        <v>16</v>
      </c>
      <c r="F1016">
        <v>415132</v>
      </c>
      <c r="G1016">
        <v>270680</v>
      </c>
      <c r="H1016">
        <v>11163</v>
      </c>
      <c r="I1016" t="str">
        <f t="shared" si="217"/>
        <v>5</v>
      </c>
      <c r="J1016" t="str">
        <f t="shared" si="218"/>
        <v>N-VA</v>
      </c>
      <c r="K1016">
        <v>33850</v>
      </c>
      <c r="L1016">
        <v>19691</v>
      </c>
      <c r="M1016">
        <v>53541</v>
      </c>
      <c r="N1016">
        <v>3</v>
      </c>
      <c r="O1016" t="str">
        <f>("12")</f>
        <v>12</v>
      </c>
      <c r="P1016" t="str">
        <f>("Desmet Greet")</f>
        <v>Desmet Greet</v>
      </c>
      <c r="Q1016">
        <v>3576</v>
      </c>
      <c r="S1016">
        <v>4</v>
      </c>
    </row>
    <row r="1017" spans="1:19" x14ac:dyDescent="0.3">
      <c r="A1017" t="s">
        <v>0</v>
      </c>
      <c r="B1017" s="1">
        <v>45578</v>
      </c>
      <c r="C1017" t="str">
        <f t="shared" si="215"/>
        <v>34022</v>
      </c>
      <c r="D1017" t="s">
        <v>9</v>
      </c>
      <c r="E1017" t="str">
        <f t="shared" si="216"/>
        <v>16</v>
      </c>
      <c r="F1017">
        <v>415132</v>
      </c>
      <c r="G1017">
        <v>270680</v>
      </c>
      <c r="H1017">
        <v>11163</v>
      </c>
      <c r="I1017" t="str">
        <f t="shared" si="217"/>
        <v>5</v>
      </c>
      <c r="J1017" t="str">
        <f t="shared" si="218"/>
        <v>N-VA</v>
      </c>
      <c r="K1017">
        <v>33850</v>
      </c>
      <c r="L1017">
        <v>19691</v>
      </c>
      <c r="M1017">
        <v>53541</v>
      </c>
      <c r="N1017">
        <v>3</v>
      </c>
      <c r="O1017" t="str">
        <f>("13")</f>
        <v>13</v>
      </c>
      <c r="P1017" t="str">
        <f>("Defoor Lies")</f>
        <v>Defoor Lies</v>
      </c>
      <c r="Q1017">
        <v>3353</v>
      </c>
      <c r="S1017">
        <v>7</v>
      </c>
    </row>
    <row r="1018" spans="1:19" x14ac:dyDescent="0.3">
      <c r="A1018" t="s">
        <v>0</v>
      </c>
      <c r="B1018" s="1">
        <v>45578</v>
      </c>
      <c r="C1018" t="str">
        <f t="shared" si="215"/>
        <v>34022</v>
      </c>
      <c r="D1018" t="s">
        <v>9</v>
      </c>
      <c r="E1018" t="str">
        <f t="shared" si="216"/>
        <v>16</v>
      </c>
      <c r="F1018">
        <v>415132</v>
      </c>
      <c r="G1018">
        <v>270680</v>
      </c>
      <c r="H1018">
        <v>11163</v>
      </c>
      <c r="I1018" t="str">
        <f t="shared" si="217"/>
        <v>5</v>
      </c>
      <c r="J1018" t="str">
        <f t="shared" si="218"/>
        <v>N-VA</v>
      </c>
      <c r="K1018">
        <v>33850</v>
      </c>
      <c r="L1018">
        <v>19691</v>
      </c>
      <c r="M1018">
        <v>53541</v>
      </c>
      <c r="N1018">
        <v>3</v>
      </c>
      <c r="O1018" t="str">
        <f>("14")</f>
        <v>14</v>
      </c>
      <c r="P1018" t="str">
        <f>("Breye Virginie")</f>
        <v>Breye Virginie</v>
      </c>
      <c r="Q1018">
        <v>3641</v>
      </c>
      <c r="S1018">
        <v>3</v>
      </c>
    </row>
    <row r="1019" spans="1:19" x14ac:dyDescent="0.3">
      <c r="A1019" t="s">
        <v>0</v>
      </c>
      <c r="B1019" s="1">
        <v>45578</v>
      </c>
      <c r="C1019" t="str">
        <f t="shared" si="215"/>
        <v>34022</v>
      </c>
      <c r="D1019" t="s">
        <v>9</v>
      </c>
      <c r="E1019" t="str">
        <f t="shared" si="216"/>
        <v>16</v>
      </c>
      <c r="F1019">
        <v>415132</v>
      </c>
      <c r="G1019">
        <v>270680</v>
      </c>
      <c r="H1019">
        <v>11163</v>
      </c>
      <c r="I1019" t="str">
        <f t="shared" si="217"/>
        <v>5</v>
      </c>
      <c r="J1019" t="str">
        <f t="shared" si="218"/>
        <v>N-VA</v>
      </c>
      <c r="K1019">
        <v>33850</v>
      </c>
      <c r="L1019">
        <v>19691</v>
      </c>
      <c r="M1019">
        <v>53541</v>
      </c>
      <c r="N1019">
        <v>3</v>
      </c>
      <c r="O1019" t="str">
        <f>("15")</f>
        <v>15</v>
      </c>
      <c r="P1019" t="str">
        <f>("Houvenaghel Grietje")</f>
        <v>Houvenaghel Grietje</v>
      </c>
      <c r="Q1019">
        <v>3444</v>
      </c>
      <c r="S1019">
        <v>6</v>
      </c>
    </row>
    <row r="1020" spans="1:19" x14ac:dyDescent="0.3">
      <c r="A1020" t="s">
        <v>0</v>
      </c>
      <c r="B1020" s="1">
        <v>45578</v>
      </c>
      <c r="C1020" t="str">
        <f t="shared" si="215"/>
        <v>34022</v>
      </c>
      <c r="D1020" t="s">
        <v>9</v>
      </c>
      <c r="E1020" t="str">
        <f t="shared" si="216"/>
        <v>16</v>
      </c>
      <c r="F1020">
        <v>415132</v>
      </c>
      <c r="G1020">
        <v>270680</v>
      </c>
      <c r="H1020">
        <v>11163</v>
      </c>
      <c r="I1020" t="str">
        <f t="shared" si="217"/>
        <v>5</v>
      </c>
      <c r="J1020" t="str">
        <f t="shared" si="218"/>
        <v>N-VA</v>
      </c>
      <c r="K1020">
        <v>33850</v>
      </c>
      <c r="L1020">
        <v>19691</v>
      </c>
      <c r="M1020">
        <v>53541</v>
      </c>
      <c r="N1020">
        <v>3</v>
      </c>
      <c r="O1020" t="str">
        <f>("16")</f>
        <v>16</v>
      </c>
      <c r="P1020" t="str">
        <f>("Loones Sander")</f>
        <v>Loones Sander</v>
      </c>
      <c r="Q1020">
        <v>7350</v>
      </c>
      <c r="R1020">
        <v>2</v>
      </c>
    </row>
    <row r="1021" spans="1:19" x14ac:dyDescent="0.3">
      <c r="A1021" t="s">
        <v>0</v>
      </c>
      <c r="B1021" s="1">
        <v>45578</v>
      </c>
      <c r="C1021" t="str">
        <f t="shared" si="215"/>
        <v>34022</v>
      </c>
      <c r="D1021" t="s">
        <v>9</v>
      </c>
      <c r="E1021" t="str">
        <f t="shared" si="216"/>
        <v>16</v>
      </c>
      <c r="F1021">
        <v>415132</v>
      </c>
      <c r="G1021">
        <v>270680</v>
      </c>
      <c r="H1021">
        <v>11163</v>
      </c>
      <c r="I1021" t="str">
        <f t="shared" ref="I1021:I1036" si="219">("6")</f>
        <v>6</v>
      </c>
      <c r="J1021" t="str">
        <f t="shared" ref="J1021:J1036" si="220">("Open Vld")</f>
        <v>Open Vld</v>
      </c>
      <c r="K1021">
        <v>6445</v>
      </c>
      <c r="L1021">
        <v>10023</v>
      </c>
      <c r="M1021">
        <v>16468</v>
      </c>
      <c r="N1021">
        <v>1</v>
      </c>
      <c r="O1021" t="str">
        <f>("1")</f>
        <v>1</v>
      </c>
      <c r="P1021" t="str">
        <f>("Vandermersch Piet")</f>
        <v>Vandermersch Piet</v>
      </c>
      <c r="Q1021">
        <v>4529</v>
      </c>
      <c r="R1021">
        <v>1</v>
      </c>
    </row>
    <row r="1022" spans="1:19" x14ac:dyDescent="0.3">
      <c r="A1022" t="s">
        <v>0</v>
      </c>
      <c r="B1022" s="1">
        <v>45578</v>
      </c>
      <c r="C1022" t="str">
        <f t="shared" si="215"/>
        <v>34022</v>
      </c>
      <c r="D1022" t="s">
        <v>9</v>
      </c>
      <c r="E1022" t="str">
        <f t="shared" si="216"/>
        <v>16</v>
      </c>
      <c r="F1022">
        <v>415132</v>
      </c>
      <c r="G1022">
        <v>270680</v>
      </c>
      <c r="H1022">
        <v>11163</v>
      </c>
      <c r="I1022" t="str">
        <f t="shared" si="219"/>
        <v>6</v>
      </c>
      <c r="J1022" t="str">
        <f t="shared" si="220"/>
        <v>Open Vld</v>
      </c>
      <c r="K1022">
        <v>6445</v>
      </c>
      <c r="L1022">
        <v>10023</v>
      </c>
      <c r="M1022">
        <v>16468</v>
      </c>
      <c r="N1022">
        <v>1</v>
      </c>
      <c r="O1022" t="str">
        <f>("2")</f>
        <v>2</v>
      </c>
      <c r="P1022" t="str">
        <f>("Demeyer Stephanie")</f>
        <v>Demeyer Stephanie</v>
      </c>
      <c r="Q1022">
        <v>1909</v>
      </c>
      <c r="S1022">
        <v>3</v>
      </c>
    </row>
    <row r="1023" spans="1:19" x14ac:dyDescent="0.3">
      <c r="A1023" t="s">
        <v>0</v>
      </c>
      <c r="B1023" s="1">
        <v>45578</v>
      </c>
      <c r="C1023" t="str">
        <f t="shared" si="215"/>
        <v>34022</v>
      </c>
      <c r="D1023" t="s">
        <v>9</v>
      </c>
      <c r="E1023" t="str">
        <f t="shared" si="216"/>
        <v>16</v>
      </c>
      <c r="F1023">
        <v>415132</v>
      </c>
      <c r="G1023">
        <v>270680</v>
      </c>
      <c r="H1023">
        <v>11163</v>
      </c>
      <c r="I1023" t="str">
        <f t="shared" si="219"/>
        <v>6</v>
      </c>
      <c r="J1023" t="str">
        <f t="shared" si="220"/>
        <v>Open Vld</v>
      </c>
      <c r="K1023">
        <v>6445</v>
      </c>
      <c r="L1023">
        <v>10023</v>
      </c>
      <c r="M1023">
        <v>16468</v>
      </c>
      <c r="N1023">
        <v>1</v>
      </c>
      <c r="O1023" t="str">
        <f>("3")</f>
        <v>3</v>
      </c>
      <c r="P1023" t="str">
        <f>("D'Alwein Bo")</f>
        <v>D'Alwein Bo</v>
      </c>
      <c r="Q1023">
        <v>1384</v>
      </c>
      <c r="S1023">
        <v>6</v>
      </c>
    </row>
    <row r="1024" spans="1:19" x14ac:dyDescent="0.3">
      <c r="A1024" t="s">
        <v>0</v>
      </c>
      <c r="B1024" s="1">
        <v>45578</v>
      </c>
      <c r="C1024" t="str">
        <f t="shared" si="215"/>
        <v>34022</v>
      </c>
      <c r="D1024" t="s">
        <v>9</v>
      </c>
      <c r="E1024" t="str">
        <f t="shared" si="216"/>
        <v>16</v>
      </c>
      <c r="F1024">
        <v>415132</v>
      </c>
      <c r="G1024">
        <v>270680</v>
      </c>
      <c r="H1024">
        <v>11163</v>
      </c>
      <c r="I1024" t="str">
        <f t="shared" si="219"/>
        <v>6</v>
      </c>
      <c r="J1024" t="str">
        <f t="shared" si="220"/>
        <v>Open Vld</v>
      </c>
      <c r="K1024">
        <v>6445</v>
      </c>
      <c r="L1024">
        <v>10023</v>
      </c>
      <c r="M1024">
        <v>16468</v>
      </c>
      <c r="N1024">
        <v>1</v>
      </c>
      <c r="O1024" t="str">
        <f>("4")</f>
        <v>4</v>
      </c>
      <c r="P1024" t="str">
        <f>("Lombaert Michelle")</f>
        <v>Lombaert Michelle</v>
      </c>
      <c r="Q1024">
        <v>1372</v>
      </c>
      <c r="S1024">
        <v>7</v>
      </c>
    </row>
    <row r="1025" spans="1:19" x14ac:dyDescent="0.3">
      <c r="A1025" t="s">
        <v>0</v>
      </c>
      <c r="B1025" s="1">
        <v>45578</v>
      </c>
      <c r="C1025" t="str">
        <f t="shared" si="215"/>
        <v>34022</v>
      </c>
      <c r="D1025" t="s">
        <v>9</v>
      </c>
      <c r="E1025" t="str">
        <f t="shared" si="216"/>
        <v>16</v>
      </c>
      <c r="F1025">
        <v>415132</v>
      </c>
      <c r="G1025">
        <v>270680</v>
      </c>
      <c r="H1025">
        <v>11163</v>
      </c>
      <c r="I1025" t="str">
        <f t="shared" si="219"/>
        <v>6</v>
      </c>
      <c r="J1025" t="str">
        <f t="shared" si="220"/>
        <v>Open Vld</v>
      </c>
      <c r="K1025">
        <v>6445</v>
      </c>
      <c r="L1025">
        <v>10023</v>
      </c>
      <c r="M1025">
        <v>16468</v>
      </c>
      <c r="N1025">
        <v>1</v>
      </c>
      <c r="O1025" t="str">
        <f>("5")</f>
        <v>5</v>
      </c>
      <c r="P1025" t="str">
        <f>("Kaźmierczak Filip")</f>
        <v>Kaźmierczak Filip</v>
      </c>
      <c r="Q1025">
        <v>882</v>
      </c>
      <c r="S1025">
        <v>15</v>
      </c>
    </row>
    <row r="1026" spans="1:19" x14ac:dyDescent="0.3">
      <c r="A1026" t="s">
        <v>0</v>
      </c>
      <c r="B1026" s="1">
        <v>45578</v>
      </c>
      <c r="C1026" t="str">
        <f t="shared" si="215"/>
        <v>34022</v>
      </c>
      <c r="D1026" t="s">
        <v>9</v>
      </c>
      <c r="E1026" t="str">
        <f t="shared" si="216"/>
        <v>16</v>
      </c>
      <c r="F1026">
        <v>415132</v>
      </c>
      <c r="G1026">
        <v>270680</v>
      </c>
      <c r="H1026">
        <v>11163</v>
      </c>
      <c r="I1026" t="str">
        <f t="shared" si="219"/>
        <v>6</v>
      </c>
      <c r="J1026" t="str">
        <f t="shared" si="220"/>
        <v>Open Vld</v>
      </c>
      <c r="K1026">
        <v>6445</v>
      </c>
      <c r="L1026">
        <v>10023</v>
      </c>
      <c r="M1026">
        <v>16468</v>
      </c>
      <c r="N1026">
        <v>1</v>
      </c>
      <c r="O1026" t="str">
        <f>("6")</f>
        <v>6</v>
      </c>
      <c r="P1026" t="str">
        <f>("Decock Fanny")</f>
        <v>Decock Fanny</v>
      </c>
      <c r="Q1026">
        <v>1259</v>
      </c>
      <c r="S1026">
        <v>9</v>
      </c>
    </row>
    <row r="1027" spans="1:19" x14ac:dyDescent="0.3">
      <c r="A1027" t="s">
        <v>0</v>
      </c>
      <c r="B1027" s="1">
        <v>45578</v>
      </c>
      <c r="C1027" t="str">
        <f t="shared" si="215"/>
        <v>34022</v>
      </c>
      <c r="D1027" t="s">
        <v>9</v>
      </c>
      <c r="E1027" t="str">
        <f t="shared" si="216"/>
        <v>16</v>
      </c>
      <c r="F1027">
        <v>415132</v>
      </c>
      <c r="G1027">
        <v>270680</v>
      </c>
      <c r="H1027">
        <v>11163</v>
      </c>
      <c r="I1027" t="str">
        <f t="shared" si="219"/>
        <v>6</v>
      </c>
      <c r="J1027" t="str">
        <f t="shared" si="220"/>
        <v>Open Vld</v>
      </c>
      <c r="K1027">
        <v>6445</v>
      </c>
      <c r="L1027">
        <v>10023</v>
      </c>
      <c r="M1027">
        <v>16468</v>
      </c>
      <c r="N1027">
        <v>1</v>
      </c>
      <c r="O1027" t="str">
        <f>("7")</f>
        <v>7</v>
      </c>
      <c r="P1027" t="str">
        <f>("Defour-Verhelle Kathleen")</f>
        <v>Defour-Verhelle Kathleen</v>
      </c>
      <c r="Q1027">
        <v>1937</v>
      </c>
      <c r="S1027">
        <v>2</v>
      </c>
    </row>
    <row r="1028" spans="1:19" x14ac:dyDescent="0.3">
      <c r="A1028" t="s">
        <v>0</v>
      </c>
      <c r="B1028" s="1">
        <v>45578</v>
      </c>
      <c r="C1028" t="str">
        <f t="shared" si="215"/>
        <v>34022</v>
      </c>
      <c r="D1028" t="s">
        <v>9</v>
      </c>
      <c r="E1028" t="str">
        <f t="shared" si="216"/>
        <v>16</v>
      </c>
      <c r="F1028">
        <v>415132</v>
      </c>
      <c r="G1028">
        <v>270680</v>
      </c>
      <c r="H1028">
        <v>11163</v>
      </c>
      <c r="I1028" t="str">
        <f t="shared" si="219"/>
        <v>6</v>
      </c>
      <c r="J1028" t="str">
        <f t="shared" si="220"/>
        <v>Open Vld</v>
      </c>
      <c r="K1028">
        <v>6445</v>
      </c>
      <c r="L1028">
        <v>10023</v>
      </c>
      <c r="M1028">
        <v>16468</v>
      </c>
      <c r="N1028">
        <v>1</v>
      </c>
      <c r="O1028" t="str">
        <f>("8")</f>
        <v>8</v>
      </c>
      <c r="P1028" t="str">
        <f>("Verhaeghe Chris")</f>
        <v>Verhaeghe Chris</v>
      </c>
      <c r="Q1028">
        <v>1415</v>
      </c>
      <c r="S1028">
        <v>5</v>
      </c>
    </row>
    <row r="1029" spans="1:19" x14ac:dyDescent="0.3">
      <c r="A1029" t="s">
        <v>0</v>
      </c>
      <c r="B1029" s="1">
        <v>45578</v>
      </c>
      <c r="C1029" t="str">
        <f t="shared" si="215"/>
        <v>34022</v>
      </c>
      <c r="D1029" t="s">
        <v>9</v>
      </c>
      <c r="E1029" t="str">
        <f t="shared" si="216"/>
        <v>16</v>
      </c>
      <c r="F1029">
        <v>415132</v>
      </c>
      <c r="G1029">
        <v>270680</v>
      </c>
      <c r="H1029">
        <v>11163</v>
      </c>
      <c r="I1029" t="str">
        <f t="shared" si="219"/>
        <v>6</v>
      </c>
      <c r="J1029" t="str">
        <f t="shared" si="220"/>
        <v>Open Vld</v>
      </c>
      <c r="K1029">
        <v>6445</v>
      </c>
      <c r="L1029">
        <v>10023</v>
      </c>
      <c r="M1029">
        <v>16468</v>
      </c>
      <c r="N1029">
        <v>1</v>
      </c>
      <c r="O1029" t="str">
        <f>("9")</f>
        <v>9</v>
      </c>
      <c r="P1029" t="str">
        <f>("Lemaire Jürgen")</f>
        <v>Lemaire Jürgen</v>
      </c>
      <c r="Q1029">
        <v>885</v>
      </c>
      <c r="S1029">
        <v>14</v>
      </c>
    </row>
    <row r="1030" spans="1:19" x14ac:dyDescent="0.3">
      <c r="A1030" t="s">
        <v>0</v>
      </c>
      <c r="B1030" s="1">
        <v>45578</v>
      </c>
      <c r="C1030" t="str">
        <f t="shared" si="215"/>
        <v>34022</v>
      </c>
      <c r="D1030" t="s">
        <v>9</v>
      </c>
      <c r="E1030" t="str">
        <f t="shared" si="216"/>
        <v>16</v>
      </c>
      <c r="F1030">
        <v>415132</v>
      </c>
      <c r="G1030">
        <v>270680</v>
      </c>
      <c r="H1030">
        <v>11163</v>
      </c>
      <c r="I1030" t="str">
        <f t="shared" si="219"/>
        <v>6</v>
      </c>
      <c r="J1030" t="str">
        <f t="shared" si="220"/>
        <v>Open Vld</v>
      </c>
      <c r="K1030">
        <v>6445</v>
      </c>
      <c r="L1030">
        <v>10023</v>
      </c>
      <c r="M1030">
        <v>16468</v>
      </c>
      <c r="N1030">
        <v>1</v>
      </c>
      <c r="O1030" t="str">
        <f>("10")</f>
        <v>10</v>
      </c>
      <c r="P1030" t="str">
        <f>("Verhaeghe Letty")</f>
        <v>Verhaeghe Letty</v>
      </c>
      <c r="Q1030">
        <v>918</v>
      </c>
      <c r="S1030">
        <v>13</v>
      </c>
    </row>
    <row r="1031" spans="1:19" x14ac:dyDescent="0.3">
      <c r="A1031" t="s">
        <v>0</v>
      </c>
      <c r="B1031" s="1">
        <v>45578</v>
      </c>
      <c r="C1031" t="str">
        <f t="shared" si="215"/>
        <v>34022</v>
      </c>
      <c r="D1031" t="s">
        <v>9</v>
      </c>
      <c r="E1031" t="str">
        <f t="shared" si="216"/>
        <v>16</v>
      </c>
      <c r="F1031">
        <v>415132</v>
      </c>
      <c r="G1031">
        <v>270680</v>
      </c>
      <c r="H1031">
        <v>11163</v>
      </c>
      <c r="I1031" t="str">
        <f t="shared" si="219"/>
        <v>6</v>
      </c>
      <c r="J1031" t="str">
        <f t="shared" si="220"/>
        <v>Open Vld</v>
      </c>
      <c r="K1031">
        <v>6445</v>
      </c>
      <c r="L1031">
        <v>10023</v>
      </c>
      <c r="M1031">
        <v>16468</v>
      </c>
      <c r="N1031">
        <v>1</v>
      </c>
      <c r="O1031" t="str">
        <f>("11")</f>
        <v>11</v>
      </c>
      <c r="P1031" t="str">
        <f>("Debeerst Nancy")</f>
        <v>Debeerst Nancy</v>
      </c>
      <c r="Q1031">
        <v>1209</v>
      </c>
      <c r="S1031">
        <v>10</v>
      </c>
    </row>
    <row r="1032" spans="1:19" x14ac:dyDescent="0.3">
      <c r="A1032" t="s">
        <v>0</v>
      </c>
      <c r="B1032" s="1">
        <v>45578</v>
      </c>
      <c r="C1032" t="str">
        <f t="shared" si="215"/>
        <v>34022</v>
      </c>
      <c r="D1032" t="s">
        <v>9</v>
      </c>
      <c r="E1032" t="str">
        <f t="shared" si="216"/>
        <v>16</v>
      </c>
      <c r="F1032">
        <v>415132</v>
      </c>
      <c r="G1032">
        <v>270680</v>
      </c>
      <c r="H1032">
        <v>11163</v>
      </c>
      <c r="I1032" t="str">
        <f t="shared" si="219"/>
        <v>6</v>
      </c>
      <c r="J1032" t="str">
        <f t="shared" si="220"/>
        <v>Open Vld</v>
      </c>
      <c r="K1032">
        <v>6445</v>
      </c>
      <c r="L1032">
        <v>10023</v>
      </c>
      <c r="M1032">
        <v>16468</v>
      </c>
      <c r="N1032">
        <v>1</v>
      </c>
      <c r="O1032" t="str">
        <f>("12")</f>
        <v>12</v>
      </c>
      <c r="P1032" t="str">
        <f>("Ghesquière Ria")</f>
        <v>Ghesquière Ria</v>
      </c>
      <c r="Q1032">
        <v>1177</v>
      </c>
      <c r="S1032">
        <v>11</v>
      </c>
    </row>
    <row r="1033" spans="1:19" x14ac:dyDescent="0.3">
      <c r="A1033" t="s">
        <v>0</v>
      </c>
      <c r="B1033" s="1">
        <v>45578</v>
      </c>
      <c r="C1033" t="str">
        <f t="shared" si="215"/>
        <v>34022</v>
      </c>
      <c r="D1033" t="s">
        <v>9</v>
      </c>
      <c r="E1033" t="str">
        <f t="shared" si="216"/>
        <v>16</v>
      </c>
      <c r="F1033">
        <v>415132</v>
      </c>
      <c r="G1033">
        <v>270680</v>
      </c>
      <c r="H1033">
        <v>11163</v>
      </c>
      <c r="I1033" t="str">
        <f t="shared" si="219"/>
        <v>6</v>
      </c>
      <c r="J1033" t="str">
        <f t="shared" si="220"/>
        <v>Open Vld</v>
      </c>
      <c r="K1033">
        <v>6445</v>
      </c>
      <c r="L1033">
        <v>10023</v>
      </c>
      <c r="M1033">
        <v>16468</v>
      </c>
      <c r="N1033">
        <v>1</v>
      </c>
      <c r="O1033" t="str">
        <f>("13")</f>
        <v>13</v>
      </c>
      <c r="P1033" t="str">
        <f>("De Leeuw Kris")</f>
        <v>De Leeuw Kris</v>
      </c>
      <c r="Q1033">
        <v>1004</v>
      </c>
      <c r="S1033">
        <v>12</v>
      </c>
    </row>
    <row r="1034" spans="1:19" x14ac:dyDescent="0.3">
      <c r="A1034" t="s">
        <v>0</v>
      </c>
      <c r="B1034" s="1">
        <v>45578</v>
      </c>
      <c r="C1034" t="str">
        <f t="shared" si="215"/>
        <v>34022</v>
      </c>
      <c r="D1034" t="s">
        <v>9</v>
      </c>
      <c r="E1034" t="str">
        <f t="shared" si="216"/>
        <v>16</v>
      </c>
      <c r="F1034">
        <v>415132</v>
      </c>
      <c r="G1034">
        <v>270680</v>
      </c>
      <c r="H1034">
        <v>11163</v>
      </c>
      <c r="I1034" t="str">
        <f t="shared" si="219"/>
        <v>6</v>
      </c>
      <c r="J1034" t="str">
        <f t="shared" si="220"/>
        <v>Open Vld</v>
      </c>
      <c r="K1034">
        <v>6445</v>
      </c>
      <c r="L1034">
        <v>10023</v>
      </c>
      <c r="M1034">
        <v>16468</v>
      </c>
      <c r="N1034">
        <v>1</v>
      </c>
      <c r="O1034" t="str">
        <f>("14")</f>
        <v>14</v>
      </c>
      <c r="P1034" t="str">
        <f>("Ponseele-Vanryckeghem Martine")</f>
        <v>Ponseele-Vanryckeghem Martine</v>
      </c>
      <c r="Q1034">
        <v>1314</v>
      </c>
      <c r="S1034">
        <v>8</v>
      </c>
    </row>
    <row r="1035" spans="1:19" x14ac:dyDescent="0.3">
      <c r="A1035" t="s">
        <v>0</v>
      </c>
      <c r="B1035" s="1">
        <v>45578</v>
      </c>
      <c r="C1035" t="str">
        <f t="shared" si="215"/>
        <v>34022</v>
      </c>
      <c r="D1035" t="s">
        <v>9</v>
      </c>
      <c r="E1035" t="str">
        <f t="shared" si="216"/>
        <v>16</v>
      </c>
      <c r="F1035">
        <v>415132</v>
      </c>
      <c r="G1035">
        <v>270680</v>
      </c>
      <c r="H1035">
        <v>11163</v>
      </c>
      <c r="I1035" t="str">
        <f t="shared" si="219"/>
        <v>6</v>
      </c>
      <c r="J1035" t="str">
        <f t="shared" si="220"/>
        <v>Open Vld</v>
      </c>
      <c r="K1035">
        <v>6445</v>
      </c>
      <c r="L1035">
        <v>10023</v>
      </c>
      <c r="M1035">
        <v>16468</v>
      </c>
      <c r="N1035">
        <v>1</v>
      </c>
      <c r="O1035" t="str">
        <f>("15")</f>
        <v>15</v>
      </c>
      <c r="P1035" t="str">
        <f>("Pillen Jasper")</f>
        <v>Pillen Jasper</v>
      </c>
      <c r="Q1035">
        <v>1467</v>
      </c>
      <c r="S1035">
        <v>4</v>
      </c>
    </row>
    <row r="1036" spans="1:19" x14ac:dyDescent="0.3">
      <c r="A1036" t="s">
        <v>0</v>
      </c>
      <c r="B1036" s="1">
        <v>45578</v>
      </c>
      <c r="C1036" t="str">
        <f t="shared" si="215"/>
        <v>34022</v>
      </c>
      <c r="D1036" t="s">
        <v>9</v>
      </c>
      <c r="E1036" t="str">
        <f t="shared" si="216"/>
        <v>16</v>
      </c>
      <c r="F1036">
        <v>415132</v>
      </c>
      <c r="G1036">
        <v>270680</v>
      </c>
      <c r="H1036">
        <v>11163</v>
      </c>
      <c r="I1036" t="str">
        <f t="shared" si="219"/>
        <v>6</v>
      </c>
      <c r="J1036" t="str">
        <f t="shared" si="220"/>
        <v>Open Vld</v>
      </c>
      <c r="K1036">
        <v>6445</v>
      </c>
      <c r="L1036">
        <v>10023</v>
      </c>
      <c r="M1036">
        <v>16468</v>
      </c>
      <c r="N1036">
        <v>1</v>
      </c>
      <c r="O1036" t="str">
        <f>("16")</f>
        <v>16</v>
      </c>
      <c r="P1036" t="str">
        <f>("Van Quickenborne Vincent")</f>
        <v>Van Quickenborne Vincent</v>
      </c>
      <c r="Q1036">
        <v>2966</v>
      </c>
      <c r="S1036">
        <v>1</v>
      </c>
    </row>
    <row r="1037" spans="1:19" x14ac:dyDescent="0.3">
      <c r="A1037" t="s">
        <v>0</v>
      </c>
      <c r="B1037" s="1">
        <v>45578</v>
      </c>
      <c r="C1037" t="str">
        <f t="shared" ref="C1037:C1053" si="221">("34022")</f>
        <v>34022</v>
      </c>
      <c r="D1037" t="s">
        <v>9</v>
      </c>
      <c r="E1037" t="str">
        <f t="shared" si="216"/>
        <v>16</v>
      </c>
      <c r="F1037">
        <v>415132</v>
      </c>
      <c r="G1037">
        <v>270680</v>
      </c>
      <c r="H1037">
        <v>11163</v>
      </c>
      <c r="I1037" t="str">
        <f t="shared" ref="I1037:I1052" si="222">("7")</f>
        <v>7</v>
      </c>
      <c r="J1037" t="str">
        <f t="shared" ref="J1037:J1052" si="223">("GROEN")</f>
        <v>GROEN</v>
      </c>
      <c r="K1037">
        <v>11214</v>
      </c>
      <c r="L1037">
        <v>9454</v>
      </c>
      <c r="M1037">
        <v>20668</v>
      </c>
      <c r="N1037">
        <v>1</v>
      </c>
      <c r="O1037" t="str">
        <f>("1")</f>
        <v>1</v>
      </c>
      <c r="P1037" t="str">
        <f>("Tavernier Maarten")</f>
        <v>Tavernier Maarten</v>
      </c>
      <c r="Q1037">
        <v>4325</v>
      </c>
      <c r="S1037">
        <v>1</v>
      </c>
    </row>
    <row r="1038" spans="1:19" x14ac:dyDescent="0.3">
      <c r="A1038" t="s">
        <v>0</v>
      </c>
      <c r="B1038" s="1">
        <v>45578</v>
      </c>
      <c r="C1038" t="str">
        <f t="shared" si="221"/>
        <v>34022</v>
      </c>
      <c r="D1038" t="s">
        <v>9</v>
      </c>
      <c r="E1038" t="str">
        <f t="shared" si="216"/>
        <v>16</v>
      </c>
      <c r="F1038">
        <v>415132</v>
      </c>
      <c r="G1038">
        <v>270680</v>
      </c>
      <c r="H1038">
        <v>11163</v>
      </c>
      <c r="I1038" t="str">
        <f t="shared" si="222"/>
        <v>7</v>
      </c>
      <c r="J1038" t="str">
        <f t="shared" si="223"/>
        <v>GROEN</v>
      </c>
      <c r="K1038">
        <v>11214</v>
      </c>
      <c r="L1038">
        <v>9454</v>
      </c>
      <c r="M1038">
        <v>20668</v>
      </c>
      <c r="N1038">
        <v>1</v>
      </c>
      <c r="O1038" t="str">
        <f>("2")</f>
        <v>2</v>
      </c>
      <c r="P1038" t="str">
        <f>("Dejaeghere Veerle")</f>
        <v>Dejaeghere Veerle</v>
      </c>
      <c r="Q1038">
        <v>5559</v>
      </c>
      <c r="R1038">
        <v>1</v>
      </c>
    </row>
    <row r="1039" spans="1:19" x14ac:dyDescent="0.3">
      <c r="A1039" t="s">
        <v>0</v>
      </c>
      <c r="B1039" s="1">
        <v>45578</v>
      </c>
      <c r="C1039" t="str">
        <f t="shared" si="221"/>
        <v>34022</v>
      </c>
      <c r="D1039" t="s">
        <v>9</v>
      </c>
      <c r="E1039" t="str">
        <f t="shared" si="216"/>
        <v>16</v>
      </c>
      <c r="F1039">
        <v>415132</v>
      </c>
      <c r="G1039">
        <v>270680</v>
      </c>
      <c r="H1039">
        <v>11163</v>
      </c>
      <c r="I1039" t="str">
        <f t="shared" si="222"/>
        <v>7</v>
      </c>
      <c r="J1039" t="str">
        <f t="shared" si="223"/>
        <v>GROEN</v>
      </c>
      <c r="K1039">
        <v>11214</v>
      </c>
      <c r="L1039">
        <v>9454</v>
      </c>
      <c r="M1039">
        <v>20668</v>
      </c>
      <c r="N1039">
        <v>1</v>
      </c>
      <c r="O1039" t="str">
        <f>("3")</f>
        <v>3</v>
      </c>
      <c r="P1039" t="str">
        <f>("Vandevelde Inge")</f>
        <v>Vandevelde Inge</v>
      </c>
      <c r="Q1039">
        <v>2987</v>
      </c>
      <c r="S1039">
        <v>2</v>
      </c>
    </row>
    <row r="1040" spans="1:19" x14ac:dyDescent="0.3">
      <c r="A1040" t="s">
        <v>0</v>
      </c>
      <c r="B1040" s="1">
        <v>45578</v>
      </c>
      <c r="C1040" t="str">
        <f t="shared" si="221"/>
        <v>34022</v>
      </c>
      <c r="D1040" t="s">
        <v>9</v>
      </c>
      <c r="E1040" t="str">
        <f t="shared" si="216"/>
        <v>16</v>
      </c>
      <c r="F1040">
        <v>415132</v>
      </c>
      <c r="G1040">
        <v>270680</v>
      </c>
      <c r="H1040">
        <v>11163</v>
      </c>
      <c r="I1040" t="str">
        <f t="shared" si="222"/>
        <v>7</v>
      </c>
      <c r="J1040" t="str">
        <f t="shared" si="223"/>
        <v>GROEN</v>
      </c>
      <c r="K1040">
        <v>11214</v>
      </c>
      <c r="L1040">
        <v>9454</v>
      </c>
      <c r="M1040">
        <v>20668</v>
      </c>
      <c r="N1040">
        <v>1</v>
      </c>
      <c r="O1040" t="str">
        <f>("4")</f>
        <v>4</v>
      </c>
      <c r="P1040" t="str">
        <f>("Duprez Herman")</f>
        <v>Duprez Herman</v>
      </c>
      <c r="Q1040">
        <v>1818</v>
      </c>
      <c r="S1040">
        <v>10</v>
      </c>
    </row>
    <row r="1041" spans="1:19" x14ac:dyDescent="0.3">
      <c r="A1041" t="s">
        <v>0</v>
      </c>
      <c r="B1041" s="1">
        <v>45578</v>
      </c>
      <c r="C1041" t="str">
        <f t="shared" si="221"/>
        <v>34022</v>
      </c>
      <c r="D1041" t="s">
        <v>9</v>
      </c>
      <c r="E1041" t="str">
        <f t="shared" si="216"/>
        <v>16</v>
      </c>
      <c r="F1041">
        <v>415132</v>
      </c>
      <c r="G1041">
        <v>270680</v>
      </c>
      <c r="H1041">
        <v>11163</v>
      </c>
      <c r="I1041" t="str">
        <f t="shared" si="222"/>
        <v>7</v>
      </c>
      <c r="J1041" t="str">
        <f t="shared" si="223"/>
        <v>GROEN</v>
      </c>
      <c r="K1041">
        <v>11214</v>
      </c>
      <c r="L1041">
        <v>9454</v>
      </c>
      <c r="M1041">
        <v>20668</v>
      </c>
      <c r="N1041">
        <v>1</v>
      </c>
      <c r="O1041" t="str">
        <f>("5")</f>
        <v>5</v>
      </c>
      <c r="P1041" t="str">
        <f>("Jacques Sien")</f>
        <v>Jacques Sien</v>
      </c>
      <c r="Q1041">
        <v>2443</v>
      </c>
      <c r="S1041">
        <v>7</v>
      </c>
    </row>
    <row r="1042" spans="1:19" x14ac:dyDescent="0.3">
      <c r="A1042" t="s">
        <v>0</v>
      </c>
      <c r="B1042" s="1">
        <v>45578</v>
      </c>
      <c r="C1042" t="str">
        <f t="shared" si="221"/>
        <v>34022</v>
      </c>
      <c r="D1042" t="s">
        <v>9</v>
      </c>
      <c r="E1042" t="str">
        <f t="shared" si="216"/>
        <v>16</v>
      </c>
      <c r="F1042">
        <v>415132</v>
      </c>
      <c r="G1042">
        <v>270680</v>
      </c>
      <c r="H1042">
        <v>11163</v>
      </c>
      <c r="I1042" t="str">
        <f t="shared" si="222"/>
        <v>7</v>
      </c>
      <c r="J1042" t="str">
        <f t="shared" si="223"/>
        <v>GROEN</v>
      </c>
      <c r="K1042">
        <v>11214</v>
      </c>
      <c r="L1042">
        <v>9454</v>
      </c>
      <c r="M1042">
        <v>20668</v>
      </c>
      <c r="N1042">
        <v>1</v>
      </c>
      <c r="O1042" t="str">
        <f>("6")</f>
        <v>6</v>
      </c>
      <c r="P1042" t="str">
        <f>("Van den Steen Marc")</f>
        <v>Van den Steen Marc</v>
      </c>
      <c r="Q1042">
        <v>1533</v>
      </c>
      <c r="S1042">
        <v>13</v>
      </c>
    </row>
    <row r="1043" spans="1:19" x14ac:dyDescent="0.3">
      <c r="A1043" t="s">
        <v>0</v>
      </c>
      <c r="B1043" s="1">
        <v>45578</v>
      </c>
      <c r="C1043" t="str">
        <f t="shared" si="221"/>
        <v>34022</v>
      </c>
      <c r="D1043" t="s">
        <v>9</v>
      </c>
      <c r="E1043" t="str">
        <f t="shared" si="216"/>
        <v>16</v>
      </c>
      <c r="F1043">
        <v>415132</v>
      </c>
      <c r="G1043">
        <v>270680</v>
      </c>
      <c r="H1043">
        <v>11163</v>
      </c>
      <c r="I1043" t="str">
        <f t="shared" si="222"/>
        <v>7</v>
      </c>
      <c r="J1043" t="str">
        <f t="shared" si="223"/>
        <v>GROEN</v>
      </c>
      <c r="K1043">
        <v>11214</v>
      </c>
      <c r="L1043">
        <v>9454</v>
      </c>
      <c r="M1043">
        <v>20668</v>
      </c>
      <c r="N1043">
        <v>1</v>
      </c>
      <c r="O1043" t="str">
        <f>("7")</f>
        <v>7</v>
      </c>
      <c r="P1043" t="str">
        <f>("Matthieu Cathy")</f>
        <v>Matthieu Cathy</v>
      </c>
      <c r="Q1043">
        <v>2593</v>
      </c>
      <c r="S1043">
        <v>4</v>
      </c>
    </row>
    <row r="1044" spans="1:19" x14ac:dyDescent="0.3">
      <c r="A1044" t="s">
        <v>0</v>
      </c>
      <c r="B1044" s="1">
        <v>45578</v>
      </c>
      <c r="C1044" t="str">
        <f t="shared" si="221"/>
        <v>34022</v>
      </c>
      <c r="D1044" t="s">
        <v>9</v>
      </c>
      <c r="E1044" t="str">
        <f t="shared" si="216"/>
        <v>16</v>
      </c>
      <c r="F1044">
        <v>415132</v>
      </c>
      <c r="G1044">
        <v>270680</v>
      </c>
      <c r="H1044">
        <v>11163</v>
      </c>
      <c r="I1044" t="str">
        <f t="shared" si="222"/>
        <v>7</v>
      </c>
      <c r="J1044" t="str">
        <f t="shared" si="223"/>
        <v>GROEN</v>
      </c>
      <c r="K1044">
        <v>11214</v>
      </c>
      <c r="L1044">
        <v>9454</v>
      </c>
      <c r="M1044">
        <v>20668</v>
      </c>
      <c r="N1044">
        <v>1</v>
      </c>
      <c r="O1044" t="str">
        <f>("8")</f>
        <v>8</v>
      </c>
      <c r="P1044" t="str">
        <f>("Nouwynck Dieter")</f>
        <v>Nouwynck Dieter</v>
      </c>
      <c r="Q1044">
        <v>1495</v>
      </c>
      <c r="S1044">
        <v>14</v>
      </c>
    </row>
    <row r="1045" spans="1:19" x14ac:dyDescent="0.3">
      <c r="A1045" t="s">
        <v>0</v>
      </c>
      <c r="B1045" s="1">
        <v>45578</v>
      </c>
      <c r="C1045" t="str">
        <f t="shared" si="221"/>
        <v>34022</v>
      </c>
      <c r="D1045" t="s">
        <v>9</v>
      </c>
      <c r="E1045" t="str">
        <f t="shared" si="216"/>
        <v>16</v>
      </c>
      <c r="F1045">
        <v>415132</v>
      </c>
      <c r="G1045">
        <v>270680</v>
      </c>
      <c r="H1045">
        <v>11163</v>
      </c>
      <c r="I1045" t="str">
        <f t="shared" si="222"/>
        <v>7</v>
      </c>
      <c r="J1045" t="str">
        <f t="shared" si="223"/>
        <v>GROEN</v>
      </c>
      <c r="K1045">
        <v>11214</v>
      </c>
      <c r="L1045">
        <v>9454</v>
      </c>
      <c r="M1045">
        <v>20668</v>
      </c>
      <c r="N1045">
        <v>1</v>
      </c>
      <c r="O1045" t="str">
        <f>("9")</f>
        <v>9</v>
      </c>
      <c r="P1045" t="str">
        <f>("Verhaeghe Mia")</f>
        <v>Verhaeghe Mia</v>
      </c>
      <c r="Q1045">
        <v>2368</v>
      </c>
      <c r="S1045">
        <v>8</v>
      </c>
    </row>
    <row r="1046" spans="1:19" x14ac:dyDescent="0.3">
      <c r="A1046" t="s">
        <v>0</v>
      </c>
      <c r="B1046" s="1">
        <v>45578</v>
      </c>
      <c r="C1046" t="str">
        <f t="shared" si="221"/>
        <v>34022</v>
      </c>
      <c r="D1046" t="s">
        <v>9</v>
      </c>
      <c r="E1046" t="str">
        <f t="shared" si="216"/>
        <v>16</v>
      </c>
      <c r="F1046">
        <v>415132</v>
      </c>
      <c r="G1046">
        <v>270680</v>
      </c>
      <c r="H1046">
        <v>11163</v>
      </c>
      <c r="I1046" t="str">
        <f t="shared" si="222"/>
        <v>7</v>
      </c>
      <c r="J1046" t="str">
        <f t="shared" si="223"/>
        <v>GROEN</v>
      </c>
      <c r="K1046">
        <v>11214</v>
      </c>
      <c r="L1046">
        <v>9454</v>
      </c>
      <c r="M1046">
        <v>20668</v>
      </c>
      <c r="N1046">
        <v>1</v>
      </c>
      <c r="O1046" t="str">
        <f>("10")</f>
        <v>10</v>
      </c>
      <c r="P1046" t="str">
        <f>("Wouters Luc")</f>
        <v>Wouters Luc</v>
      </c>
      <c r="Q1046">
        <v>1616</v>
      </c>
      <c r="S1046">
        <v>12</v>
      </c>
    </row>
    <row r="1047" spans="1:19" x14ac:dyDescent="0.3">
      <c r="A1047" t="s">
        <v>0</v>
      </c>
      <c r="B1047" s="1">
        <v>45578</v>
      </c>
      <c r="C1047" t="str">
        <f t="shared" si="221"/>
        <v>34022</v>
      </c>
      <c r="D1047" t="s">
        <v>9</v>
      </c>
      <c r="E1047" t="str">
        <f t="shared" si="216"/>
        <v>16</v>
      </c>
      <c r="F1047">
        <v>415132</v>
      </c>
      <c r="G1047">
        <v>270680</v>
      </c>
      <c r="H1047">
        <v>11163</v>
      </c>
      <c r="I1047" t="str">
        <f t="shared" si="222"/>
        <v>7</v>
      </c>
      <c r="J1047" t="str">
        <f t="shared" si="223"/>
        <v>GROEN</v>
      </c>
      <c r="K1047">
        <v>11214</v>
      </c>
      <c r="L1047">
        <v>9454</v>
      </c>
      <c r="M1047">
        <v>20668</v>
      </c>
      <c r="N1047">
        <v>1</v>
      </c>
      <c r="O1047" t="str">
        <f>("11")</f>
        <v>11</v>
      </c>
      <c r="P1047" t="str">
        <f>("Goethals Ann")</f>
        <v>Goethals Ann</v>
      </c>
      <c r="Q1047">
        <v>2464</v>
      </c>
      <c r="S1047">
        <v>6</v>
      </c>
    </row>
    <row r="1048" spans="1:19" x14ac:dyDescent="0.3">
      <c r="A1048" t="s">
        <v>0</v>
      </c>
      <c r="B1048" s="1">
        <v>45578</v>
      </c>
      <c r="C1048" t="str">
        <f t="shared" si="221"/>
        <v>34022</v>
      </c>
      <c r="D1048" t="s">
        <v>9</v>
      </c>
      <c r="E1048" t="str">
        <f t="shared" si="216"/>
        <v>16</v>
      </c>
      <c r="F1048">
        <v>415132</v>
      </c>
      <c r="G1048">
        <v>270680</v>
      </c>
      <c r="H1048">
        <v>11163</v>
      </c>
      <c r="I1048" t="str">
        <f t="shared" si="222"/>
        <v>7</v>
      </c>
      <c r="J1048" t="str">
        <f t="shared" si="223"/>
        <v>GROEN</v>
      </c>
      <c r="K1048">
        <v>11214</v>
      </c>
      <c r="L1048">
        <v>9454</v>
      </c>
      <c r="M1048">
        <v>20668</v>
      </c>
      <c r="N1048">
        <v>1</v>
      </c>
      <c r="O1048" t="str">
        <f>("12")</f>
        <v>12</v>
      </c>
      <c r="P1048" t="str">
        <f>("Demasure Sam")</f>
        <v>Demasure Sam</v>
      </c>
      <c r="Q1048">
        <v>1669</v>
      </c>
      <c r="S1048">
        <v>11</v>
      </c>
    </row>
    <row r="1049" spans="1:19" x14ac:dyDescent="0.3">
      <c r="A1049" t="s">
        <v>0</v>
      </c>
      <c r="B1049" s="1">
        <v>45578</v>
      </c>
      <c r="C1049" t="str">
        <f t="shared" si="221"/>
        <v>34022</v>
      </c>
      <c r="D1049" t="s">
        <v>9</v>
      </c>
      <c r="E1049" t="str">
        <f t="shared" si="216"/>
        <v>16</v>
      </c>
      <c r="F1049">
        <v>415132</v>
      </c>
      <c r="G1049">
        <v>270680</v>
      </c>
      <c r="H1049">
        <v>11163</v>
      </c>
      <c r="I1049" t="str">
        <f t="shared" si="222"/>
        <v>7</v>
      </c>
      <c r="J1049" t="str">
        <f t="shared" si="223"/>
        <v>GROEN</v>
      </c>
      <c r="K1049">
        <v>11214</v>
      </c>
      <c r="L1049">
        <v>9454</v>
      </c>
      <c r="M1049">
        <v>20668</v>
      </c>
      <c r="N1049">
        <v>1</v>
      </c>
      <c r="O1049" t="str">
        <f>("13")</f>
        <v>13</v>
      </c>
      <c r="P1049" t="str">
        <f>("Janssens Heleen")</f>
        <v>Janssens Heleen</v>
      </c>
      <c r="Q1049">
        <v>2294</v>
      </c>
      <c r="S1049">
        <v>9</v>
      </c>
    </row>
    <row r="1050" spans="1:19" x14ac:dyDescent="0.3">
      <c r="A1050" t="s">
        <v>0</v>
      </c>
      <c r="B1050" s="1">
        <v>45578</v>
      </c>
      <c r="C1050" t="str">
        <f t="shared" si="221"/>
        <v>34022</v>
      </c>
      <c r="D1050" t="s">
        <v>9</v>
      </c>
      <c r="E1050" t="str">
        <f t="shared" si="216"/>
        <v>16</v>
      </c>
      <c r="F1050">
        <v>415132</v>
      </c>
      <c r="G1050">
        <v>270680</v>
      </c>
      <c r="H1050">
        <v>11163</v>
      </c>
      <c r="I1050" t="str">
        <f t="shared" si="222"/>
        <v>7</v>
      </c>
      <c r="J1050" t="str">
        <f t="shared" si="223"/>
        <v>GROEN</v>
      </c>
      <c r="K1050">
        <v>11214</v>
      </c>
      <c r="L1050">
        <v>9454</v>
      </c>
      <c r="M1050">
        <v>20668</v>
      </c>
      <c r="N1050">
        <v>1</v>
      </c>
      <c r="O1050" t="str">
        <f>("14")</f>
        <v>14</v>
      </c>
      <c r="P1050" t="str">
        <f>("Verbrugge Pedro")</f>
        <v>Verbrugge Pedro</v>
      </c>
      <c r="Q1050">
        <v>1479</v>
      </c>
      <c r="S1050">
        <v>15</v>
      </c>
    </row>
    <row r="1051" spans="1:19" x14ac:dyDescent="0.3">
      <c r="A1051" t="s">
        <v>0</v>
      </c>
      <c r="B1051" s="1">
        <v>45578</v>
      </c>
      <c r="C1051" t="str">
        <f t="shared" si="221"/>
        <v>34022</v>
      </c>
      <c r="D1051" t="s">
        <v>9</v>
      </c>
      <c r="E1051" t="str">
        <f t="shared" si="216"/>
        <v>16</v>
      </c>
      <c r="F1051">
        <v>415132</v>
      </c>
      <c r="G1051">
        <v>270680</v>
      </c>
      <c r="H1051">
        <v>11163</v>
      </c>
      <c r="I1051" t="str">
        <f t="shared" si="222"/>
        <v>7</v>
      </c>
      <c r="J1051" t="str">
        <f t="shared" si="223"/>
        <v>GROEN</v>
      </c>
      <c r="K1051">
        <v>11214</v>
      </c>
      <c r="L1051">
        <v>9454</v>
      </c>
      <c r="M1051">
        <v>20668</v>
      </c>
      <c r="N1051">
        <v>1</v>
      </c>
      <c r="O1051" t="str">
        <f>("15")</f>
        <v>15</v>
      </c>
      <c r="P1051" t="str">
        <f>("Decoster Griet")</f>
        <v>Decoster Griet</v>
      </c>
      <c r="Q1051">
        <v>2496</v>
      </c>
      <c r="S1051">
        <v>5</v>
      </c>
    </row>
    <row r="1052" spans="1:19" x14ac:dyDescent="0.3">
      <c r="A1052" t="s">
        <v>0</v>
      </c>
      <c r="B1052" s="1">
        <v>45578</v>
      </c>
      <c r="C1052" t="str">
        <f t="shared" si="221"/>
        <v>34022</v>
      </c>
      <c r="D1052" t="s">
        <v>9</v>
      </c>
      <c r="E1052" t="str">
        <f t="shared" si="216"/>
        <v>16</v>
      </c>
      <c r="F1052">
        <v>415132</v>
      </c>
      <c r="G1052">
        <v>270680</v>
      </c>
      <c r="H1052">
        <v>11163</v>
      </c>
      <c r="I1052" t="str">
        <f t="shared" si="222"/>
        <v>7</v>
      </c>
      <c r="J1052" t="str">
        <f t="shared" si="223"/>
        <v>GROEN</v>
      </c>
      <c r="K1052">
        <v>11214</v>
      </c>
      <c r="L1052">
        <v>9454</v>
      </c>
      <c r="M1052">
        <v>20668</v>
      </c>
      <c r="N1052">
        <v>1</v>
      </c>
      <c r="O1052" t="str">
        <f>("16")</f>
        <v>16</v>
      </c>
      <c r="P1052" t="str">
        <f>("De Vriendt Wouter")</f>
        <v>De Vriendt Wouter</v>
      </c>
      <c r="Q1052">
        <v>2971</v>
      </c>
      <c r="S1052">
        <v>3</v>
      </c>
    </row>
    <row r="1053" spans="1:19" x14ac:dyDescent="0.3">
      <c r="A1053" t="s">
        <v>0</v>
      </c>
      <c r="B1053" s="1">
        <v>45578</v>
      </c>
      <c r="C1053" t="str">
        <f t="shared" si="221"/>
        <v>34022</v>
      </c>
      <c r="D1053" t="s">
        <v>9</v>
      </c>
      <c r="E1053" t="str">
        <f t="shared" si="216"/>
        <v>16</v>
      </c>
      <c r="F1053">
        <v>415132</v>
      </c>
      <c r="G1053">
        <v>270680</v>
      </c>
      <c r="H1053">
        <v>11163</v>
      </c>
      <c r="I1053" t="str">
        <f>("8")</f>
        <v>8</v>
      </c>
      <c r="J1053" t="str">
        <f>("DJ Joeri Pauwels")</f>
        <v>DJ Joeri Pauwels</v>
      </c>
      <c r="K1053">
        <v>890</v>
      </c>
      <c r="L1053">
        <v>1287</v>
      </c>
      <c r="M1053">
        <v>2177</v>
      </c>
      <c r="N1053">
        <v>0</v>
      </c>
      <c r="O1053" t="str">
        <f>("1")</f>
        <v>1</v>
      </c>
      <c r="P1053" t="str">
        <f>("Pauwels Joeri")</f>
        <v>Pauwels Joeri</v>
      </c>
      <c r="Q1053">
        <v>1287</v>
      </c>
    </row>
    <row r="1054" spans="1:19" x14ac:dyDescent="0.3">
      <c r="A1054" t="s">
        <v>0</v>
      </c>
      <c r="B1054" s="1">
        <v>45578</v>
      </c>
      <c r="C1054" t="str">
        <f t="shared" ref="C1054:C1085" si="224">("24062")</f>
        <v>24062</v>
      </c>
      <c r="D1054" t="s">
        <v>10</v>
      </c>
      <c r="E1054" t="str">
        <f t="shared" si="216"/>
        <v>16</v>
      </c>
      <c r="F1054">
        <v>385550</v>
      </c>
      <c r="G1054">
        <v>254659</v>
      </c>
      <c r="H1054">
        <v>9508</v>
      </c>
      <c r="I1054" t="str">
        <f t="shared" ref="I1054:I1069" si="225">("1")</f>
        <v>1</v>
      </c>
      <c r="J1054" t="str">
        <f t="shared" ref="J1054:J1069" si="226">("Vooruit")</f>
        <v>Vooruit</v>
      </c>
      <c r="K1054">
        <v>17781</v>
      </c>
      <c r="L1054">
        <v>21948</v>
      </c>
      <c r="M1054">
        <v>39729</v>
      </c>
      <c r="N1054">
        <v>3</v>
      </c>
      <c r="O1054" t="str">
        <f>("1")</f>
        <v>1</v>
      </c>
      <c r="P1054" t="str">
        <f>("Florquin Marc")</f>
        <v>Florquin Marc</v>
      </c>
      <c r="Q1054">
        <v>6682</v>
      </c>
      <c r="R1054">
        <v>2</v>
      </c>
    </row>
    <row r="1055" spans="1:19" x14ac:dyDescent="0.3">
      <c r="A1055" t="s">
        <v>0</v>
      </c>
      <c r="B1055" s="1">
        <v>45578</v>
      </c>
      <c r="C1055" t="str">
        <f t="shared" si="224"/>
        <v>24062</v>
      </c>
      <c r="D1055" t="s">
        <v>10</v>
      </c>
      <c r="E1055" t="str">
        <f t="shared" si="216"/>
        <v>16</v>
      </c>
      <c r="F1055">
        <v>385550</v>
      </c>
      <c r="G1055">
        <v>254659</v>
      </c>
      <c r="H1055">
        <v>9508</v>
      </c>
      <c r="I1055" t="str">
        <f t="shared" si="225"/>
        <v>1</v>
      </c>
      <c r="J1055" t="str">
        <f t="shared" si="226"/>
        <v>Vooruit</v>
      </c>
      <c r="K1055">
        <v>17781</v>
      </c>
      <c r="L1055">
        <v>21948</v>
      </c>
      <c r="M1055">
        <v>39729</v>
      </c>
      <c r="N1055">
        <v>3</v>
      </c>
      <c r="O1055" t="str">
        <f>("2")</f>
        <v>2</v>
      </c>
      <c r="P1055" t="str">
        <f>("Wauters An")</f>
        <v>Wauters An</v>
      </c>
      <c r="Q1055">
        <v>5213</v>
      </c>
      <c r="S1055">
        <v>1</v>
      </c>
    </row>
    <row r="1056" spans="1:19" x14ac:dyDescent="0.3">
      <c r="A1056" t="s">
        <v>0</v>
      </c>
      <c r="B1056" s="1">
        <v>45578</v>
      </c>
      <c r="C1056" t="str">
        <f t="shared" si="224"/>
        <v>24062</v>
      </c>
      <c r="D1056" t="s">
        <v>10</v>
      </c>
      <c r="E1056" t="str">
        <f t="shared" si="216"/>
        <v>16</v>
      </c>
      <c r="F1056">
        <v>385550</v>
      </c>
      <c r="G1056">
        <v>254659</v>
      </c>
      <c r="H1056">
        <v>9508</v>
      </c>
      <c r="I1056" t="str">
        <f t="shared" si="225"/>
        <v>1</v>
      </c>
      <c r="J1056" t="str">
        <f t="shared" si="226"/>
        <v>Vooruit</v>
      </c>
      <c r="K1056">
        <v>17781</v>
      </c>
      <c r="L1056">
        <v>21948</v>
      </c>
      <c r="M1056">
        <v>39729</v>
      </c>
      <c r="N1056">
        <v>3</v>
      </c>
      <c r="O1056" t="str">
        <f>("3")</f>
        <v>3</v>
      </c>
      <c r="P1056" t="str">
        <f>("Vandenbosch Eddy")</f>
        <v>Vandenbosch Eddy</v>
      </c>
      <c r="Q1056">
        <v>2552</v>
      </c>
      <c r="S1056">
        <v>5</v>
      </c>
    </row>
    <row r="1057" spans="1:19" x14ac:dyDescent="0.3">
      <c r="A1057" t="s">
        <v>0</v>
      </c>
      <c r="B1057" s="1">
        <v>45578</v>
      </c>
      <c r="C1057" t="str">
        <f t="shared" si="224"/>
        <v>24062</v>
      </c>
      <c r="D1057" t="s">
        <v>10</v>
      </c>
      <c r="E1057" t="str">
        <f t="shared" si="216"/>
        <v>16</v>
      </c>
      <c r="F1057">
        <v>385550</v>
      </c>
      <c r="G1057">
        <v>254659</v>
      </c>
      <c r="H1057">
        <v>9508</v>
      </c>
      <c r="I1057" t="str">
        <f t="shared" si="225"/>
        <v>1</v>
      </c>
      <c r="J1057" t="str">
        <f t="shared" si="226"/>
        <v>Vooruit</v>
      </c>
      <c r="K1057">
        <v>17781</v>
      </c>
      <c r="L1057">
        <v>21948</v>
      </c>
      <c r="M1057">
        <v>39729</v>
      </c>
      <c r="N1057">
        <v>3</v>
      </c>
      <c r="O1057" t="str">
        <f>("4")</f>
        <v>4</v>
      </c>
      <c r="P1057" t="str">
        <f>("Ylen Marc")</f>
        <v>Ylen Marc</v>
      </c>
      <c r="Q1057">
        <v>2057</v>
      </c>
      <c r="S1057">
        <v>7</v>
      </c>
    </row>
    <row r="1058" spans="1:19" x14ac:dyDescent="0.3">
      <c r="A1058" t="s">
        <v>0</v>
      </c>
      <c r="B1058" s="1">
        <v>45578</v>
      </c>
      <c r="C1058" t="str">
        <f t="shared" si="224"/>
        <v>24062</v>
      </c>
      <c r="D1058" t="s">
        <v>10</v>
      </c>
      <c r="E1058" t="str">
        <f t="shared" si="216"/>
        <v>16</v>
      </c>
      <c r="F1058">
        <v>385550</v>
      </c>
      <c r="G1058">
        <v>254659</v>
      </c>
      <c r="H1058">
        <v>9508</v>
      </c>
      <c r="I1058" t="str">
        <f t="shared" si="225"/>
        <v>1</v>
      </c>
      <c r="J1058" t="str">
        <f t="shared" si="226"/>
        <v>Vooruit</v>
      </c>
      <c r="K1058">
        <v>17781</v>
      </c>
      <c r="L1058">
        <v>21948</v>
      </c>
      <c r="M1058">
        <v>39729</v>
      </c>
      <c r="N1058">
        <v>3</v>
      </c>
      <c r="O1058" t="str">
        <f>("5")</f>
        <v>5</v>
      </c>
      <c r="P1058" t="str">
        <f>("Mohamed Khalif Sarah")</f>
        <v>Mohamed Khalif Sarah</v>
      </c>
      <c r="Q1058">
        <v>4291</v>
      </c>
      <c r="S1058">
        <v>2</v>
      </c>
    </row>
    <row r="1059" spans="1:19" x14ac:dyDescent="0.3">
      <c r="A1059" t="s">
        <v>0</v>
      </c>
      <c r="B1059" s="1">
        <v>45578</v>
      </c>
      <c r="C1059" t="str">
        <f t="shared" si="224"/>
        <v>24062</v>
      </c>
      <c r="D1059" t="s">
        <v>10</v>
      </c>
      <c r="E1059" t="str">
        <f t="shared" si="216"/>
        <v>16</v>
      </c>
      <c r="F1059">
        <v>385550</v>
      </c>
      <c r="G1059">
        <v>254659</v>
      </c>
      <c r="H1059">
        <v>9508</v>
      </c>
      <c r="I1059" t="str">
        <f t="shared" si="225"/>
        <v>1</v>
      </c>
      <c r="J1059" t="str">
        <f t="shared" si="226"/>
        <v>Vooruit</v>
      </c>
      <c r="K1059">
        <v>17781</v>
      </c>
      <c r="L1059">
        <v>21948</v>
      </c>
      <c r="M1059">
        <v>39729</v>
      </c>
      <c r="N1059">
        <v>3</v>
      </c>
      <c r="O1059" t="str">
        <f>("6")</f>
        <v>6</v>
      </c>
      <c r="P1059" t="str">
        <f>("Mertens Ella")</f>
        <v>Mertens Ella</v>
      </c>
      <c r="Q1059">
        <v>3195</v>
      </c>
      <c r="S1059">
        <v>4</v>
      </c>
    </row>
    <row r="1060" spans="1:19" x14ac:dyDescent="0.3">
      <c r="A1060" t="s">
        <v>0</v>
      </c>
      <c r="B1060" s="1">
        <v>45578</v>
      </c>
      <c r="C1060" t="str">
        <f t="shared" si="224"/>
        <v>24062</v>
      </c>
      <c r="D1060" t="s">
        <v>10</v>
      </c>
      <c r="E1060" t="str">
        <f t="shared" si="216"/>
        <v>16</v>
      </c>
      <c r="F1060">
        <v>385550</v>
      </c>
      <c r="G1060">
        <v>254659</v>
      </c>
      <c r="H1060">
        <v>9508</v>
      </c>
      <c r="I1060" t="str">
        <f t="shared" si="225"/>
        <v>1</v>
      </c>
      <c r="J1060" t="str">
        <f t="shared" si="226"/>
        <v>Vooruit</v>
      </c>
      <c r="K1060">
        <v>17781</v>
      </c>
      <c r="L1060">
        <v>21948</v>
      </c>
      <c r="M1060">
        <v>39729</v>
      </c>
      <c r="N1060">
        <v>3</v>
      </c>
      <c r="O1060" t="str">
        <f>("7")</f>
        <v>7</v>
      </c>
      <c r="P1060" t="str">
        <f>("Stevens Michel")</f>
        <v>Stevens Michel</v>
      </c>
      <c r="Q1060">
        <v>1528</v>
      </c>
      <c r="S1060">
        <v>13</v>
      </c>
    </row>
    <row r="1061" spans="1:19" x14ac:dyDescent="0.3">
      <c r="A1061" t="s">
        <v>0</v>
      </c>
      <c r="B1061" s="1">
        <v>45578</v>
      </c>
      <c r="C1061" t="str">
        <f t="shared" si="224"/>
        <v>24062</v>
      </c>
      <c r="D1061" t="s">
        <v>10</v>
      </c>
      <c r="E1061" t="str">
        <f t="shared" si="216"/>
        <v>16</v>
      </c>
      <c r="F1061">
        <v>385550</v>
      </c>
      <c r="G1061">
        <v>254659</v>
      </c>
      <c r="H1061">
        <v>9508</v>
      </c>
      <c r="I1061" t="str">
        <f t="shared" si="225"/>
        <v>1</v>
      </c>
      <c r="J1061" t="str">
        <f t="shared" si="226"/>
        <v>Vooruit</v>
      </c>
      <c r="K1061">
        <v>17781</v>
      </c>
      <c r="L1061">
        <v>21948</v>
      </c>
      <c r="M1061">
        <v>39729</v>
      </c>
      <c r="N1061">
        <v>3</v>
      </c>
      <c r="O1061" t="str">
        <f>("8")</f>
        <v>8</v>
      </c>
      <c r="P1061" t="str">
        <f>("Fets Merle")</f>
        <v>Fets Merle</v>
      </c>
      <c r="Q1061">
        <v>2049</v>
      </c>
      <c r="S1061">
        <v>8</v>
      </c>
    </row>
    <row r="1062" spans="1:19" x14ac:dyDescent="0.3">
      <c r="A1062" t="s">
        <v>0</v>
      </c>
      <c r="B1062" s="1">
        <v>45578</v>
      </c>
      <c r="C1062" t="str">
        <f t="shared" si="224"/>
        <v>24062</v>
      </c>
      <c r="D1062" t="s">
        <v>10</v>
      </c>
      <c r="E1062" t="str">
        <f t="shared" si="216"/>
        <v>16</v>
      </c>
      <c r="F1062">
        <v>385550</v>
      </c>
      <c r="G1062">
        <v>254659</v>
      </c>
      <c r="H1062">
        <v>9508</v>
      </c>
      <c r="I1062" t="str">
        <f t="shared" si="225"/>
        <v>1</v>
      </c>
      <c r="J1062" t="str">
        <f t="shared" si="226"/>
        <v>Vooruit</v>
      </c>
      <c r="K1062">
        <v>17781</v>
      </c>
      <c r="L1062">
        <v>21948</v>
      </c>
      <c r="M1062">
        <v>39729</v>
      </c>
      <c r="N1062">
        <v>3</v>
      </c>
      <c r="O1062" t="str">
        <f>("9")</f>
        <v>9</v>
      </c>
      <c r="P1062" t="str">
        <f>("Cleynen Steve")</f>
        <v>Cleynen Steve</v>
      </c>
      <c r="Q1062">
        <v>1729</v>
      </c>
      <c r="S1062">
        <v>11</v>
      </c>
    </row>
    <row r="1063" spans="1:19" x14ac:dyDescent="0.3">
      <c r="A1063" t="s">
        <v>0</v>
      </c>
      <c r="B1063" s="1">
        <v>45578</v>
      </c>
      <c r="C1063" t="str">
        <f t="shared" si="224"/>
        <v>24062</v>
      </c>
      <c r="D1063" t="s">
        <v>10</v>
      </c>
      <c r="E1063" t="str">
        <f t="shared" si="216"/>
        <v>16</v>
      </c>
      <c r="F1063">
        <v>385550</v>
      </c>
      <c r="G1063">
        <v>254659</v>
      </c>
      <c r="H1063">
        <v>9508</v>
      </c>
      <c r="I1063" t="str">
        <f t="shared" si="225"/>
        <v>1</v>
      </c>
      <c r="J1063" t="str">
        <f t="shared" si="226"/>
        <v>Vooruit</v>
      </c>
      <c r="K1063">
        <v>17781</v>
      </c>
      <c r="L1063">
        <v>21948</v>
      </c>
      <c r="M1063">
        <v>39729</v>
      </c>
      <c r="N1063">
        <v>3</v>
      </c>
      <c r="O1063" t="str">
        <f>("10")</f>
        <v>10</v>
      </c>
      <c r="P1063" t="str">
        <f>("Lahou Wim")</f>
        <v>Lahou Wim</v>
      </c>
      <c r="Q1063">
        <v>1620</v>
      </c>
      <c r="S1063">
        <v>12</v>
      </c>
    </row>
    <row r="1064" spans="1:19" x14ac:dyDescent="0.3">
      <c r="A1064" t="s">
        <v>0</v>
      </c>
      <c r="B1064" s="1">
        <v>45578</v>
      </c>
      <c r="C1064" t="str">
        <f t="shared" si="224"/>
        <v>24062</v>
      </c>
      <c r="D1064" t="s">
        <v>10</v>
      </c>
      <c r="E1064" t="str">
        <f t="shared" si="216"/>
        <v>16</v>
      </c>
      <c r="F1064">
        <v>385550</v>
      </c>
      <c r="G1064">
        <v>254659</v>
      </c>
      <c r="H1064">
        <v>9508</v>
      </c>
      <c r="I1064" t="str">
        <f t="shared" si="225"/>
        <v>1</v>
      </c>
      <c r="J1064" t="str">
        <f t="shared" si="226"/>
        <v>Vooruit</v>
      </c>
      <c r="K1064">
        <v>17781</v>
      </c>
      <c r="L1064">
        <v>21948</v>
      </c>
      <c r="M1064">
        <v>39729</v>
      </c>
      <c r="N1064">
        <v>3</v>
      </c>
      <c r="O1064" t="str">
        <f>("11")</f>
        <v>11</v>
      </c>
      <c r="P1064" t="str">
        <f>("Frans Heidi")</f>
        <v>Frans Heidi</v>
      </c>
      <c r="Q1064">
        <v>2347</v>
      </c>
      <c r="S1064">
        <v>6</v>
      </c>
    </row>
    <row r="1065" spans="1:19" x14ac:dyDescent="0.3">
      <c r="A1065" t="s">
        <v>0</v>
      </c>
      <c r="B1065" s="1">
        <v>45578</v>
      </c>
      <c r="C1065" t="str">
        <f t="shared" si="224"/>
        <v>24062</v>
      </c>
      <c r="D1065" t="s">
        <v>10</v>
      </c>
      <c r="E1065" t="str">
        <f t="shared" si="216"/>
        <v>16</v>
      </c>
      <c r="F1065">
        <v>385550</v>
      </c>
      <c r="G1065">
        <v>254659</v>
      </c>
      <c r="H1065">
        <v>9508</v>
      </c>
      <c r="I1065" t="str">
        <f t="shared" si="225"/>
        <v>1</v>
      </c>
      <c r="J1065" t="str">
        <f t="shared" si="226"/>
        <v>Vooruit</v>
      </c>
      <c r="K1065">
        <v>17781</v>
      </c>
      <c r="L1065">
        <v>21948</v>
      </c>
      <c r="M1065">
        <v>39729</v>
      </c>
      <c r="N1065">
        <v>3</v>
      </c>
      <c r="O1065" t="str">
        <f>("12")</f>
        <v>12</v>
      </c>
      <c r="P1065" t="str">
        <f>("Vanbeselaere Tie")</f>
        <v>Vanbeselaere Tie</v>
      </c>
      <c r="Q1065">
        <v>2007</v>
      </c>
      <c r="S1065">
        <v>9</v>
      </c>
    </row>
    <row r="1066" spans="1:19" x14ac:dyDescent="0.3">
      <c r="A1066" t="s">
        <v>0</v>
      </c>
      <c r="B1066" s="1">
        <v>45578</v>
      </c>
      <c r="C1066" t="str">
        <f t="shared" si="224"/>
        <v>24062</v>
      </c>
      <c r="D1066" t="s">
        <v>10</v>
      </c>
      <c r="E1066" t="str">
        <f t="shared" si="216"/>
        <v>16</v>
      </c>
      <c r="F1066">
        <v>385550</v>
      </c>
      <c r="G1066">
        <v>254659</v>
      </c>
      <c r="H1066">
        <v>9508</v>
      </c>
      <c r="I1066" t="str">
        <f t="shared" si="225"/>
        <v>1</v>
      </c>
      <c r="J1066" t="str">
        <f t="shared" si="226"/>
        <v>Vooruit</v>
      </c>
      <c r="K1066">
        <v>17781</v>
      </c>
      <c r="L1066">
        <v>21948</v>
      </c>
      <c r="M1066">
        <v>39729</v>
      </c>
      <c r="N1066">
        <v>3</v>
      </c>
      <c r="O1066" t="str">
        <f>("13")</f>
        <v>13</v>
      </c>
      <c r="P1066" t="str">
        <f>("Draye Luk")</f>
        <v>Draye Luk</v>
      </c>
      <c r="Q1066">
        <v>1893</v>
      </c>
      <c r="S1066">
        <v>10</v>
      </c>
    </row>
    <row r="1067" spans="1:19" x14ac:dyDescent="0.3">
      <c r="A1067" t="s">
        <v>0</v>
      </c>
      <c r="B1067" s="1">
        <v>45578</v>
      </c>
      <c r="C1067" t="str">
        <f t="shared" si="224"/>
        <v>24062</v>
      </c>
      <c r="D1067" t="s">
        <v>10</v>
      </c>
      <c r="E1067" t="str">
        <f t="shared" si="216"/>
        <v>16</v>
      </c>
      <c r="F1067">
        <v>385550</v>
      </c>
      <c r="G1067">
        <v>254659</v>
      </c>
      <c r="H1067">
        <v>9508</v>
      </c>
      <c r="I1067" t="str">
        <f t="shared" si="225"/>
        <v>1</v>
      </c>
      <c r="J1067" t="str">
        <f t="shared" si="226"/>
        <v>Vooruit</v>
      </c>
      <c r="K1067">
        <v>17781</v>
      </c>
      <c r="L1067">
        <v>21948</v>
      </c>
      <c r="M1067">
        <v>39729</v>
      </c>
      <c r="N1067">
        <v>3</v>
      </c>
      <c r="O1067" t="str">
        <f>("14")</f>
        <v>14</v>
      </c>
      <c r="P1067" t="str">
        <f>("Verlinden Bieke")</f>
        <v>Verlinden Bieke</v>
      </c>
      <c r="Q1067">
        <v>5922</v>
      </c>
      <c r="R1067">
        <v>3</v>
      </c>
    </row>
    <row r="1068" spans="1:19" x14ac:dyDescent="0.3">
      <c r="A1068" t="s">
        <v>0</v>
      </c>
      <c r="B1068" s="1">
        <v>45578</v>
      </c>
      <c r="C1068" t="str">
        <f t="shared" si="224"/>
        <v>24062</v>
      </c>
      <c r="D1068" t="s">
        <v>10</v>
      </c>
      <c r="E1068" t="str">
        <f t="shared" si="216"/>
        <v>16</v>
      </c>
      <c r="F1068">
        <v>385550</v>
      </c>
      <c r="G1068">
        <v>254659</v>
      </c>
      <c r="H1068">
        <v>9508</v>
      </c>
      <c r="I1068" t="str">
        <f t="shared" si="225"/>
        <v>1</v>
      </c>
      <c r="J1068" t="str">
        <f t="shared" si="226"/>
        <v>Vooruit</v>
      </c>
      <c r="K1068">
        <v>17781</v>
      </c>
      <c r="L1068">
        <v>21948</v>
      </c>
      <c r="M1068">
        <v>39729</v>
      </c>
      <c r="N1068">
        <v>3</v>
      </c>
      <c r="O1068" t="str">
        <f>("15")</f>
        <v>15</v>
      </c>
      <c r="P1068" t="str">
        <f>("Jiroflée Karin")</f>
        <v>Jiroflée Karin</v>
      </c>
      <c r="Q1068">
        <v>3997</v>
      </c>
      <c r="S1068">
        <v>3</v>
      </c>
    </row>
    <row r="1069" spans="1:19" x14ac:dyDescent="0.3">
      <c r="A1069" t="s">
        <v>0</v>
      </c>
      <c r="B1069" s="1">
        <v>45578</v>
      </c>
      <c r="C1069" t="str">
        <f t="shared" si="224"/>
        <v>24062</v>
      </c>
      <c r="D1069" t="s">
        <v>10</v>
      </c>
      <c r="E1069" t="str">
        <f t="shared" ref="E1069:E1132" si="227">("16")</f>
        <v>16</v>
      </c>
      <c r="F1069">
        <v>385550</v>
      </c>
      <c r="G1069">
        <v>254659</v>
      </c>
      <c r="H1069">
        <v>9508</v>
      </c>
      <c r="I1069" t="str">
        <f t="shared" si="225"/>
        <v>1</v>
      </c>
      <c r="J1069" t="str">
        <f t="shared" si="226"/>
        <v>Vooruit</v>
      </c>
      <c r="K1069">
        <v>17781</v>
      </c>
      <c r="L1069">
        <v>21948</v>
      </c>
      <c r="M1069">
        <v>39729</v>
      </c>
      <c r="N1069">
        <v>3</v>
      </c>
      <c r="O1069" t="str">
        <f>("16")</f>
        <v>16</v>
      </c>
      <c r="P1069" t="str">
        <f>("Tobback Louis")</f>
        <v>Tobback Louis</v>
      </c>
      <c r="Q1069">
        <v>7784</v>
      </c>
      <c r="R1069">
        <v>1</v>
      </c>
    </row>
    <row r="1070" spans="1:19" x14ac:dyDescent="0.3">
      <c r="A1070" t="s">
        <v>0</v>
      </c>
      <c r="B1070" s="1">
        <v>45578</v>
      </c>
      <c r="C1070" t="str">
        <f t="shared" si="224"/>
        <v>24062</v>
      </c>
      <c r="D1070" t="s">
        <v>10</v>
      </c>
      <c r="E1070" t="str">
        <f t="shared" si="227"/>
        <v>16</v>
      </c>
      <c r="F1070">
        <v>385550</v>
      </c>
      <c r="G1070">
        <v>254659</v>
      </c>
      <c r="H1070">
        <v>9508</v>
      </c>
      <c r="I1070" t="str">
        <f t="shared" ref="I1070:I1085" si="228">("2")</f>
        <v>2</v>
      </c>
      <c r="J1070" t="str">
        <f t="shared" ref="J1070:J1085" si="229">("PVDA")</f>
        <v>PVDA</v>
      </c>
      <c r="K1070">
        <v>4819</v>
      </c>
      <c r="L1070">
        <v>3789</v>
      </c>
      <c r="M1070">
        <v>8608</v>
      </c>
      <c r="N1070">
        <v>0</v>
      </c>
      <c r="O1070" t="str">
        <f>("1")</f>
        <v>1</v>
      </c>
      <c r="P1070" t="str">
        <f>("Knaepen Bea")</f>
        <v>Knaepen Bea</v>
      </c>
      <c r="Q1070">
        <v>2361</v>
      </c>
    </row>
    <row r="1071" spans="1:19" x14ac:dyDescent="0.3">
      <c r="A1071" t="s">
        <v>0</v>
      </c>
      <c r="B1071" s="1">
        <v>45578</v>
      </c>
      <c r="C1071" t="str">
        <f t="shared" si="224"/>
        <v>24062</v>
      </c>
      <c r="D1071" t="s">
        <v>10</v>
      </c>
      <c r="E1071" t="str">
        <f t="shared" si="227"/>
        <v>16</v>
      </c>
      <c r="F1071">
        <v>385550</v>
      </c>
      <c r="G1071">
        <v>254659</v>
      </c>
      <c r="H1071">
        <v>9508</v>
      </c>
      <c r="I1071" t="str">
        <f t="shared" si="228"/>
        <v>2</v>
      </c>
      <c r="J1071" t="str">
        <f t="shared" si="229"/>
        <v>PVDA</v>
      </c>
      <c r="K1071">
        <v>4819</v>
      </c>
      <c r="L1071">
        <v>3789</v>
      </c>
      <c r="M1071">
        <v>8608</v>
      </c>
      <c r="N1071">
        <v>0</v>
      </c>
      <c r="O1071" t="str">
        <f>("2")</f>
        <v>2</v>
      </c>
      <c r="P1071" t="str">
        <f>("Orobator Robert")</f>
        <v>Orobator Robert</v>
      </c>
      <c r="Q1071">
        <v>780</v>
      </c>
    </row>
    <row r="1072" spans="1:19" x14ac:dyDescent="0.3">
      <c r="A1072" t="s">
        <v>0</v>
      </c>
      <c r="B1072" s="1">
        <v>45578</v>
      </c>
      <c r="C1072" t="str">
        <f t="shared" si="224"/>
        <v>24062</v>
      </c>
      <c r="D1072" t="s">
        <v>10</v>
      </c>
      <c r="E1072" t="str">
        <f t="shared" si="227"/>
        <v>16</v>
      </c>
      <c r="F1072">
        <v>385550</v>
      </c>
      <c r="G1072">
        <v>254659</v>
      </c>
      <c r="H1072">
        <v>9508</v>
      </c>
      <c r="I1072" t="str">
        <f t="shared" si="228"/>
        <v>2</v>
      </c>
      <c r="J1072" t="str">
        <f t="shared" si="229"/>
        <v>PVDA</v>
      </c>
      <c r="K1072">
        <v>4819</v>
      </c>
      <c r="L1072">
        <v>3789</v>
      </c>
      <c r="M1072">
        <v>8608</v>
      </c>
      <c r="N1072">
        <v>0</v>
      </c>
      <c r="O1072" t="str">
        <f>("3")</f>
        <v>3</v>
      </c>
      <c r="P1072" t="str">
        <f>("Shoudoueva Hadisha")</f>
        <v>Shoudoueva Hadisha</v>
      </c>
      <c r="Q1072">
        <v>1111</v>
      </c>
    </row>
    <row r="1073" spans="1:19" x14ac:dyDescent="0.3">
      <c r="A1073" t="s">
        <v>0</v>
      </c>
      <c r="B1073" s="1">
        <v>45578</v>
      </c>
      <c r="C1073" t="str">
        <f t="shared" si="224"/>
        <v>24062</v>
      </c>
      <c r="D1073" t="s">
        <v>10</v>
      </c>
      <c r="E1073" t="str">
        <f t="shared" si="227"/>
        <v>16</v>
      </c>
      <c r="F1073">
        <v>385550</v>
      </c>
      <c r="G1073">
        <v>254659</v>
      </c>
      <c r="H1073">
        <v>9508</v>
      </c>
      <c r="I1073" t="str">
        <f t="shared" si="228"/>
        <v>2</v>
      </c>
      <c r="J1073" t="str">
        <f t="shared" si="229"/>
        <v>PVDA</v>
      </c>
      <c r="K1073">
        <v>4819</v>
      </c>
      <c r="L1073">
        <v>3789</v>
      </c>
      <c r="M1073">
        <v>8608</v>
      </c>
      <c r="N1073">
        <v>0</v>
      </c>
      <c r="O1073" t="str">
        <f>("4")</f>
        <v>4</v>
      </c>
      <c r="P1073" t="str">
        <f>("Sluyts Kenneth")</f>
        <v>Sluyts Kenneth</v>
      </c>
      <c r="Q1073">
        <v>601</v>
      </c>
    </row>
    <row r="1074" spans="1:19" x14ac:dyDescent="0.3">
      <c r="A1074" t="s">
        <v>0</v>
      </c>
      <c r="B1074" s="1">
        <v>45578</v>
      </c>
      <c r="C1074" t="str">
        <f t="shared" si="224"/>
        <v>24062</v>
      </c>
      <c r="D1074" t="s">
        <v>10</v>
      </c>
      <c r="E1074" t="str">
        <f t="shared" si="227"/>
        <v>16</v>
      </c>
      <c r="F1074">
        <v>385550</v>
      </c>
      <c r="G1074">
        <v>254659</v>
      </c>
      <c r="H1074">
        <v>9508</v>
      </c>
      <c r="I1074" t="str">
        <f t="shared" si="228"/>
        <v>2</v>
      </c>
      <c r="J1074" t="str">
        <f t="shared" si="229"/>
        <v>PVDA</v>
      </c>
      <c r="K1074">
        <v>4819</v>
      </c>
      <c r="L1074">
        <v>3789</v>
      </c>
      <c r="M1074">
        <v>8608</v>
      </c>
      <c r="N1074">
        <v>0</v>
      </c>
      <c r="O1074" t="str">
        <f>("5")</f>
        <v>5</v>
      </c>
      <c r="P1074" t="str">
        <f>("Swinkels Thea")</f>
        <v>Swinkels Thea</v>
      </c>
      <c r="Q1074">
        <v>809</v>
      </c>
    </row>
    <row r="1075" spans="1:19" x14ac:dyDescent="0.3">
      <c r="A1075" t="s">
        <v>0</v>
      </c>
      <c r="B1075" s="1">
        <v>45578</v>
      </c>
      <c r="C1075" t="str">
        <f t="shared" si="224"/>
        <v>24062</v>
      </c>
      <c r="D1075" t="s">
        <v>10</v>
      </c>
      <c r="E1075" t="str">
        <f t="shared" si="227"/>
        <v>16</v>
      </c>
      <c r="F1075">
        <v>385550</v>
      </c>
      <c r="G1075">
        <v>254659</v>
      </c>
      <c r="H1075">
        <v>9508</v>
      </c>
      <c r="I1075" t="str">
        <f t="shared" si="228"/>
        <v>2</v>
      </c>
      <c r="J1075" t="str">
        <f t="shared" si="229"/>
        <v>PVDA</v>
      </c>
      <c r="K1075">
        <v>4819</v>
      </c>
      <c r="L1075">
        <v>3789</v>
      </c>
      <c r="M1075">
        <v>8608</v>
      </c>
      <c r="N1075">
        <v>0</v>
      </c>
      <c r="O1075" t="str">
        <f>("6")</f>
        <v>6</v>
      </c>
      <c r="P1075" t="str">
        <f>("De Schaepmeester Niels")</f>
        <v>De Schaepmeester Niels</v>
      </c>
      <c r="Q1075">
        <v>589</v>
      </c>
    </row>
    <row r="1076" spans="1:19" x14ac:dyDescent="0.3">
      <c r="A1076" t="s">
        <v>0</v>
      </c>
      <c r="B1076" s="1">
        <v>45578</v>
      </c>
      <c r="C1076" t="str">
        <f t="shared" si="224"/>
        <v>24062</v>
      </c>
      <c r="D1076" t="s">
        <v>10</v>
      </c>
      <c r="E1076" t="str">
        <f t="shared" si="227"/>
        <v>16</v>
      </c>
      <c r="F1076">
        <v>385550</v>
      </c>
      <c r="G1076">
        <v>254659</v>
      </c>
      <c r="H1076">
        <v>9508</v>
      </c>
      <c r="I1076" t="str">
        <f t="shared" si="228"/>
        <v>2</v>
      </c>
      <c r="J1076" t="str">
        <f t="shared" si="229"/>
        <v>PVDA</v>
      </c>
      <c r="K1076">
        <v>4819</v>
      </c>
      <c r="L1076">
        <v>3789</v>
      </c>
      <c r="M1076">
        <v>8608</v>
      </c>
      <c r="N1076">
        <v>0</v>
      </c>
      <c r="O1076" t="str">
        <f>("7")</f>
        <v>7</v>
      </c>
      <c r="P1076" t="str">
        <f>("Adriaens Peggy")</f>
        <v>Adriaens Peggy</v>
      </c>
      <c r="Q1076">
        <v>766</v>
      </c>
    </row>
    <row r="1077" spans="1:19" x14ac:dyDescent="0.3">
      <c r="A1077" t="s">
        <v>0</v>
      </c>
      <c r="B1077" s="1">
        <v>45578</v>
      </c>
      <c r="C1077" t="str">
        <f t="shared" si="224"/>
        <v>24062</v>
      </c>
      <c r="D1077" t="s">
        <v>10</v>
      </c>
      <c r="E1077" t="str">
        <f t="shared" si="227"/>
        <v>16</v>
      </c>
      <c r="F1077">
        <v>385550</v>
      </c>
      <c r="G1077">
        <v>254659</v>
      </c>
      <c r="H1077">
        <v>9508</v>
      </c>
      <c r="I1077" t="str">
        <f t="shared" si="228"/>
        <v>2</v>
      </c>
      <c r="J1077" t="str">
        <f t="shared" si="229"/>
        <v>PVDA</v>
      </c>
      <c r="K1077">
        <v>4819</v>
      </c>
      <c r="L1077">
        <v>3789</v>
      </c>
      <c r="M1077">
        <v>8608</v>
      </c>
      <c r="N1077">
        <v>0</v>
      </c>
      <c r="O1077" t="str">
        <f>("8")</f>
        <v>8</v>
      </c>
      <c r="P1077" t="str">
        <f>("Ams Pjotr")</f>
        <v>Ams Pjotr</v>
      </c>
      <c r="Q1077">
        <v>519</v>
      </c>
    </row>
    <row r="1078" spans="1:19" x14ac:dyDescent="0.3">
      <c r="A1078" t="s">
        <v>0</v>
      </c>
      <c r="B1078" s="1">
        <v>45578</v>
      </c>
      <c r="C1078" t="str">
        <f t="shared" si="224"/>
        <v>24062</v>
      </c>
      <c r="D1078" t="s">
        <v>10</v>
      </c>
      <c r="E1078" t="str">
        <f t="shared" si="227"/>
        <v>16</v>
      </c>
      <c r="F1078">
        <v>385550</v>
      </c>
      <c r="G1078">
        <v>254659</v>
      </c>
      <c r="H1078">
        <v>9508</v>
      </c>
      <c r="I1078" t="str">
        <f t="shared" si="228"/>
        <v>2</v>
      </c>
      <c r="J1078" t="str">
        <f t="shared" si="229"/>
        <v>PVDA</v>
      </c>
      <c r="K1078">
        <v>4819</v>
      </c>
      <c r="L1078">
        <v>3789</v>
      </c>
      <c r="M1078">
        <v>8608</v>
      </c>
      <c r="N1078">
        <v>0</v>
      </c>
      <c r="O1078" t="str">
        <f>("9")</f>
        <v>9</v>
      </c>
      <c r="P1078" t="str">
        <f>("Shoudoueva Amina")</f>
        <v>Shoudoueva Amina</v>
      </c>
      <c r="Q1078">
        <v>882</v>
      </c>
    </row>
    <row r="1079" spans="1:19" x14ac:dyDescent="0.3">
      <c r="A1079" t="s">
        <v>0</v>
      </c>
      <c r="B1079" s="1">
        <v>45578</v>
      </c>
      <c r="C1079" t="str">
        <f t="shared" si="224"/>
        <v>24062</v>
      </c>
      <c r="D1079" t="s">
        <v>10</v>
      </c>
      <c r="E1079" t="str">
        <f t="shared" si="227"/>
        <v>16</v>
      </c>
      <c r="F1079">
        <v>385550</v>
      </c>
      <c r="G1079">
        <v>254659</v>
      </c>
      <c r="H1079">
        <v>9508</v>
      </c>
      <c r="I1079" t="str">
        <f t="shared" si="228"/>
        <v>2</v>
      </c>
      <c r="J1079" t="str">
        <f t="shared" si="229"/>
        <v>PVDA</v>
      </c>
      <c r="K1079">
        <v>4819</v>
      </c>
      <c r="L1079">
        <v>3789</v>
      </c>
      <c r="M1079">
        <v>8608</v>
      </c>
      <c r="N1079">
        <v>0</v>
      </c>
      <c r="O1079" t="str">
        <f>("10")</f>
        <v>10</v>
      </c>
      <c r="P1079" t="str">
        <f>("Rock Johan")</f>
        <v>Rock Johan</v>
      </c>
      <c r="Q1079">
        <v>501</v>
      </c>
    </row>
    <row r="1080" spans="1:19" x14ac:dyDescent="0.3">
      <c r="A1080" t="s">
        <v>0</v>
      </c>
      <c r="B1080" s="1">
        <v>45578</v>
      </c>
      <c r="C1080" t="str">
        <f t="shared" si="224"/>
        <v>24062</v>
      </c>
      <c r="D1080" t="s">
        <v>10</v>
      </c>
      <c r="E1080" t="str">
        <f t="shared" si="227"/>
        <v>16</v>
      </c>
      <c r="F1080">
        <v>385550</v>
      </c>
      <c r="G1080">
        <v>254659</v>
      </c>
      <c r="H1080">
        <v>9508</v>
      </c>
      <c r="I1080" t="str">
        <f t="shared" si="228"/>
        <v>2</v>
      </c>
      <c r="J1080" t="str">
        <f t="shared" si="229"/>
        <v>PVDA</v>
      </c>
      <c r="K1080">
        <v>4819</v>
      </c>
      <c r="L1080">
        <v>3789</v>
      </c>
      <c r="M1080">
        <v>8608</v>
      </c>
      <c r="N1080">
        <v>0</v>
      </c>
      <c r="O1080" t="str">
        <f>("11")</f>
        <v>11</v>
      </c>
      <c r="P1080" t="str">
        <f>("Devroey Alana")</f>
        <v>Devroey Alana</v>
      </c>
      <c r="Q1080">
        <v>647</v>
      </c>
    </row>
    <row r="1081" spans="1:19" x14ac:dyDescent="0.3">
      <c r="A1081" t="s">
        <v>0</v>
      </c>
      <c r="B1081" s="1">
        <v>45578</v>
      </c>
      <c r="C1081" t="str">
        <f t="shared" si="224"/>
        <v>24062</v>
      </c>
      <c r="D1081" t="s">
        <v>10</v>
      </c>
      <c r="E1081" t="str">
        <f t="shared" si="227"/>
        <v>16</v>
      </c>
      <c r="F1081">
        <v>385550</v>
      </c>
      <c r="G1081">
        <v>254659</v>
      </c>
      <c r="H1081">
        <v>9508</v>
      </c>
      <c r="I1081" t="str">
        <f t="shared" si="228"/>
        <v>2</v>
      </c>
      <c r="J1081" t="str">
        <f t="shared" si="229"/>
        <v>PVDA</v>
      </c>
      <c r="K1081">
        <v>4819</v>
      </c>
      <c r="L1081">
        <v>3789</v>
      </c>
      <c r="M1081">
        <v>8608</v>
      </c>
      <c r="N1081">
        <v>0</v>
      </c>
      <c r="O1081" t="str">
        <f>("12")</f>
        <v>12</v>
      </c>
      <c r="P1081" t="str">
        <f>("Scalais Rudi")</f>
        <v>Scalais Rudi</v>
      </c>
      <c r="Q1081">
        <v>456</v>
      </c>
    </row>
    <row r="1082" spans="1:19" x14ac:dyDescent="0.3">
      <c r="A1082" t="s">
        <v>0</v>
      </c>
      <c r="B1082" s="1">
        <v>45578</v>
      </c>
      <c r="C1082" t="str">
        <f t="shared" si="224"/>
        <v>24062</v>
      </c>
      <c r="D1082" t="s">
        <v>10</v>
      </c>
      <c r="E1082" t="str">
        <f t="shared" si="227"/>
        <v>16</v>
      </c>
      <c r="F1082">
        <v>385550</v>
      </c>
      <c r="G1082">
        <v>254659</v>
      </c>
      <c r="H1082">
        <v>9508</v>
      </c>
      <c r="I1082" t="str">
        <f t="shared" si="228"/>
        <v>2</v>
      </c>
      <c r="J1082" t="str">
        <f t="shared" si="229"/>
        <v>PVDA</v>
      </c>
      <c r="K1082">
        <v>4819</v>
      </c>
      <c r="L1082">
        <v>3789</v>
      </c>
      <c r="M1082">
        <v>8608</v>
      </c>
      <c r="N1082">
        <v>0</v>
      </c>
      <c r="O1082" t="str">
        <f>("13")</f>
        <v>13</v>
      </c>
      <c r="P1082" t="str">
        <f>("Aerts Greet")</f>
        <v>Aerts Greet</v>
      </c>
      <c r="Q1082">
        <v>672</v>
      </c>
    </row>
    <row r="1083" spans="1:19" x14ac:dyDescent="0.3">
      <c r="A1083" t="s">
        <v>0</v>
      </c>
      <c r="B1083" s="1">
        <v>45578</v>
      </c>
      <c r="C1083" t="str">
        <f t="shared" si="224"/>
        <v>24062</v>
      </c>
      <c r="D1083" t="s">
        <v>10</v>
      </c>
      <c r="E1083" t="str">
        <f t="shared" si="227"/>
        <v>16</v>
      </c>
      <c r="F1083">
        <v>385550</v>
      </c>
      <c r="G1083">
        <v>254659</v>
      </c>
      <c r="H1083">
        <v>9508</v>
      </c>
      <c r="I1083" t="str">
        <f t="shared" si="228"/>
        <v>2</v>
      </c>
      <c r="J1083" t="str">
        <f t="shared" si="229"/>
        <v>PVDA</v>
      </c>
      <c r="K1083">
        <v>4819</v>
      </c>
      <c r="L1083">
        <v>3789</v>
      </c>
      <c r="M1083">
        <v>8608</v>
      </c>
      <c r="N1083">
        <v>0</v>
      </c>
      <c r="O1083" t="str">
        <f>("14")</f>
        <v>14</v>
      </c>
      <c r="P1083" t="str">
        <f>("Barthels Noah")</f>
        <v>Barthels Noah</v>
      </c>
      <c r="Q1083">
        <v>473</v>
      </c>
    </row>
    <row r="1084" spans="1:19" x14ac:dyDescent="0.3">
      <c r="A1084" t="s">
        <v>0</v>
      </c>
      <c r="B1084" s="1">
        <v>45578</v>
      </c>
      <c r="C1084" t="str">
        <f t="shared" si="224"/>
        <v>24062</v>
      </c>
      <c r="D1084" t="s">
        <v>10</v>
      </c>
      <c r="E1084" t="str">
        <f t="shared" si="227"/>
        <v>16</v>
      </c>
      <c r="F1084">
        <v>385550</v>
      </c>
      <c r="G1084">
        <v>254659</v>
      </c>
      <c r="H1084">
        <v>9508</v>
      </c>
      <c r="I1084" t="str">
        <f t="shared" si="228"/>
        <v>2</v>
      </c>
      <c r="J1084" t="str">
        <f t="shared" si="229"/>
        <v>PVDA</v>
      </c>
      <c r="K1084">
        <v>4819</v>
      </c>
      <c r="L1084">
        <v>3789</v>
      </c>
      <c r="M1084">
        <v>8608</v>
      </c>
      <c r="N1084">
        <v>0</v>
      </c>
      <c r="O1084" t="str">
        <f>("15")</f>
        <v>15</v>
      </c>
      <c r="P1084" t="str">
        <f>("De Clippeleir Thanie")</f>
        <v>De Clippeleir Thanie</v>
      </c>
      <c r="Q1084">
        <v>577</v>
      </c>
    </row>
    <row r="1085" spans="1:19" x14ac:dyDescent="0.3">
      <c r="A1085" t="s">
        <v>0</v>
      </c>
      <c r="B1085" s="1">
        <v>45578</v>
      </c>
      <c r="C1085" t="str">
        <f t="shared" si="224"/>
        <v>24062</v>
      </c>
      <c r="D1085" t="s">
        <v>10</v>
      </c>
      <c r="E1085" t="str">
        <f t="shared" si="227"/>
        <v>16</v>
      </c>
      <c r="F1085">
        <v>385550</v>
      </c>
      <c r="G1085">
        <v>254659</v>
      </c>
      <c r="H1085">
        <v>9508</v>
      </c>
      <c r="I1085" t="str">
        <f t="shared" si="228"/>
        <v>2</v>
      </c>
      <c r="J1085" t="str">
        <f t="shared" si="229"/>
        <v>PVDA</v>
      </c>
      <c r="K1085">
        <v>4819</v>
      </c>
      <c r="L1085">
        <v>3789</v>
      </c>
      <c r="M1085">
        <v>8608</v>
      </c>
      <c r="N1085">
        <v>0</v>
      </c>
      <c r="O1085" t="str">
        <f>("16")</f>
        <v>16</v>
      </c>
      <c r="P1085" t="str">
        <f>("Degeest Raf")</f>
        <v>Degeest Raf</v>
      </c>
      <c r="Q1085">
        <v>636</v>
      </c>
    </row>
    <row r="1086" spans="1:19" x14ac:dyDescent="0.3">
      <c r="A1086" t="s">
        <v>0</v>
      </c>
      <c r="B1086" s="1">
        <v>45578</v>
      </c>
      <c r="C1086" t="str">
        <f t="shared" ref="C1086:C1117" si="230">("24062")</f>
        <v>24062</v>
      </c>
      <c r="D1086" t="s">
        <v>10</v>
      </c>
      <c r="E1086" t="str">
        <f t="shared" si="227"/>
        <v>16</v>
      </c>
      <c r="F1086">
        <v>385550</v>
      </c>
      <c r="G1086">
        <v>254659</v>
      </c>
      <c r="H1086">
        <v>9508</v>
      </c>
      <c r="I1086" t="str">
        <f t="shared" ref="I1086:I1101" si="231">("3")</f>
        <v>3</v>
      </c>
      <c r="J1086" t="str">
        <f t="shared" ref="J1086:J1101" si="232">("cd&amp;v")</f>
        <v>cd&amp;v</v>
      </c>
      <c r="K1086">
        <v>15245</v>
      </c>
      <c r="L1086">
        <v>31882</v>
      </c>
      <c r="M1086">
        <v>47127</v>
      </c>
      <c r="N1086">
        <v>3</v>
      </c>
      <c r="O1086" t="str">
        <f>("1")</f>
        <v>1</v>
      </c>
      <c r="P1086" t="str">
        <f>("Brouwers Karin")</f>
        <v>Brouwers Karin</v>
      </c>
      <c r="Q1086">
        <v>12692</v>
      </c>
      <c r="R1086">
        <v>1</v>
      </c>
    </row>
    <row r="1087" spans="1:19" x14ac:dyDescent="0.3">
      <c r="A1087" t="s">
        <v>0</v>
      </c>
      <c r="B1087" s="1">
        <v>45578</v>
      </c>
      <c r="C1087" t="str">
        <f t="shared" si="230"/>
        <v>24062</v>
      </c>
      <c r="D1087" t="s">
        <v>10</v>
      </c>
      <c r="E1087" t="str">
        <f t="shared" si="227"/>
        <v>16</v>
      </c>
      <c r="F1087">
        <v>385550</v>
      </c>
      <c r="G1087">
        <v>254659</v>
      </c>
      <c r="H1087">
        <v>9508</v>
      </c>
      <c r="I1087" t="str">
        <f t="shared" si="231"/>
        <v>3</v>
      </c>
      <c r="J1087" t="str">
        <f t="shared" si="232"/>
        <v>cd&amp;v</v>
      </c>
      <c r="K1087">
        <v>15245</v>
      </c>
      <c r="L1087">
        <v>31882</v>
      </c>
      <c r="M1087">
        <v>47127</v>
      </c>
      <c r="N1087">
        <v>3</v>
      </c>
      <c r="O1087" t="str">
        <f>("2")</f>
        <v>2</v>
      </c>
      <c r="P1087" t="str">
        <f>("Wynants Marc")</f>
        <v>Wynants Marc</v>
      </c>
      <c r="Q1087">
        <v>6368</v>
      </c>
      <c r="R1087">
        <v>3</v>
      </c>
    </row>
    <row r="1088" spans="1:19" x14ac:dyDescent="0.3">
      <c r="A1088" t="s">
        <v>0</v>
      </c>
      <c r="B1088" s="1">
        <v>45578</v>
      </c>
      <c r="C1088" t="str">
        <f t="shared" si="230"/>
        <v>24062</v>
      </c>
      <c r="D1088" t="s">
        <v>10</v>
      </c>
      <c r="E1088" t="str">
        <f t="shared" si="227"/>
        <v>16</v>
      </c>
      <c r="F1088">
        <v>385550</v>
      </c>
      <c r="G1088">
        <v>254659</v>
      </c>
      <c r="H1088">
        <v>9508</v>
      </c>
      <c r="I1088" t="str">
        <f t="shared" si="231"/>
        <v>3</v>
      </c>
      <c r="J1088" t="str">
        <f t="shared" si="232"/>
        <v>cd&amp;v</v>
      </c>
      <c r="K1088">
        <v>15245</v>
      </c>
      <c r="L1088">
        <v>31882</v>
      </c>
      <c r="M1088">
        <v>47127</v>
      </c>
      <c r="N1088">
        <v>3</v>
      </c>
      <c r="O1088" t="str">
        <f>("3")</f>
        <v>3</v>
      </c>
      <c r="P1088" t="str">
        <f>("Pelgrims Nele")</f>
        <v>Pelgrims Nele</v>
      </c>
      <c r="Q1088">
        <v>5670</v>
      </c>
      <c r="S1088">
        <v>1</v>
      </c>
    </row>
    <row r="1089" spans="1:19" x14ac:dyDescent="0.3">
      <c r="A1089" t="s">
        <v>0</v>
      </c>
      <c r="B1089" s="1">
        <v>45578</v>
      </c>
      <c r="C1089" t="str">
        <f t="shared" si="230"/>
        <v>24062</v>
      </c>
      <c r="D1089" t="s">
        <v>10</v>
      </c>
      <c r="E1089" t="str">
        <f t="shared" si="227"/>
        <v>16</v>
      </c>
      <c r="F1089">
        <v>385550</v>
      </c>
      <c r="G1089">
        <v>254659</v>
      </c>
      <c r="H1089">
        <v>9508</v>
      </c>
      <c r="I1089" t="str">
        <f t="shared" si="231"/>
        <v>3</v>
      </c>
      <c r="J1089" t="str">
        <f t="shared" si="232"/>
        <v>cd&amp;v</v>
      </c>
      <c r="K1089">
        <v>15245</v>
      </c>
      <c r="L1089">
        <v>31882</v>
      </c>
      <c r="M1089">
        <v>47127</v>
      </c>
      <c r="N1089">
        <v>3</v>
      </c>
      <c r="O1089" t="str">
        <f>("4")</f>
        <v>4</v>
      </c>
      <c r="P1089" t="str">
        <f>("De Dobbeleer Monique")</f>
        <v>De Dobbeleer Monique</v>
      </c>
      <c r="Q1089">
        <v>4514</v>
      </c>
      <c r="S1089">
        <v>2</v>
      </c>
    </row>
    <row r="1090" spans="1:19" x14ac:dyDescent="0.3">
      <c r="A1090" t="s">
        <v>0</v>
      </c>
      <c r="B1090" s="1">
        <v>45578</v>
      </c>
      <c r="C1090" t="str">
        <f t="shared" si="230"/>
        <v>24062</v>
      </c>
      <c r="D1090" t="s">
        <v>10</v>
      </c>
      <c r="E1090" t="str">
        <f t="shared" si="227"/>
        <v>16</v>
      </c>
      <c r="F1090">
        <v>385550</v>
      </c>
      <c r="G1090">
        <v>254659</v>
      </c>
      <c r="H1090">
        <v>9508</v>
      </c>
      <c r="I1090" t="str">
        <f t="shared" si="231"/>
        <v>3</v>
      </c>
      <c r="J1090" t="str">
        <f t="shared" si="232"/>
        <v>cd&amp;v</v>
      </c>
      <c r="K1090">
        <v>15245</v>
      </c>
      <c r="L1090">
        <v>31882</v>
      </c>
      <c r="M1090">
        <v>47127</v>
      </c>
      <c r="N1090">
        <v>3</v>
      </c>
      <c r="O1090" t="str">
        <f>("5")</f>
        <v>5</v>
      </c>
      <c r="P1090" t="str">
        <f>("Fourie Lore")</f>
        <v>Fourie Lore</v>
      </c>
      <c r="Q1090">
        <v>4447</v>
      </c>
      <c r="S1090">
        <v>3</v>
      </c>
    </row>
    <row r="1091" spans="1:19" x14ac:dyDescent="0.3">
      <c r="A1091" t="s">
        <v>0</v>
      </c>
      <c r="B1091" s="1">
        <v>45578</v>
      </c>
      <c r="C1091" t="str">
        <f t="shared" si="230"/>
        <v>24062</v>
      </c>
      <c r="D1091" t="s">
        <v>10</v>
      </c>
      <c r="E1091" t="str">
        <f t="shared" si="227"/>
        <v>16</v>
      </c>
      <c r="F1091">
        <v>385550</v>
      </c>
      <c r="G1091">
        <v>254659</v>
      </c>
      <c r="H1091">
        <v>9508</v>
      </c>
      <c r="I1091" t="str">
        <f t="shared" si="231"/>
        <v>3</v>
      </c>
      <c r="J1091" t="str">
        <f t="shared" si="232"/>
        <v>cd&amp;v</v>
      </c>
      <c r="K1091">
        <v>15245</v>
      </c>
      <c r="L1091">
        <v>31882</v>
      </c>
      <c r="M1091">
        <v>47127</v>
      </c>
      <c r="N1091">
        <v>3</v>
      </c>
      <c r="O1091" t="str">
        <f>("6")</f>
        <v>6</v>
      </c>
      <c r="P1091" t="str">
        <f>("De Wit Bert")</f>
        <v>De Wit Bert</v>
      </c>
      <c r="Q1091">
        <v>3202</v>
      </c>
      <c r="S1091">
        <v>5</v>
      </c>
    </row>
    <row r="1092" spans="1:19" x14ac:dyDescent="0.3">
      <c r="A1092" t="s">
        <v>0</v>
      </c>
      <c r="B1092" s="1">
        <v>45578</v>
      </c>
      <c r="C1092" t="str">
        <f t="shared" si="230"/>
        <v>24062</v>
      </c>
      <c r="D1092" t="s">
        <v>10</v>
      </c>
      <c r="E1092" t="str">
        <f t="shared" si="227"/>
        <v>16</v>
      </c>
      <c r="F1092">
        <v>385550</v>
      </c>
      <c r="G1092">
        <v>254659</v>
      </c>
      <c r="H1092">
        <v>9508</v>
      </c>
      <c r="I1092" t="str">
        <f t="shared" si="231"/>
        <v>3</v>
      </c>
      <c r="J1092" t="str">
        <f t="shared" si="232"/>
        <v>cd&amp;v</v>
      </c>
      <c r="K1092">
        <v>15245</v>
      </c>
      <c r="L1092">
        <v>31882</v>
      </c>
      <c r="M1092">
        <v>47127</v>
      </c>
      <c r="N1092">
        <v>3</v>
      </c>
      <c r="O1092" t="str">
        <f>("7")</f>
        <v>7</v>
      </c>
      <c r="P1092" t="str">
        <f>("Smolders Dirk")</f>
        <v>Smolders Dirk</v>
      </c>
      <c r="Q1092">
        <v>2307</v>
      </c>
      <c r="S1092">
        <v>11</v>
      </c>
    </row>
    <row r="1093" spans="1:19" x14ac:dyDescent="0.3">
      <c r="A1093" t="s">
        <v>0</v>
      </c>
      <c r="B1093" s="1">
        <v>45578</v>
      </c>
      <c r="C1093" t="str">
        <f t="shared" si="230"/>
        <v>24062</v>
      </c>
      <c r="D1093" t="s">
        <v>10</v>
      </c>
      <c r="E1093" t="str">
        <f t="shared" si="227"/>
        <v>16</v>
      </c>
      <c r="F1093">
        <v>385550</v>
      </c>
      <c r="G1093">
        <v>254659</v>
      </c>
      <c r="H1093">
        <v>9508</v>
      </c>
      <c r="I1093" t="str">
        <f t="shared" si="231"/>
        <v>3</v>
      </c>
      <c r="J1093" t="str">
        <f t="shared" si="232"/>
        <v>cd&amp;v</v>
      </c>
      <c r="K1093">
        <v>15245</v>
      </c>
      <c r="L1093">
        <v>31882</v>
      </c>
      <c r="M1093">
        <v>47127</v>
      </c>
      <c r="N1093">
        <v>3</v>
      </c>
      <c r="O1093" t="str">
        <f>("8")</f>
        <v>8</v>
      </c>
      <c r="P1093" t="str">
        <f>("Vanbelle Guy")</f>
        <v>Vanbelle Guy</v>
      </c>
      <c r="Q1093">
        <v>2375</v>
      </c>
      <c r="S1093">
        <v>9</v>
      </c>
    </row>
    <row r="1094" spans="1:19" x14ac:dyDescent="0.3">
      <c r="A1094" t="s">
        <v>0</v>
      </c>
      <c r="B1094" s="1">
        <v>45578</v>
      </c>
      <c r="C1094" t="str">
        <f t="shared" si="230"/>
        <v>24062</v>
      </c>
      <c r="D1094" t="s">
        <v>10</v>
      </c>
      <c r="E1094" t="str">
        <f t="shared" si="227"/>
        <v>16</v>
      </c>
      <c r="F1094">
        <v>385550</v>
      </c>
      <c r="G1094">
        <v>254659</v>
      </c>
      <c r="H1094">
        <v>9508</v>
      </c>
      <c r="I1094" t="str">
        <f t="shared" si="231"/>
        <v>3</v>
      </c>
      <c r="J1094" t="str">
        <f t="shared" si="232"/>
        <v>cd&amp;v</v>
      </c>
      <c r="K1094">
        <v>15245</v>
      </c>
      <c r="L1094">
        <v>31882</v>
      </c>
      <c r="M1094">
        <v>47127</v>
      </c>
      <c r="N1094">
        <v>3</v>
      </c>
      <c r="O1094" t="str">
        <f>("9")</f>
        <v>9</v>
      </c>
      <c r="P1094" t="str">
        <f>("Van denstorme Gert")</f>
        <v>Van denstorme Gert</v>
      </c>
      <c r="Q1094">
        <v>1845</v>
      </c>
      <c r="S1094">
        <v>12</v>
      </c>
    </row>
    <row r="1095" spans="1:19" x14ac:dyDescent="0.3">
      <c r="A1095" t="s">
        <v>0</v>
      </c>
      <c r="B1095" s="1">
        <v>45578</v>
      </c>
      <c r="C1095" t="str">
        <f t="shared" si="230"/>
        <v>24062</v>
      </c>
      <c r="D1095" t="s">
        <v>10</v>
      </c>
      <c r="E1095" t="str">
        <f t="shared" si="227"/>
        <v>16</v>
      </c>
      <c r="F1095">
        <v>385550</v>
      </c>
      <c r="G1095">
        <v>254659</v>
      </c>
      <c r="H1095">
        <v>9508</v>
      </c>
      <c r="I1095" t="str">
        <f t="shared" si="231"/>
        <v>3</v>
      </c>
      <c r="J1095" t="str">
        <f t="shared" si="232"/>
        <v>cd&amp;v</v>
      </c>
      <c r="K1095">
        <v>15245</v>
      </c>
      <c r="L1095">
        <v>31882</v>
      </c>
      <c r="M1095">
        <v>47127</v>
      </c>
      <c r="N1095">
        <v>3</v>
      </c>
      <c r="O1095" t="str">
        <f>("10")</f>
        <v>10</v>
      </c>
      <c r="P1095" t="str">
        <f>("Van Horebeek Dries")</f>
        <v>Van Horebeek Dries</v>
      </c>
      <c r="Q1095">
        <v>2512</v>
      </c>
      <c r="S1095">
        <v>8</v>
      </c>
    </row>
    <row r="1096" spans="1:19" x14ac:dyDescent="0.3">
      <c r="A1096" t="s">
        <v>0</v>
      </c>
      <c r="B1096" s="1">
        <v>45578</v>
      </c>
      <c r="C1096" t="str">
        <f t="shared" si="230"/>
        <v>24062</v>
      </c>
      <c r="D1096" t="s">
        <v>10</v>
      </c>
      <c r="E1096" t="str">
        <f t="shared" si="227"/>
        <v>16</v>
      </c>
      <c r="F1096">
        <v>385550</v>
      </c>
      <c r="G1096">
        <v>254659</v>
      </c>
      <c r="H1096">
        <v>9508</v>
      </c>
      <c r="I1096" t="str">
        <f t="shared" si="231"/>
        <v>3</v>
      </c>
      <c r="J1096" t="str">
        <f t="shared" si="232"/>
        <v>cd&amp;v</v>
      </c>
      <c r="K1096">
        <v>15245</v>
      </c>
      <c r="L1096">
        <v>31882</v>
      </c>
      <c r="M1096">
        <v>47127</v>
      </c>
      <c r="N1096">
        <v>3</v>
      </c>
      <c r="O1096" t="str">
        <f>("11")</f>
        <v>11</v>
      </c>
      <c r="P1096" t="str">
        <f>("Degol Lotte")</f>
        <v>Degol Lotte</v>
      </c>
      <c r="Q1096">
        <v>2785</v>
      </c>
      <c r="S1096">
        <v>7</v>
      </c>
    </row>
    <row r="1097" spans="1:19" x14ac:dyDescent="0.3">
      <c r="A1097" t="s">
        <v>0</v>
      </c>
      <c r="B1097" s="1">
        <v>45578</v>
      </c>
      <c r="C1097" t="str">
        <f t="shared" si="230"/>
        <v>24062</v>
      </c>
      <c r="D1097" t="s">
        <v>10</v>
      </c>
      <c r="E1097" t="str">
        <f t="shared" si="227"/>
        <v>16</v>
      </c>
      <c r="F1097">
        <v>385550</v>
      </c>
      <c r="G1097">
        <v>254659</v>
      </c>
      <c r="H1097">
        <v>9508</v>
      </c>
      <c r="I1097" t="str">
        <f t="shared" si="231"/>
        <v>3</v>
      </c>
      <c r="J1097" t="str">
        <f t="shared" si="232"/>
        <v>cd&amp;v</v>
      </c>
      <c r="K1097">
        <v>15245</v>
      </c>
      <c r="L1097">
        <v>31882</v>
      </c>
      <c r="M1097">
        <v>47127</v>
      </c>
      <c r="N1097">
        <v>3</v>
      </c>
      <c r="O1097" t="str">
        <f>("12")</f>
        <v>12</v>
      </c>
      <c r="P1097" t="str">
        <f>("Hamels Michiel")</f>
        <v>Hamels Michiel</v>
      </c>
      <c r="Q1097">
        <v>1812</v>
      </c>
      <c r="S1097">
        <v>13</v>
      </c>
    </row>
    <row r="1098" spans="1:19" x14ac:dyDescent="0.3">
      <c r="A1098" t="s">
        <v>0</v>
      </c>
      <c r="B1098" s="1">
        <v>45578</v>
      </c>
      <c r="C1098" t="str">
        <f t="shared" si="230"/>
        <v>24062</v>
      </c>
      <c r="D1098" t="s">
        <v>10</v>
      </c>
      <c r="E1098" t="str">
        <f t="shared" si="227"/>
        <v>16</v>
      </c>
      <c r="F1098">
        <v>385550</v>
      </c>
      <c r="G1098">
        <v>254659</v>
      </c>
      <c r="H1098">
        <v>9508</v>
      </c>
      <c r="I1098" t="str">
        <f t="shared" si="231"/>
        <v>3</v>
      </c>
      <c r="J1098" t="str">
        <f t="shared" si="232"/>
        <v>cd&amp;v</v>
      </c>
      <c r="K1098">
        <v>15245</v>
      </c>
      <c r="L1098">
        <v>31882</v>
      </c>
      <c r="M1098">
        <v>47127</v>
      </c>
      <c r="N1098">
        <v>3</v>
      </c>
      <c r="O1098" t="str">
        <f>("13")</f>
        <v>13</v>
      </c>
      <c r="P1098" t="str">
        <f>("Goeminne Kristien")</f>
        <v>Goeminne Kristien</v>
      </c>
      <c r="Q1098">
        <v>2809</v>
      </c>
      <c r="S1098">
        <v>6</v>
      </c>
    </row>
    <row r="1099" spans="1:19" x14ac:dyDescent="0.3">
      <c r="A1099" t="s">
        <v>0</v>
      </c>
      <c r="B1099" s="1">
        <v>45578</v>
      </c>
      <c r="C1099" t="str">
        <f t="shared" si="230"/>
        <v>24062</v>
      </c>
      <c r="D1099" t="s">
        <v>10</v>
      </c>
      <c r="E1099" t="str">
        <f t="shared" si="227"/>
        <v>16</v>
      </c>
      <c r="F1099">
        <v>385550</v>
      </c>
      <c r="G1099">
        <v>254659</v>
      </c>
      <c r="H1099">
        <v>9508</v>
      </c>
      <c r="I1099" t="str">
        <f t="shared" si="231"/>
        <v>3</v>
      </c>
      <c r="J1099" t="str">
        <f t="shared" si="232"/>
        <v>cd&amp;v</v>
      </c>
      <c r="K1099">
        <v>15245</v>
      </c>
      <c r="L1099">
        <v>31882</v>
      </c>
      <c r="M1099">
        <v>47127</v>
      </c>
      <c r="N1099">
        <v>3</v>
      </c>
      <c r="O1099" t="str">
        <f>("14")</f>
        <v>14</v>
      </c>
      <c r="P1099" t="str">
        <f>("Bamutese Marie")</f>
        <v>Bamutese Marie</v>
      </c>
      <c r="Q1099">
        <v>2309</v>
      </c>
      <c r="S1099">
        <v>10</v>
      </c>
    </row>
    <row r="1100" spans="1:19" x14ac:dyDescent="0.3">
      <c r="A1100" t="s">
        <v>0</v>
      </c>
      <c r="B1100" s="1">
        <v>45578</v>
      </c>
      <c r="C1100" t="str">
        <f t="shared" si="230"/>
        <v>24062</v>
      </c>
      <c r="D1100" t="s">
        <v>10</v>
      </c>
      <c r="E1100" t="str">
        <f t="shared" si="227"/>
        <v>16</v>
      </c>
      <c r="F1100">
        <v>385550</v>
      </c>
      <c r="G1100">
        <v>254659</v>
      </c>
      <c r="H1100">
        <v>9508</v>
      </c>
      <c r="I1100" t="str">
        <f t="shared" si="231"/>
        <v>3</v>
      </c>
      <c r="J1100" t="str">
        <f t="shared" si="232"/>
        <v>cd&amp;v</v>
      </c>
      <c r="K1100">
        <v>15245</v>
      </c>
      <c r="L1100">
        <v>31882</v>
      </c>
      <c r="M1100">
        <v>47127</v>
      </c>
      <c r="N1100">
        <v>3</v>
      </c>
      <c r="O1100" t="str">
        <f>("15")</f>
        <v>15</v>
      </c>
      <c r="P1100" t="str">
        <f>("Eyskens Kristina")</f>
        <v>Eyskens Kristina</v>
      </c>
      <c r="Q1100">
        <v>4290</v>
      </c>
      <c r="S1100">
        <v>4</v>
      </c>
    </row>
    <row r="1101" spans="1:19" x14ac:dyDescent="0.3">
      <c r="A1101" t="s">
        <v>0</v>
      </c>
      <c r="B1101" s="1">
        <v>45578</v>
      </c>
      <c r="C1101" t="str">
        <f t="shared" si="230"/>
        <v>24062</v>
      </c>
      <c r="D1101" t="s">
        <v>10</v>
      </c>
      <c r="E1101" t="str">
        <f t="shared" si="227"/>
        <v>16</v>
      </c>
      <c r="F1101">
        <v>385550</v>
      </c>
      <c r="G1101">
        <v>254659</v>
      </c>
      <c r="H1101">
        <v>9508</v>
      </c>
      <c r="I1101" t="str">
        <f t="shared" si="231"/>
        <v>3</v>
      </c>
      <c r="J1101" t="str">
        <f t="shared" si="232"/>
        <v>cd&amp;v</v>
      </c>
      <c r="K1101">
        <v>15245</v>
      </c>
      <c r="L1101">
        <v>31882</v>
      </c>
      <c r="M1101">
        <v>47127</v>
      </c>
      <c r="N1101">
        <v>3</v>
      </c>
      <c r="O1101" t="str">
        <f>("16")</f>
        <v>16</v>
      </c>
      <c r="P1101" t="str">
        <f>("Geens Koen")</f>
        <v>Geens Koen</v>
      </c>
      <c r="Q1101">
        <v>11372</v>
      </c>
      <c r="R1101">
        <v>2</v>
      </c>
    </row>
    <row r="1102" spans="1:19" x14ac:dyDescent="0.3">
      <c r="A1102" t="s">
        <v>0</v>
      </c>
      <c r="B1102" s="1">
        <v>45578</v>
      </c>
      <c r="C1102" t="str">
        <f t="shared" si="230"/>
        <v>24062</v>
      </c>
      <c r="D1102" t="s">
        <v>10</v>
      </c>
      <c r="E1102" t="str">
        <f t="shared" si="227"/>
        <v>16</v>
      </c>
      <c r="F1102">
        <v>385550</v>
      </c>
      <c r="G1102">
        <v>254659</v>
      </c>
      <c r="H1102">
        <v>9508</v>
      </c>
      <c r="I1102" t="str">
        <f t="shared" ref="I1102:I1117" si="233">("4")</f>
        <v>4</v>
      </c>
      <c r="J1102" t="str">
        <f t="shared" ref="J1102:J1117" si="234">("VLAAMS BELANG")</f>
        <v>VLAAMS BELANG</v>
      </c>
      <c r="K1102">
        <v>19049</v>
      </c>
      <c r="L1102">
        <v>12227</v>
      </c>
      <c r="M1102">
        <v>31276</v>
      </c>
      <c r="N1102">
        <v>2</v>
      </c>
      <c r="O1102" t="str">
        <f>("1")</f>
        <v>1</v>
      </c>
      <c r="P1102" t="str">
        <f>("De Vriendt Joris")</f>
        <v>De Vriendt Joris</v>
      </c>
      <c r="Q1102">
        <v>7797</v>
      </c>
      <c r="R1102">
        <v>1</v>
      </c>
    </row>
    <row r="1103" spans="1:19" x14ac:dyDescent="0.3">
      <c r="A1103" t="s">
        <v>0</v>
      </c>
      <c r="B1103" s="1">
        <v>45578</v>
      </c>
      <c r="C1103" t="str">
        <f t="shared" si="230"/>
        <v>24062</v>
      </c>
      <c r="D1103" t="s">
        <v>10</v>
      </c>
      <c r="E1103" t="str">
        <f t="shared" si="227"/>
        <v>16</v>
      </c>
      <c r="F1103">
        <v>385550</v>
      </c>
      <c r="G1103">
        <v>254659</v>
      </c>
      <c r="H1103">
        <v>9508</v>
      </c>
      <c r="I1103" t="str">
        <f t="shared" si="233"/>
        <v>4</v>
      </c>
      <c r="J1103" t="str">
        <f t="shared" si="234"/>
        <v>VLAAMS BELANG</v>
      </c>
      <c r="K1103">
        <v>19049</v>
      </c>
      <c r="L1103">
        <v>12227</v>
      </c>
      <c r="M1103">
        <v>31276</v>
      </c>
      <c r="N1103">
        <v>2</v>
      </c>
      <c r="O1103" t="str">
        <f>("2")</f>
        <v>2</v>
      </c>
      <c r="P1103" t="str">
        <f>("Spiritus Vanessa")</f>
        <v>Spiritus Vanessa</v>
      </c>
      <c r="Q1103">
        <v>3820</v>
      </c>
      <c r="R1103">
        <v>2</v>
      </c>
    </row>
    <row r="1104" spans="1:19" x14ac:dyDescent="0.3">
      <c r="A1104" t="s">
        <v>0</v>
      </c>
      <c r="B1104" s="1">
        <v>45578</v>
      </c>
      <c r="C1104" t="str">
        <f t="shared" si="230"/>
        <v>24062</v>
      </c>
      <c r="D1104" t="s">
        <v>10</v>
      </c>
      <c r="E1104" t="str">
        <f t="shared" si="227"/>
        <v>16</v>
      </c>
      <c r="F1104">
        <v>385550</v>
      </c>
      <c r="G1104">
        <v>254659</v>
      </c>
      <c r="H1104">
        <v>9508</v>
      </c>
      <c r="I1104" t="str">
        <f t="shared" si="233"/>
        <v>4</v>
      </c>
      <c r="J1104" t="str">
        <f t="shared" si="234"/>
        <v>VLAAMS BELANG</v>
      </c>
      <c r="K1104">
        <v>19049</v>
      </c>
      <c r="L1104">
        <v>12227</v>
      </c>
      <c r="M1104">
        <v>31276</v>
      </c>
      <c r="N1104">
        <v>2</v>
      </c>
      <c r="O1104" t="str">
        <f>("3")</f>
        <v>3</v>
      </c>
      <c r="P1104" t="str">
        <f>("De Valck Bart")</f>
        <v>De Valck Bart</v>
      </c>
      <c r="Q1104">
        <v>3132</v>
      </c>
      <c r="S1104">
        <v>4</v>
      </c>
    </row>
    <row r="1105" spans="1:19" x14ac:dyDescent="0.3">
      <c r="A1105" t="s">
        <v>0</v>
      </c>
      <c r="B1105" s="1">
        <v>45578</v>
      </c>
      <c r="C1105" t="str">
        <f t="shared" si="230"/>
        <v>24062</v>
      </c>
      <c r="D1105" t="s">
        <v>10</v>
      </c>
      <c r="E1105" t="str">
        <f t="shared" si="227"/>
        <v>16</v>
      </c>
      <c r="F1105">
        <v>385550</v>
      </c>
      <c r="G1105">
        <v>254659</v>
      </c>
      <c r="H1105">
        <v>9508</v>
      </c>
      <c r="I1105" t="str">
        <f t="shared" si="233"/>
        <v>4</v>
      </c>
      <c r="J1105" t="str">
        <f t="shared" si="234"/>
        <v>VLAAMS BELANG</v>
      </c>
      <c r="K1105">
        <v>19049</v>
      </c>
      <c r="L1105">
        <v>12227</v>
      </c>
      <c r="M1105">
        <v>31276</v>
      </c>
      <c r="N1105">
        <v>2</v>
      </c>
      <c r="O1105" t="str">
        <f>("4")</f>
        <v>4</v>
      </c>
      <c r="P1105" t="str">
        <f>("Vermeiren Katia")</f>
        <v>Vermeiren Katia</v>
      </c>
      <c r="Q1105">
        <v>3197</v>
      </c>
      <c r="S1105">
        <v>3</v>
      </c>
    </row>
    <row r="1106" spans="1:19" x14ac:dyDescent="0.3">
      <c r="A1106" t="s">
        <v>0</v>
      </c>
      <c r="B1106" s="1">
        <v>45578</v>
      </c>
      <c r="C1106" t="str">
        <f t="shared" si="230"/>
        <v>24062</v>
      </c>
      <c r="D1106" t="s">
        <v>10</v>
      </c>
      <c r="E1106" t="str">
        <f t="shared" si="227"/>
        <v>16</v>
      </c>
      <c r="F1106">
        <v>385550</v>
      </c>
      <c r="G1106">
        <v>254659</v>
      </c>
      <c r="H1106">
        <v>9508</v>
      </c>
      <c r="I1106" t="str">
        <f t="shared" si="233"/>
        <v>4</v>
      </c>
      <c r="J1106" t="str">
        <f t="shared" si="234"/>
        <v>VLAAMS BELANG</v>
      </c>
      <c r="K1106">
        <v>19049</v>
      </c>
      <c r="L1106">
        <v>12227</v>
      </c>
      <c r="M1106">
        <v>31276</v>
      </c>
      <c r="N1106">
        <v>2</v>
      </c>
      <c r="O1106" t="str">
        <f>("5")</f>
        <v>5</v>
      </c>
      <c r="P1106" t="str">
        <f>("Vanluyten Daniel")</f>
        <v>Vanluyten Daniel</v>
      </c>
      <c r="Q1106">
        <v>3198</v>
      </c>
      <c r="S1106">
        <v>2</v>
      </c>
    </row>
    <row r="1107" spans="1:19" x14ac:dyDescent="0.3">
      <c r="A1107" t="s">
        <v>0</v>
      </c>
      <c r="B1107" s="1">
        <v>45578</v>
      </c>
      <c r="C1107" t="str">
        <f t="shared" si="230"/>
        <v>24062</v>
      </c>
      <c r="D1107" t="s">
        <v>10</v>
      </c>
      <c r="E1107" t="str">
        <f t="shared" si="227"/>
        <v>16</v>
      </c>
      <c r="F1107">
        <v>385550</v>
      </c>
      <c r="G1107">
        <v>254659</v>
      </c>
      <c r="H1107">
        <v>9508</v>
      </c>
      <c r="I1107" t="str">
        <f t="shared" si="233"/>
        <v>4</v>
      </c>
      <c r="J1107" t="str">
        <f t="shared" si="234"/>
        <v>VLAAMS BELANG</v>
      </c>
      <c r="K1107">
        <v>19049</v>
      </c>
      <c r="L1107">
        <v>12227</v>
      </c>
      <c r="M1107">
        <v>31276</v>
      </c>
      <c r="N1107">
        <v>2</v>
      </c>
      <c r="O1107" t="str">
        <f>("6")</f>
        <v>6</v>
      </c>
      <c r="P1107" t="str">
        <f>("Peeters Jordi")</f>
        <v>Peeters Jordi</v>
      </c>
      <c r="Q1107">
        <v>2660</v>
      </c>
      <c r="S1107">
        <v>7</v>
      </c>
    </row>
    <row r="1108" spans="1:19" x14ac:dyDescent="0.3">
      <c r="A1108" t="s">
        <v>0</v>
      </c>
      <c r="B1108" s="1">
        <v>45578</v>
      </c>
      <c r="C1108" t="str">
        <f t="shared" si="230"/>
        <v>24062</v>
      </c>
      <c r="D1108" t="s">
        <v>10</v>
      </c>
      <c r="E1108" t="str">
        <f t="shared" si="227"/>
        <v>16</v>
      </c>
      <c r="F1108">
        <v>385550</v>
      </c>
      <c r="G1108">
        <v>254659</v>
      </c>
      <c r="H1108">
        <v>9508</v>
      </c>
      <c r="I1108" t="str">
        <f t="shared" si="233"/>
        <v>4</v>
      </c>
      <c r="J1108" t="str">
        <f t="shared" si="234"/>
        <v>VLAAMS BELANG</v>
      </c>
      <c r="K1108">
        <v>19049</v>
      </c>
      <c r="L1108">
        <v>12227</v>
      </c>
      <c r="M1108">
        <v>31276</v>
      </c>
      <c r="N1108">
        <v>2</v>
      </c>
      <c r="O1108" t="str">
        <f>("7")</f>
        <v>7</v>
      </c>
      <c r="P1108" t="str">
        <f>("Schrijnen Geert")</f>
        <v>Schrijnen Geert</v>
      </c>
      <c r="Q1108">
        <v>2476</v>
      </c>
      <c r="S1108">
        <v>9</v>
      </c>
    </row>
    <row r="1109" spans="1:19" x14ac:dyDescent="0.3">
      <c r="A1109" t="s">
        <v>0</v>
      </c>
      <c r="B1109" s="1">
        <v>45578</v>
      </c>
      <c r="C1109" t="str">
        <f t="shared" si="230"/>
        <v>24062</v>
      </c>
      <c r="D1109" t="s">
        <v>10</v>
      </c>
      <c r="E1109" t="str">
        <f t="shared" si="227"/>
        <v>16</v>
      </c>
      <c r="F1109">
        <v>385550</v>
      </c>
      <c r="G1109">
        <v>254659</v>
      </c>
      <c r="H1109">
        <v>9508</v>
      </c>
      <c r="I1109" t="str">
        <f t="shared" si="233"/>
        <v>4</v>
      </c>
      <c r="J1109" t="str">
        <f t="shared" si="234"/>
        <v>VLAAMS BELANG</v>
      </c>
      <c r="K1109">
        <v>19049</v>
      </c>
      <c r="L1109">
        <v>12227</v>
      </c>
      <c r="M1109">
        <v>31276</v>
      </c>
      <c r="N1109">
        <v>2</v>
      </c>
      <c r="O1109" t="str">
        <f>("8")</f>
        <v>8</v>
      </c>
      <c r="P1109" t="str">
        <f>("Vendelbos Sandra")</f>
        <v>Vendelbos Sandra</v>
      </c>
      <c r="Q1109">
        <v>2662</v>
      </c>
      <c r="S1109">
        <v>6</v>
      </c>
    </row>
    <row r="1110" spans="1:19" x14ac:dyDescent="0.3">
      <c r="A1110" t="s">
        <v>0</v>
      </c>
      <c r="B1110" s="1">
        <v>45578</v>
      </c>
      <c r="C1110" t="str">
        <f t="shared" si="230"/>
        <v>24062</v>
      </c>
      <c r="D1110" t="s">
        <v>10</v>
      </c>
      <c r="E1110" t="str">
        <f t="shared" si="227"/>
        <v>16</v>
      </c>
      <c r="F1110">
        <v>385550</v>
      </c>
      <c r="G1110">
        <v>254659</v>
      </c>
      <c r="H1110">
        <v>9508</v>
      </c>
      <c r="I1110" t="str">
        <f t="shared" si="233"/>
        <v>4</v>
      </c>
      <c r="J1110" t="str">
        <f t="shared" si="234"/>
        <v>VLAAMS BELANG</v>
      </c>
      <c r="K1110">
        <v>19049</v>
      </c>
      <c r="L1110">
        <v>12227</v>
      </c>
      <c r="M1110">
        <v>31276</v>
      </c>
      <c r="N1110">
        <v>2</v>
      </c>
      <c r="O1110" t="str">
        <f>("9")</f>
        <v>9</v>
      </c>
      <c r="P1110" t="str">
        <f>("Hoornaert Joke")</f>
        <v>Hoornaert Joke</v>
      </c>
      <c r="Q1110">
        <v>2614</v>
      </c>
      <c r="S1110">
        <v>8</v>
      </c>
    </row>
    <row r="1111" spans="1:19" x14ac:dyDescent="0.3">
      <c r="A1111" t="s">
        <v>0</v>
      </c>
      <c r="B1111" s="1">
        <v>45578</v>
      </c>
      <c r="C1111" t="str">
        <f t="shared" si="230"/>
        <v>24062</v>
      </c>
      <c r="D1111" t="s">
        <v>10</v>
      </c>
      <c r="E1111" t="str">
        <f t="shared" si="227"/>
        <v>16</v>
      </c>
      <c r="F1111">
        <v>385550</v>
      </c>
      <c r="G1111">
        <v>254659</v>
      </c>
      <c r="H1111">
        <v>9508</v>
      </c>
      <c r="I1111" t="str">
        <f t="shared" si="233"/>
        <v>4</v>
      </c>
      <c r="J1111" t="str">
        <f t="shared" si="234"/>
        <v>VLAAMS BELANG</v>
      </c>
      <c r="K1111">
        <v>19049</v>
      </c>
      <c r="L1111">
        <v>12227</v>
      </c>
      <c r="M1111">
        <v>31276</v>
      </c>
      <c r="N1111">
        <v>2</v>
      </c>
      <c r="O1111" t="str">
        <f>("10")</f>
        <v>10</v>
      </c>
      <c r="P1111" t="str">
        <f>("Weenen Sven")</f>
        <v>Weenen Sven</v>
      </c>
      <c r="Q1111">
        <v>2385</v>
      </c>
      <c r="S1111">
        <v>11</v>
      </c>
    </row>
    <row r="1112" spans="1:19" x14ac:dyDescent="0.3">
      <c r="A1112" t="s">
        <v>0</v>
      </c>
      <c r="B1112" s="1">
        <v>45578</v>
      </c>
      <c r="C1112" t="str">
        <f t="shared" si="230"/>
        <v>24062</v>
      </c>
      <c r="D1112" t="s">
        <v>10</v>
      </c>
      <c r="E1112" t="str">
        <f t="shared" si="227"/>
        <v>16</v>
      </c>
      <c r="F1112">
        <v>385550</v>
      </c>
      <c r="G1112">
        <v>254659</v>
      </c>
      <c r="H1112">
        <v>9508</v>
      </c>
      <c r="I1112" t="str">
        <f t="shared" si="233"/>
        <v>4</v>
      </c>
      <c r="J1112" t="str">
        <f t="shared" si="234"/>
        <v>VLAAMS BELANG</v>
      </c>
      <c r="K1112">
        <v>19049</v>
      </c>
      <c r="L1112">
        <v>12227</v>
      </c>
      <c r="M1112">
        <v>31276</v>
      </c>
      <c r="N1112">
        <v>2</v>
      </c>
      <c r="O1112" t="str">
        <f>("11")</f>
        <v>11</v>
      </c>
      <c r="P1112" t="str">
        <f>("Cleiren Joris")</f>
        <v>Cleiren Joris</v>
      </c>
      <c r="Q1112">
        <v>2304</v>
      </c>
      <c r="S1112">
        <v>14</v>
      </c>
    </row>
    <row r="1113" spans="1:19" x14ac:dyDescent="0.3">
      <c r="A1113" t="s">
        <v>0</v>
      </c>
      <c r="B1113" s="1">
        <v>45578</v>
      </c>
      <c r="C1113" t="str">
        <f t="shared" si="230"/>
        <v>24062</v>
      </c>
      <c r="D1113" t="s">
        <v>10</v>
      </c>
      <c r="E1113" t="str">
        <f t="shared" si="227"/>
        <v>16</v>
      </c>
      <c r="F1113">
        <v>385550</v>
      </c>
      <c r="G1113">
        <v>254659</v>
      </c>
      <c r="H1113">
        <v>9508</v>
      </c>
      <c r="I1113" t="str">
        <f t="shared" si="233"/>
        <v>4</v>
      </c>
      <c r="J1113" t="str">
        <f t="shared" si="234"/>
        <v>VLAAMS BELANG</v>
      </c>
      <c r="K1113">
        <v>19049</v>
      </c>
      <c r="L1113">
        <v>12227</v>
      </c>
      <c r="M1113">
        <v>31276</v>
      </c>
      <c r="N1113">
        <v>2</v>
      </c>
      <c r="O1113" t="str">
        <f>("12")</f>
        <v>12</v>
      </c>
      <c r="P1113" t="str">
        <f>("Stalna Tatiana")</f>
        <v>Stalna Tatiana</v>
      </c>
      <c r="Q1113">
        <v>2463</v>
      </c>
      <c r="S1113">
        <v>10</v>
      </c>
    </row>
    <row r="1114" spans="1:19" x14ac:dyDescent="0.3">
      <c r="A1114" t="s">
        <v>0</v>
      </c>
      <c r="B1114" s="1">
        <v>45578</v>
      </c>
      <c r="C1114" t="str">
        <f t="shared" si="230"/>
        <v>24062</v>
      </c>
      <c r="D1114" t="s">
        <v>10</v>
      </c>
      <c r="E1114" t="str">
        <f t="shared" si="227"/>
        <v>16</v>
      </c>
      <c r="F1114">
        <v>385550</v>
      </c>
      <c r="G1114">
        <v>254659</v>
      </c>
      <c r="H1114">
        <v>9508</v>
      </c>
      <c r="I1114" t="str">
        <f t="shared" si="233"/>
        <v>4</v>
      </c>
      <c r="J1114" t="str">
        <f t="shared" si="234"/>
        <v>VLAAMS BELANG</v>
      </c>
      <c r="K1114">
        <v>19049</v>
      </c>
      <c r="L1114">
        <v>12227</v>
      </c>
      <c r="M1114">
        <v>31276</v>
      </c>
      <c r="N1114">
        <v>2</v>
      </c>
      <c r="O1114" t="str">
        <f>("13")</f>
        <v>13</v>
      </c>
      <c r="P1114" t="str">
        <f>("Verryt Jean")</f>
        <v>Verryt Jean</v>
      </c>
      <c r="Q1114">
        <v>2375</v>
      </c>
      <c r="S1114">
        <v>12</v>
      </c>
    </row>
    <row r="1115" spans="1:19" x14ac:dyDescent="0.3">
      <c r="A1115" t="s">
        <v>0</v>
      </c>
      <c r="B1115" s="1">
        <v>45578</v>
      </c>
      <c r="C1115" t="str">
        <f t="shared" si="230"/>
        <v>24062</v>
      </c>
      <c r="D1115" t="s">
        <v>10</v>
      </c>
      <c r="E1115" t="str">
        <f t="shared" si="227"/>
        <v>16</v>
      </c>
      <c r="F1115">
        <v>385550</v>
      </c>
      <c r="G1115">
        <v>254659</v>
      </c>
      <c r="H1115">
        <v>9508</v>
      </c>
      <c r="I1115" t="str">
        <f t="shared" si="233"/>
        <v>4</v>
      </c>
      <c r="J1115" t="str">
        <f t="shared" si="234"/>
        <v>VLAAMS BELANG</v>
      </c>
      <c r="K1115">
        <v>19049</v>
      </c>
      <c r="L1115">
        <v>12227</v>
      </c>
      <c r="M1115">
        <v>31276</v>
      </c>
      <c r="N1115">
        <v>2</v>
      </c>
      <c r="O1115" t="str">
        <f>("14")</f>
        <v>14</v>
      </c>
      <c r="P1115" t="str">
        <f>("Bubier Mandy")</f>
        <v>Bubier Mandy</v>
      </c>
      <c r="Q1115">
        <v>2336</v>
      </c>
      <c r="S1115">
        <v>13</v>
      </c>
    </row>
    <row r="1116" spans="1:19" x14ac:dyDescent="0.3">
      <c r="A1116" t="s">
        <v>0</v>
      </c>
      <c r="B1116" s="1">
        <v>45578</v>
      </c>
      <c r="C1116" t="str">
        <f t="shared" si="230"/>
        <v>24062</v>
      </c>
      <c r="D1116" t="s">
        <v>10</v>
      </c>
      <c r="E1116" t="str">
        <f t="shared" si="227"/>
        <v>16</v>
      </c>
      <c r="F1116">
        <v>385550</v>
      </c>
      <c r="G1116">
        <v>254659</v>
      </c>
      <c r="H1116">
        <v>9508</v>
      </c>
      <c r="I1116" t="str">
        <f t="shared" si="233"/>
        <v>4</v>
      </c>
      <c r="J1116" t="str">
        <f t="shared" si="234"/>
        <v>VLAAMS BELANG</v>
      </c>
      <c r="K1116">
        <v>19049</v>
      </c>
      <c r="L1116">
        <v>12227</v>
      </c>
      <c r="M1116">
        <v>31276</v>
      </c>
      <c r="N1116">
        <v>2</v>
      </c>
      <c r="O1116" t="str">
        <f>("15")</f>
        <v>15</v>
      </c>
      <c r="P1116" t="str">
        <f>("Merckx Heidi")</f>
        <v>Merckx Heidi</v>
      </c>
      <c r="Q1116">
        <v>2738</v>
      </c>
      <c r="S1116">
        <v>5</v>
      </c>
    </row>
    <row r="1117" spans="1:19" x14ac:dyDescent="0.3">
      <c r="A1117" t="s">
        <v>0</v>
      </c>
      <c r="B1117" s="1">
        <v>45578</v>
      </c>
      <c r="C1117" t="str">
        <f t="shared" si="230"/>
        <v>24062</v>
      </c>
      <c r="D1117" t="s">
        <v>10</v>
      </c>
      <c r="E1117" t="str">
        <f t="shared" si="227"/>
        <v>16</v>
      </c>
      <c r="F1117">
        <v>385550</v>
      </c>
      <c r="G1117">
        <v>254659</v>
      </c>
      <c r="H1117">
        <v>9508</v>
      </c>
      <c r="I1117" t="str">
        <f t="shared" si="233"/>
        <v>4</v>
      </c>
      <c r="J1117" t="str">
        <f t="shared" si="234"/>
        <v>VLAAMS BELANG</v>
      </c>
      <c r="K1117">
        <v>19049</v>
      </c>
      <c r="L1117">
        <v>12227</v>
      </c>
      <c r="M1117">
        <v>31276</v>
      </c>
      <c r="N1117">
        <v>2</v>
      </c>
      <c r="O1117" t="str">
        <f>("16")</f>
        <v>16</v>
      </c>
      <c r="P1117" t="str">
        <f>("Huybrechts Britt")</f>
        <v>Huybrechts Britt</v>
      </c>
      <c r="Q1117">
        <v>3684</v>
      </c>
      <c r="S1117">
        <v>1</v>
      </c>
    </row>
    <row r="1118" spans="1:19" x14ac:dyDescent="0.3">
      <c r="A1118" t="s">
        <v>0</v>
      </c>
      <c r="B1118" s="1">
        <v>45578</v>
      </c>
      <c r="C1118" t="str">
        <f t="shared" ref="C1118:C1149" si="235">("24062")</f>
        <v>24062</v>
      </c>
      <c r="D1118" t="s">
        <v>10</v>
      </c>
      <c r="E1118" t="str">
        <f t="shared" si="227"/>
        <v>16</v>
      </c>
      <c r="F1118">
        <v>385550</v>
      </c>
      <c r="G1118">
        <v>254659</v>
      </c>
      <c r="H1118">
        <v>9508</v>
      </c>
      <c r="I1118" t="str">
        <f t="shared" ref="I1118:I1133" si="236">("5")</f>
        <v>5</v>
      </c>
      <c r="J1118" t="str">
        <f t="shared" ref="J1118:J1133" si="237">("N-VA")</f>
        <v>N-VA</v>
      </c>
      <c r="K1118">
        <v>27876</v>
      </c>
      <c r="L1118">
        <v>31381</v>
      </c>
      <c r="M1118">
        <v>59257</v>
      </c>
      <c r="N1118">
        <v>4</v>
      </c>
      <c r="O1118" t="str">
        <f>("1")</f>
        <v>1</v>
      </c>
      <c r="P1118" t="str">
        <f>("Nevens Bart")</f>
        <v>Nevens Bart</v>
      </c>
      <c r="Q1118">
        <v>9656</v>
      </c>
      <c r="R1118">
        <v>2</v>
      </c>
    </row>
    <row r="1119" spans="1:19" x14ac:dyDescent="0.3">
      <c r="A1119" t="s">
        <v>0</v>
      </c>
      <c r="B1119" s="1">
        <v>45578</v>
      </c>
      <c r="C1119" t="str">
        <f t="shared" si="235"/>
        <v>24062</v>
      </c>
      <c r="D1119" t="s">
        <v>10</v>
      </c>
      <c r="E1119" t="str">
        <f t="shared" si="227"/>
        <v>16</v>
      </c>
      <c r="F1119">
        <v>385550</v>
      </c>
      <c r="G1119">
        <v>254659</v>
      </c>
      <c r="H1119">
        <v>9508</v>
      </c>
      <c r="I1119" t="str">
        <f t="shared" si="236"/>
        <v>5</v>
      </c>
      <c r="J1119" t="str">
        <f t="shared" si="237"/>
        <v>N-VA</v>
      </c>
      <c r="K1119">
        <v>27876</v>
      </c>
      <c r="L1119">
        <v>31381</v>
      </c>
      <c r="M1119">
        <v>59257</v>
      </c>
      <c r="N1119">
        <v>4</v>
      </c>
      <c r="O1119" t="str">
        <f>("2")</f>
        <v>2</v>
      </c>
      <c r="P1119" t="str">
        <f>("Dewolfs Lucia")</f>
        <v>Dewolfs Lucia</v>
      </c>
      <c r="Q1119">
        <v>5378</v>
      </c>
      <c r="R1119">
        <v>3</v>
      </c>
    </row>
    <row r="1120" spans="1:19" x14ac:dyDescent="0.3">
      <c r="A1120" t="s">
        <v>0</v>
      </c>
      <c r="B1120" s="1">
        <v>45578</v>
      </c>
      <c r="C1120" t="str">
        <f t="shared" si="235"/>
        <v>24062</v>
      </c>
      <c r="D1120" t="s">
        <v>10</v>
      </c>
      <c r="E1120" t="str">
        <f t="shared" si="227"/>
        <v>16</v>
      </c>
      <c r="F1120">
        <v>385550</v>
      </c>
      <c r="G1120">
        <v>254659</v>
      </c>
      <c r="H1120">
        <v>9508</v>
      </c>
      <c r="I1120" t="str">
        <f t="shared" si="236"/>
        <v>5</v>
      </c>
      <c r="J1120" t="str">
        <f t="shared" si="237"/>
        <v>N-VA</v>
      </c>
      <c r="K1120">
        <v>27876</v>
      </c>
      <c r="L1120">
        <v>31381</v>
      </c>
      <c r="M1120">
        <v>59257</v>
      </c>
      <c r="N1120">
        <v>4</v>
      </c>
      <c r="O1120" t="str">
        <f>("3")</f>
        <v>3</v>
      </c>
      <c r="P1120" t="str">
        <f>("Eerlingen Tine")</f>
        <v>Eerlingen Tine</v>
      </c>
      <c r="Q1120">
        <v>5090</v>
      </c>
      <c r="R1120">
        <v>4</v>
      </c>
    </row>
    <row r="1121" spans="1:19" x14ac:dyDescent="0.3">
      <c r="A1121" t="s">
        <v>0</v>
      </c>
      <c r="B1121" s="1">
        <v>45578</v>
      </c>
      <c r="C1121" t="str">
        <f t="shared" si="235"/>
        <v>24062</v>
      </c>
      <c r="D1121" t="s">
        <v>10</v>
      </c>
      <c r="E1121" t="str">
        <f t="shared" si="227"/>
        <v>16</v>
      </c>
      <c r="F1121">
        <v>385550</v>
      </c>
      <c r="G1121">
        <v>254659</v>
      </c>
      <c r="H1121">
        <v>9508</v>
      </c>
      <c r="I1121" t="str">
        <f t="shared" si="236"/>
        <v>5</v>
      </c>
      <c r="J1121" t="str">
        <f t="shared" si="237"/>
        <v>N-VA</v>
      </c>
      <c r="K1121">
        <v>27876</v>
      </c>
      <c r="L1121">
        <v>31381</v>
      </c>
      <c r="M1121">
        <v>59257</v>
      </c>
      <c r="N1121">
        <v>4</v>
      </c>
      <c r="O1121" t="str">
        <f>("4")</f>
        <v>4</v>
      </c>
      <c r="P1121" t="str">
        <f>("De Canck Raf")</f>
        <v>De Canck Raf</v>
      </c>
      <c r="Q1121">
        <v>3401</v>
      </c>
      <c r="S1121">
        <v>4</v>
      </c>
    </row>
    <row r="1122" spans="1:19" x14ac:dyDescent="0.3">
      <c r="A1122" t="s">
        <v>0</v>
      </c>
      <c r="B1122" s="1">
        <v>45578</v>
      </c>
      <c r="C1122" t="str">
        <f t="shared" si="235"/>
        <v>24062</v>
      </c>
      <c r="D1122" t="s">
        <v>10</v>
      </c>
      <c r="E1122" t="str">
        <f t="shared" si="227"/>
        <v>16</v>
      </c>
      <c r="F1122">
        <v>385550</v>
      </c>
      <c r="G1122">
        <v>254659</v>
      </c>
      <c r="H1122">
        <v>9508</v>
      </c>
      <c r="I1122" t="str">
        <f t="shared" si="236"/>
        <v>5</v>
      </c>
      <c r="J1122" t="str">
        <f t="shared" si="237"/>
        <v>N-VA</v>
      </c>
      <c r="K1122">
        <v>27876</v>
      </c>
      <c r="L1122">
        <v>31381</v>
      </c>
      <c r="M1122">
        <v>59257</v>
      </c>
      <c r="N1122">
        <v>4</v>
      </c>
      <c r="O1122" t="str">
        <f>("5")</f>
        <v>5</v>
      </c>
      <c r="P1122" t="str">
        <f>("Van Hollebeke Maud")</f>
        <v>Van Hollebeke Maud</v>
      </c>
      <c r="Q1122">
        <v>3785</v>
      </c>
      <c r="S1122">
        <v>1</v>
      </c>
    </row>
    <row r="1123" spans="1:19" x14ac:dyDescent="0.3">
      <c r="A1123" t="s">
        <v>0</v>
      </c>
      <c r="B1123" s="1">
        <v>45578</v>
      </c>
      <c r="C1123" t="str">
        <f t="shared" si="235"/>
        <v>24062</v>
      </c>
      <c r="D1123" t="s">
        <v>10</v>
      </c>
      <c r="E1123" t="str">
        <f t="shared" si="227"/>
        <v>16</v>
      </c>
      <c r="F1123">
        <v>385550</v>
      </c>
      <c r="G1123">
        <v>254659</v>
      </c>
      <c r="H1123">
        <v>9508</v>
      </c>
      <c r="I1123" t="str">
        <f t="shared" si="236"/>
        <v>5</v>
      </c>
      <c r="J1123" t="str">
        <f t="shared" si="237"/>
        <v>N-VA</v>
      </c>
      <c r="K1123">
        <v>27876</v>
      </c>
      <c r="L1123">
        <v>31381</v>
      </c>
      <c r="M1123">
        <v>59257</v>
      </c>
      <c r="N1123">
        <v>4</v>
      </c>
      <c r="O1123" t="str">
        <f>("6")</f>
        <v>6</v>
      </c>
      <c r="P1123" t="str">
        <f>("Kaspers Hilde")</f>
        <v>Kaspers Hilde</v>
      </c>
      <c r="Q1123">
        <v>3690</v>
      </c>
      <c r="S1123">
        <v>2</v>
      </c>
    </row>
    <row r="1124" spans="1:19" x14ac:dyDescent="0.3">
      <c r="A1124" t="s">
        <v>0</v>
      </c>
      <c r="B1124" s="1">
        <v>45578</v>
      </c>
      <c r="C1124" t="str">
        <f t="shared" si="235"/>
        <v>24062</v>
      </c>
      <c r="D1124" t="s">
        <v>10</v>
      </c>
      <c r="E1124" t="str">
        <f t="shared" si="227"/>
        <v>16</v>
      </c>
      <c r="F1124">
        <v>385550</v>
      </c>
      <c r="G1124">
        <v>254659</v>
      </c>
      <c r="H1124">
        <v>9508</v>
      </c>
      <c r="I1124" t="str">
        <f t="shared" si="236"/>
        <v>5</v>
      </c>
      <c r="J1124" t="str">
        <f t="shared" si="237"/>
        <v>N-VA</v>
      </c>
      <c r="K1124">
        <v>27876</v>
      </c>
      <c r="L1124">
        <v>31381</v>
      </c>
      <c r="M1124">
        <v>59257</v>
      </c>
      <c r="N1124">
        <v>4</v>
      </c>
      <c r="O1124" t="str">
        <f>("7")</f>
        <v>7</v>
      </c>
      <c r="P1124" t="str">
        <f>("Gering Torben")</f>
        <v>Gering Torben</v>
      </c>
      <c r="Q1124">
        <v>2692</v>
      </c>
      <c r="S1124">
        <v>8</v>
      </c>
    </row>
    <row r="1125" spans="1:19" x14ac:dyDescent="0.3">
      <c r="A1125" t="s">
        <v>0</v>
      </c>
      <c r="B1125" s="1">
        <v>45578</v>
      </c>
      <c r="C1125" t="str">
        <f t="shared" si="235"/>
        <v>24062</v>
      </c>
      <c r="D1125" t="s">
        <v>10</v>
      </c>
      <c r="E1125" t="str">
        <f t="shared" si="227"/>
        <v>16</v>
      </c>
      <c r="F1125">
        <v>385550</v>
      </c>
      <c r="G1125">
        <v>254659</v>
      </c>
      <c r="H1125">
        <v>9508</v>
      </c>
      <c r="I1125" t="str">
        <f t="shared" si="236"/>
        <v>5</v>
      </c>
      <c r="J1125" t="str">
        <f t="shared" si="237"/>
        <v>N-VA</v>
      </c>
      <c r="K1125">
        <v>27876</v>
      </c>
      <c r="L1125">
        <v>31381</v>
      </c>
      <c r="M1125">
        <v>59257</v>
      </c>
      <c r="N1125">
        <v>4</v>
      </c>
      <c r="O1125" t="str">
        <f>("8")</f>
        <v>8</v>
      </c>
      <c r="P1125" t="str">
        <f>("Knapen Magaly")</f>
        <v>Knapen Magaly</v>
      </c>
      <c r="Q1125">
        <v>3372</v>
      </c>
      <c r="S1125">
        <v>5</v>
      </c>
    </row>
    <row r="1126" spans="1:19" x14ac:dyDescent="0.3">
      <c r="A1126" t="s">
        <v>0</v>
      </c>
      <c r="B1126" s="1">
        <v>45578</v>
      </c>
      <c r="C1126" t="str">
        <f t="shared" si="235"/>
        <v>24062</v>
      </c>
      <c r="D1126" t="s">
        <v>10</v>
      </c>
      <c r="E1126" t="str">
        <f t="shared" si="227"/>
        <v>16</v>
      </c>
      <c r="F1126">
        <v>385550</v>
      </c>
      <c r="G1126">
        <v>254659</v>
      </c>
      <c r="H1126">
        <v>9508</v>
      </c>
      <c r="I1126" t="str">
        <f t="shared" si="236"/>
        <v>5</v>
      </c>
      <c r="J1126" t="str">
        <f t="shared" si="237"/>
        <v>N-VA</v>
      </c>
      <c r="K1126">
        <v>27876</v>
      </c>
      <c r="L1126">
        <v>31381</v>
      </c>
      <c r="M1126">
        <v>59257</v>
      </c>
      <c r="N1126">
        <v>4</v>
      </c>
      <c r="O1126" t="str">
        <f>("9")</f>
        <v>9</v>
      </c>
      <c r="P1126" t="str">
        <f>("Pierards Lowie")</f>
        <v>Pierards Lowie</v>
      </c>
      <c r="Q1126">
        <v>2604</v>
      </c>
      <c r="S1126">
        <v>9</v>
      </c>
    </row>
    <row r="1127" spans="1:19" x14ac:dyDescent="0.3">
      <c r="A1127" t="s">
        <v>0</v>
      </c>
      <c r="B1127" s="1">
        <v>45578</v>
      </c>
      <c r="C1127" t="str">
        <f t="shared" si="235"/>
        <v>24062</v>
      </c>
      <c r="D1127" t="s">
        <v>10</v>
      </c>
      <c r="E1127" t="str">
        <f t="shared" si="227"/>
        <v>16</v>
      </c>
      <c r="F1127">
        <v>385550</v>
      </c>
      <c r="G1127">
        <v>254659</v>
      </c>
      <c r="H1127">
        <v>9508</v>
      </c>
      <c r="I1127" t="str">
        <f t="shared" si="236"/>
        <v>5</v>
      </c>
      <c r="J1127" t="str">
        <f t="shared" si="237"/>
        <v>N-VA</v>
      </c>
      <c r="K1127">
        <v>27876</v>
      </c>
      <c r="L1127">
        <v>31381</v>
      </c>
      <c r="M1127">
        <v>59257</v>
      </c>
      <c r="N1127">
        <v>4</v>
      </c>
      <c r="O1127" t="str">
        <f>("10")</f>
        <v>10</v>
      </c>
      <c r="P1127" t="str">
        <f>("Van Hoof Jessy")</f>
        <v>Van Hoof Jessy</v>
      </c>
      <c r="Q1127">
        <v>3352</v>
      </c>
      <c r="S1127">
        <v>6</v>
      </c>
    </row>
    <row r="1128" spans="1:19" x14ac:dyDescent="0.3">
      <c r="A1128" t="s">
        <v>0</v>
      </c>
      <c r="B1128" s="1">
        <v>45578</v>
      </c>
      <c r="C1128" t="str">
        <f t="shared" si="235"/>
        <v>24062</v>
      </c>
      <c r="D1128" t="s">
        <v>10</v>
      </c>
      <c r="E1128" t="str">
        <f t="shared" si="227"/>
        <v>16</v>
      </c>
      <c r="F1128">
        <v>385550</v>
      </c>
      <c r="G1128">
        <v>254659</v>
      </c>
      <c r="H1128">
        <v>9508</v>
      </c>
      <c r="I1128" t="str">
        <f t="shared" si="236"/>
        <v>5</v>
      </c>
      <c r="J1128" t="str">
        <f t="shared" si="237"/>
        <v>N-VA</v>
      </c>
      <c r="K1128">
        <v>27876</v>
      </c>
      <c r="L1128">
        <v>31381</v>
      </c>
      <c r="M1128">
        <v>59257</v>
      </c>
      <c r="N1128">
        <v>4</v>
      </c>
      <c r="O1128" t="str">
        <f>("11")</f>
        <v>11</v>
      </c>
      <c r="P1128" t="str">
        <f>("Tracy Najdat")</f>
        <v>Tracy Najdat</v>
      </c>
      <c r="Q1128">
        <v>2482</v>
      </c>
      <c r="S1128">
        <v>11</v>
      </c>
    </row>
    <row r="1129" spans="1:19" x14ac:dyDescent="0.3">
      <c r="A1129" t="s">
        <v>0</v>
      </c>
      <c r="B1129" s="1">
        <v>45578</v>
      </c>
      <c r="C1129" t="str">
        <f t="shared" si="235"/>
        <v>24062</v>
      </c>
      <c r="D1129" t="s">
        <v>10</v>
      </c>
      <c r="E1129" t="str">
        <f t="shared" si="227"/>
        <v>16</v>
      </c>
      <c r="F1129">
        <v>385550</v>
      </c>
      <c r="G1129">
        <v>254659</v>
      </c>
      <c r="H1129">
        <v>9508</v>
      </c>
      <c r="I1129" t="str">
        <f t="shared" si="236"/>
        <v>5</v>
      </c>
      <c r="J1129" t="str">
        <f t="shared" si="237"/>
        <v>N-VA</v>
      </c>
      <c r="K1129">
        <v>27876</v>
      </c>
      <c r="L1129">
        <v>31381</v>
      </c>
      <c r="M1129">
        <v>59257</v>
      </c>
      <c r="N1129">
        <v>4</v>
      </c>
      <c r="O1129" t="str">
        <f>("12")</f>
        <v>12</v>
      </c>
      <c r="P1129" t="str">
        <f>("Vanermen Greta")</f>
        <v>Vanermen Greta</v>
      </c>
      <c r="Q1129">
        <v>3072</v>
      </c>
      <c r="S1129">
        <v>7</v>
      </c>
    </row>
    <row r="1130" spans="1:19" x14ac:dyDescent="0.3">
      <c r="A1130" t="s">
        <v>0</v>
      </c>
      <c r="B1130" s="1">
        <v>45578</v>
      </c>
      <c r="C1130" t="str">
        <f t="shared" si="235"/>
        <v>24062</v>
      </c>
      <c r="D1130" t="s">
        <v>10</v>
      </c>
      <c r="E1130" t="str">
        <f t="shared" si="227"/>
        <v>16</v>
      </c>
      <c r="F1130">
        <v>385550</v>
      </c>
      <c r="G1130">
        <v>254659</v>
      </c>
      <c r="H1130">
        <v>9508</v>
      </c>
      <c r="I1130" t="str">
        <f t="shared" si="236"/>
        <v>5</v>
      </c>
      <c r="J1130" t="str">
        <f t="shared" si="237"/>
        <v>N-VA</v>
      </c>
      <c r="K1130">
        <v>27876</v>
      </c>
      <c r="L1130">
        <v>31381</v>
      </c>
      <c r="M1130">
        <v>59257</v>
      </c>
      <c r="N1130">
        <v>4</v>
      </c>
      <c r="O1130" t="str">
        <f>("13")</f>
        <v>13</v>
      </c>
      <c r="P1130" t="str">
        <f>("Hendrickx Eric")</f>
        <v>Hendrickx Eric</v>
      </c>
      <c r="Q1130">
        <v>2421</v>
      </c>
      <c r="S1130">
        <v>12</v>
      </c>
    </row>
    <row r="1131" spans="1:19" x14ac:dyDescent="0.3">
      <c r="A1131" t="s">
        <v>0</v>
      </c>
      <c r="B1131" s="1">
        <v>45578</v>
      </c>
      <c r="C1131" t="str">
        <f t="shared" si="235"/>
        <v>24062</v>
      </c>
      <c r="D1131" t="s">
        <v>10</v>
      </c>
      <c r="E1131" t="str">
        <f t="shared" si="227"/>
        <v>16</v>
      </c>
      <c r="F1131">
        <v>385550</v>
      </c>
      <c r="G1131">
        <v>254659</v>
      </c>
      <c r="H1131">
        <v>9508</v>
      </c>
      <c r="I1131" t="str">
        <f t="shared" si="236"/>
        <v>5</v>
      </c>
      <c r="J1131" t="str">
        <f t="shared" si="237"/>
        <v>N-VA</v>
      </c>
      <c r="K1131">
        <v>27876</v>
      </c>
      <c r="L1131">
        <v>31381</v>
      </c>
      <c r="M1131">
        <v>59257</v>
      </c>
      <c r="N1131">
        <v>4</v>
      </c>
      <c r="O1131" t="str">
        <f>("14")</f>
        <v>14</v>
      </c>
      <c r="P1131" t="str">
        <f>("Smets Carl")</f>
        <v>Smets Carl</v>
      </c>
      <c r="Q1131">
        <v>2540</v>
      </c>
      <c r="S1131">
        <v>10</v>
      </c>
    </row>
    <row r="1132" spans="1:19" x14ac:dyDescent="0.3">
      <c r="A1132" t="s">
        <v>0</v>
      </c>
      <c r="B1132" s="1">
        <v>45578</v>
      </c>
      <c r="C1132" t="str">
        <f t="shared" si="235"/>
        <v>24062</v>
      </c>
      <c r="D1132" t="s">
        <v>10</v>
      </c>
      <c r="E1132" t="str">
        <f t="shared" si="227"/>
        <v>16</v>
      </c>
      <c r="F1132">
        <v>385550</v>
      </c>
      <c r="G1132">
        <v>254659</v>
      </c>
      <c r="H1132">
        <v>9508</v>
      </c>
      <c r="I1132" t="str">
        <f t="shared" si="236"/>
        <v>5</v>
      </c>
      <c r="J1132" t="str">
        <f t="shared" si="237"/>
        <v>N-VA</v>
      </c>
      <c r="K1132">
        <v>27876</v>
      </c>
      <c r="L1132">
        <v>31381</v>
      </c>
      <c r="M1132">
        <v>59257</v>
      </c>
      <c r="N1132">
        <v>4</v>
      </c>
      <c r="O1132" t="str">
        <f>("15")</f>
        <v>15</v>
      </c>
      <c r="P1132" t="str">
        <f>("Kint Lut")</f>
        <v>Kint Lut</v>
      </c>
      <c r="Q1132">
        <v>3463</v>
      </c>
      <c r="S1132">
        <v>3</v>
      </c>
    </row>
    <row r="1133" spans="1:19" x14ac:dyDescent="0.3">
      <c r="A1133" t="s">
        <v>0</v>
      </c>
      <c r="B1133" s="1">
        <v>45578</v>
      </c>
      <c r="C1133" t="str">
        <f t="shared" si="235"/>
        <v>24062</v>
      </c>
      <c r="D1133" t="s">
        <v>10</v>
      </c>
      <c r="E1133" t="str">
        <f t="shared" ref="E1133:E1180" si="238">("16")</f>
        <v>16</v>
      </c>
      <c r="F1133">
        <v>385550</v>
      </c>
      <c r="G1133">
        <v>254659</v>
      </c>
      <c r="H1133">
        <v>9508</v>
      </c>
      <c r="I1133" t="str">
        <f t="shared" si="236"/>
        <v>5</v>
      </c>
      <c r="J1133" t="str">
        <f t="shared" si="237"/>
        <v>N-VA</v>
      </c>
      <c r="K1133">
        <v>27876</v>
      </c>
      <c r="L1133">
        <v>31381</v>
      </c>
      <c r="M1133">
        <v>59257</v>
      </c>
      <c r="N1133">
        <v>4</v>
      </c>
      <c r="O1133" t="str">
        <f>("16")</f>
        <v>16</v>
      </c>
      <c r="P1133" t="str">
        <f>("Francken Theo")</f>
        <v>Francken Theo</v>
      </c>
      <c r="Q1133">
        <v>20063</v>
      </c>
      <c r="R1133">
        <v>1</v>
      </c>
    </row>
    <row r="1134" spans="1:19" x14ac:dyDescent="0.3">
      <c r="A1134" t="s">
        <v>0</v>
      </c>
      <c r="B1134" s="1">
        <v>45578</v>
      </c>
      <c r="C1134" t="str">
        <f t="shared" si="235"/>
        <v>24062</v>
      </c>
      <c r="D1134" t="s">
        <v>10</v>
      </c>
      <c r="E1134" t="str">
        <f t="shared" si="238"/>
        <v>16</v>
      </c>
      <c r="F1134">
        <v>385550</v>
      </c>
      <c r="G1134">
        <v>254659</v>
      </c>
      <c r="H1134">
        <v>9508</v>
      </c>
      <c r="I1134" t="str">
        <f t="shared" ref="I1134:I1149" si="239">("6")</f>
        <v>6</v>
      </c>
      <c r="J1134" t="str">
        <f t="shared" ref="J1134:J1149" si="240">("Open Vld")</f>
        <v>Open Vld</v>
      </c>
      <c r="K1134">
        <v>8208</v>
      </c>
      <c r="L1134">
        <v>16926</v>
      </c>
      <c r="M1134">
        <v>25134</v>
      </c>
      <c r="N1134">
        <v>2</v>
      </c>
      <c r="O1134" t="str">
        <f>("1")</f>
        <v>1</v>
      </c>
      <c r="P1134" t="str">
        <f>("Schevenels Ann")</f>
        <v>Schevenels Ann</v>
      </c>
      <c r="Q1134">
        <v>7780</v>
      </c>
      <c r="R1134">
        <v>1</v>
      </c>
    </row>
    <row r="1135" spans="1:19" x14ac:dyDescent="0.3">
      <c r="A1135" t="s">
        <v>0</v>
      </c>
      <c r="B1135" s="1">
        <v>45578</v>
      </c>
      <c r="C1135" t="str">
        <f t="shared" si="235"/>
        <v>24062</v>
      </c>
      <c r="D1135" t="s">
        <v>10</v>
      </c>
      <c r="E1135" t="str">
        <f t="shared" si="238"/>
        <v>16</v>
      </c>
      <c r="F1135">
        <v>385550</v>
      </c>
      <c r="G1135">
        <v>254659</v>
      </c>
      <c r="H1135">
        <v>9508</v>
      </c>
      <c r="I1135" t="str">
        <f t="shared" si="239"/>
        <v>6</v>
      </c>
      <c r="J1135" t="str">
        <f t="shared" si="240"/>
        <v>Open Vld</v>
      </c>
      <c r="K1135">
        <v>8208</v>
      </c>
      <c r="L1135">
        <v>16926</v>
      </c>
      <c r="M1135">
        <v>25134</v>
      </c>
      <c r="N1135">
        <v>2</v>
      </c>
      <c r="O1135" t="str">
        <f>("2")</f>
        <v>2</v>
      </c>
      <c r="P1135" t="str">
        <f>("Reynaerts Didier")</f>
        <v>Reynaerts Didier</v>
      </c>
      <c r="Q1135">
        <v>2344</v>
      </c>
      <c r="S1135">
        <v>2</v>
      </c>
    </row>
    <row r="1136" spans="1:19" x14ac:dyDescent="0.3">
      <c r="A1136" t="s">
        <v>0</v>
      </c>
      <c r="B1136" s="1">
        <v>45578</v>
      </c>
      <c r="C1136" t="str">
        <f t="shared" si="235"/>
        <v>24062</v>
      </c>
      <c r="D1136" t="s">
        <v>10</v>
      </c>
      <c r="E1136" t="str">
        <f t="shared" si="238"/>
        <v>16</v>
      </c>
      <c r="F1136">
        <v>385550</v>
      </c>
      <c r="G1136">
        <v>254659</v>
      </c>
      <c r="H1136">
        <v>9508</v>
      </c>
      <c r="I1136" t="str">
        <f t="shared" si="239"/>
        <v>6</v>
      </c>
      <c r="J1136" t="str">
        <f t="shared" si="240"/>
        <v>Open Vld</v>
      </c>
      <c r="K1136">
        <v>8208</v>
      </c>
      <c r="L1136">
        <v>16926</v>
      </c>
      <c r="M1136">
        <v>25134</v>
      </c>
      <c r="N1136">
        <v>2</v>
      </c>
      <c r="O1136" t="str">
        <f>("3")</f>
        <v>3</v>
      </c>
      <c r="P1136" t="str">
        <f>("Willems Jeroen")</f>
        <v>Willems Jeroen</v>
      </c>
      <c r="Q1136">
        <v>1554</v>
      </c>
      <c r="S1136">
        <v>6</v>
      </c>
    </row>
    <row r="1137" spans="1:19" x14ac:dyDescent="0.3">
      <c r="A1137" t="s">
        <v>0</v>
      </c>
      <c r="B1137" s="1">
        <v>45578</v>
      </c>
      <c r="C1137" t="str">
        <f t="shared" si="235"/>
        <v>24062</v>
      </c>
      <c r="D1137" t="s">
        <v>10</v>
      </c>
      <c r="E1137" t="str">
        <f t="shared" si="238"/>
        <v>16</v>
      </c>
      <c r="F1137">
        <v>385550</v>
      </c>
      <c r="G1137">
        <v>254659</v>
      </c>
      <c r="H1137">
        <v>9508</v>
      </c>
      <c r="I1137" t="str">
        <f t="shared" si="239"/>
        <v>6</v>
      </c>
      <c r="J1137" t="str">
        <f t="shared" si="240"/>
        <v>Open Vld</v>
      </c>
      <c r="K1137">
        <v>8208</v>
      </c>
      <c r="L1137">
        <v>16926</v>
      </c>
      <c r="M1137">
        <v>25134</v>
      </c>
      <c r="N1137">
        <v>2</v>
      </c>
      <c r="O1137" t="str">
        <f>("4")</f>
        <v>4</v>
      </c>
      <c r="P1137" t="str">
        <f>("Peetermans Kris")</f>
        <v>Peetermans Kris</v>
      </c>
      <c r="Q1137">
        <v>2701</v>
      </c>
      <c r="S1137">
        <v>1</v>
      </c>
    </row>
    <row r="1138" spans="1:19" x14ac:dyDescent="0.3">
      <c r="A1138" t="s">
        <v>0</v>
      </c>
      <c r="B1138" s="1">
        <v>45578</v>
      </c>
      <c r="C1138" t="str">
        <f t="shared" si="235"/>
        <v>24062</v>
      </c>
      <c r="D1138" t="s">
        <v>10</v>
      </c>
      <c r="E1138" t="str">
        <f t="shared" si="238"/>
        <v>16</v>
      </c>
      <c r="F1138">
        <v>385550</v>
      </c>
      <c r="G1138">
        <v>254659</v>
      </c>
      <c r="H1138">
        <v>9508</v>
      </c>
      <c r="I1138" t="str">
        <f t="shared" si="239"/>
        <v>6</v>
      </c>
      <c r="J1138" t="str">
        <f t="shared" si="240"/>
        <v>Open Vld</v>
      </c>
      <c r="K1138">
        <v>8208</v>
      </c>
      <c r="L1138">
        <v>16926</v>
      </c>
      <c r="M1138">
        <v>25134</v>
      </c>
      <c r="N1138">
        <v>2</v>
      </c>
      <c r="O1138" t="str">
        <f>("5")</f>
        <v>5</v>
      </c>
      <c r="P1138" t="str">
        <f>("Roumans Alexandra")</f>
        <v>Roumans Alexandra</v>
      </c>
      <c r="Q1138">
        <v>1373</v>
      </c>
      <c r="S1138">
        <v>8</v>
      </c>
    </row>
    <row r="1139" spans="1:19" x14ac:dyDescent="0.3">
      <c r="A1139" t="s">
        <v>0</v>
      </c>
      <c r="B1139" s="1">
        <v>45578</v>
      </c>
      <c r="C1139" t="str">
        <f t="shared" si="235"/>
        <v>24062</v>
      </c>
      <c r="D1139" t="s">
        <v>10</v>
      </c>
      <c r="E1139" t="str">
        <f t="shared" si="238"/>
        <v>16</v>
      </c>
      <c r="F1139">
        <v>385550</v>
      </c>
      <c r="G1139">
        <v>254659</v>
      </c>
      <c r="H1139">
        <v>9508</v>
      </c>
      <c r="I1139" t="str">
        <f t="shared" si="239"/>
        <v>6</v>
      </c>
      <c r="J1139" t="str">
        <f t="shared" si="240"/>
        <v>Open Vld</v>
      </c>
      <c r="K1139">
        <v>8208</v>
      </c>
      <c r="L1139">
        <v>16926</v>
      </c>
      <c r="M1139">
        <v>25134</v>
      </c>
      <c r="N1139">
        <v>2</v>
      </c>
      <c r="O1139" t="str">
        <f>("6")</f>
        <v>6</v>
      </c>
      <c r="P1139" t="str">
        <f>("Froidcoeur Dave")</f>
        <v>Froidcoeur Dave</v>
      </c>
      <c r="Q1139">
        <v>1162</v>
      </c>
      <c r="S1139">
        <v>13</v>
      </c>
    </row>
    <row r="1140" spans="1:19" x14ac:dyDescent="0.3">
      <c r="A1140" t="s">
        <v>0</v>
      </c>
      <c r="B1140" s="1">
        <v>45578</v>
      </c>
      <c r="C1140" t="str">
        <f t="shared" si="235"/>
        <v>24062</v>
      </c>
      <c r="D1140" t="s">
        <v>10</v>
      </c>
      <c r="E1140" t="str">
        <f t="shared" si="238"/>
        <v>16</v>
      </c>
      <c r="F1140">
        <v>385550</v>
      </c>
      <c r="G1140">
        <v>254659</v>
      </c>
      <c r="H1140">
        <v>9508</v>
      </c>
      <c r="I1140" t="str">
        <f t="shared" si="239"/>
        <v>6</v>
      </c>
      <c r="J1140" t="str">
        <f t="shared" si="240"/>
        <v>Open Vld</v>
      </c>
      <c r="K1140">
        <v>8208</v>
      </c>
      <c r="L1140">
        <v>16926</v>
      </c>
      <c r="M1140">
        <v>25134</v>
      </c>
      <c r="N1140">
        <v>2</v>
      </c>
      <c r="O1140" t="str">
        <f>("7")</f>
        <v>7</v>
      </c>
      <c r="P1140" t="str">
        <f>("Van Rompaey Marianne")</f>
        <v>Van Rompaey Marianne</v>
      </c>
      <c r="Q1140">
        <v>1403</v>
      </c>
      <c r="S1140">
        <v>7</v>
      </c>
    </row>
    <row r="1141" spans="1:19" x14ac:dyDescent="0.3">
      <c r="A1141" t="s">
        <v>0</v>
      </c>
      <c r="B1141" s="1">
        <v>45578</v>
      </c>
      <c r="C1141" t="str">
        <f t="shared" si="235"/>
        <v>24062</v>
      </c>
      <c r="D1141" t="s">
        <v>10</v>
      </c>
      <c r="E1141" t="str">
        <f t="shared" si="238"/>
        <v>16</v>
      </c>
      <c r="F1141">
        <v>385550</v>
      </c>
      <c r="G1141">
        <v>254659</v>
      </c>
      <c r="H1141">
        <v>9508</v>
      </c>
      <c r="I1141" t="str">
        <f t="shared" si="239"/>
        <v>6</v>
      </c>
      <c r="J1141" t="str">
        <f t="shared" si="240"/>
        <v>Open Vld</v>
      </c>
      <c r="K1141">
        <v>8208</v>
      </c>
      <c r="L1141">
        <v>16926</v>
      </c>
      <c r="M1141">
        <v>25134</v>
      </c>
      <c r="N1141">
        <v>2</v>
      </c>
      <c r="O1141" t="str">
        <f>("8")</f>
        <v>8</v>
      </c>
      <c r="P1141" t="str">
        <f>("Frérart Anne")</f>
        <v>Frérart Anne</v>
      </c>
      <c r="Q1141">
        <v>1269</v>
      </c>
      <c r="S1141">
        <v>11</v>
      </c>
    </row>
    <row r="1142" spans="1:19" x14ac:dyDescent="0.3">
      <c r="A1142" t="s">
        <v>0</v>
      </c>
      <c r="B1142" s="1">
        <v>45578</v>
      </c>
      <c r="C1142" t="str">
        <f t="shared" si="235"/>
        <v>24062</v>
      </c>
      <c r="D1142" t="s">
        <v>10</v>
      </c>
      <c r="E1142" t="str">
        <f t="shared" si="238"/>
        <v>16</v>
      </c>
      <c r="F1142">
        <v>385550</v>
      </c>
      <c r="G1142">
        <v>254659</v>
      </c>
      <c r="H1142">
        <v>9508</v>
      </c>
      <c r="I1142" t="str">
        <f t="shared" si="239"/>
        <v>6</v>
      </c>
      <c r="J1142" t="str">
        <f t="shared" si="240"/>
        <v>Open Vld</v>
      </c>
      <c r="K1142">
        <v>8208</v>
      </c>
      <c r="L1142">
        <v>16926</v>
      </c>
      <c r="M1142">
        <v>25134</v>
      </c>
      <c r="N1142">
        <v>2</v>
      </c>
      <c r="O1142" t="str">
        <f>("9")</f>
        <v>9</v>
      </c>
      <c r="P1142" t="str">
        <f>("Jacobs Tony")</f>
        <v>Jacobs Tony</v>
      </c>
      <c r="Q1142">
        <v>1108</v>
      </c>
      <c r="S1142">
        <v>14</v>
      </c>
    </row>
    <row r="1143" spans="1:19" x14ac:dyDescent="0.3">
      <c r="A1143" t="s">
        <v>0</v>
      </c>
      <c r="B1143" s="1">
        <v>45578</v>
      </c>
      <c r="C1143" t="str">
        <f t="shared" si="235"/>
        <v>24062</v>
      </c>
      <c r="D1143" t="s">
        <v>10</v>
      </c>
      <c r="E1143" t="str">
        <f t="shared" si="238"/>
        <v>16</v>
      </c>
      <c r="F1143">
        <v>385550</v>
      </c>
      <c r="G1143">
        <v>254659</v>
      </c>
      <c r="H1143">
        <v>9508</v>
      </c>
      <c r="I1143" t="str">
        <f t="shared" si="239"/>
        <v>6</v>
      </c>
      <c r="J1143" t="str">
        <f t="shared" si="240"/>
        <v>Open Vld</v>
      </c>
      <c r="K1143">
        <v>8208</v>
      </c>
      <c r="L1143">
        <v>16926</v>
      </c>
      <c r="M1143">
        <v>25134</v>
      </c>
      <c r="N1143">
        <v>2</v>
      </c>
      <c r="O1143" t="str">
        <f>("10")</f>
        <v>10</v>
      </c>
      <c r="P1143" t="str">
        <f>("Jacobs Martine")</f>
        <v>Jacobs Martine</v>
      </c>
      <c r="Q1143">
        <v>1164</v>
      </c>
      <c r="S1143">
        <v>12</v>
      </c>
    </row>
    <row r="1144" spans="1:19" x14ac:dyDescent="0.3">
      <c r="A1144" t="s">
        <v>0</v>
      </c>
      <c r="B1144" s="1">
        <v>45578</v>
      </c>
      <c r="C1144" t="str">
        <f t="shared" si="235"/>
        <v>24062</v>
      </c>
      <c r="D1144" t="s">
        <v>10</v>
      </c>
      <c r="E1144" t="str">
        <f t="shared" si="238"/>
        <v>16</v>
      </c>
      <c r="F1144">
        <v>385550</v>
      </c>
      <c r="G1144">
        <v>254659</v>
      </c>
      <c r="H1144">
        <v>9508</v>
      </c>
      <c r="I1144" t="str">
        <f t="shared" si="239"/>
        <v>6</v>
      </c>
      <c r="J1144" t="str">
        <f t="shared" si="240"/>
        <v>Open Vld</v>
      </c>
      <c r="K1144">
        <v>8208</v>
      </c>
      <c r="L1144">
        <v>16926</v>
      </c>
      <c r="M1144">
        <v>25134</v>
      </c>
      <c r="N1144">
        <v>2</v>
      </c>
      <c r="O1144" t="str">
        <f>("11")</f>
        <v>11</v>
      </c>
      <c r="P1144" t="str">
        <f>("Van de Casteele Ann")</f>
        <v>Van de Casteele Ann</v>
      </c>
      <c r="Q1144">
        <v>1302</v>
      </c>
      <c r="S1144">
        <v>9</v>
      </c>
    </row>
    <row r="1145" spans="1:19" x14ac:dyDescent="0.3">
      <c r="A1145" t="s">
        <v>0</v>
      </c>
      <c r="B1145" s="1">
        <v>45578</v>
      </c>
      <c r="C1145" t="str">
        <f t="shared" si="235"/>
        <v>24062</v>
      </c>
      <c r="D1145" t="s">
        <v>10</v>
      </c>
      <c r="E1145" t="str">
        <f t="shared" si="238"/>
        <v>16</v>
      </c>
      <c r="F1145">
        <v>385550</v>
      </c>
      <c r="G1145">
        <v>254659</v>
      </c>
      <c r="H1145">
        <v>9508</v>
      </c>
      <c r="I1145" t="str">
        <f t="shared" si="239"/>
        <v>6</v>
      </c>
      <c r="J1145" t="str">
        <f t="shared" si="240"/>
        <v>Open Vld</v>
      </c>
      <c r="K1145">
        <v>8208</v>
      </c>
      <c r="L1145">
        <v>16926</v>
      </c>
      <c r="M1145">
        <v>25134</v>
      </c>
      <c r="N1145">
        <v>2</v>
      </c>
      <c r="O1145" t="str">
        <f>("12")</f>
        <v>12</v>
      </c>
      <c r="P1145" t="str">
        <f>("Beeken Rudi")</f>
        <v>Beeken Rudi</v>
      </c>
      <c r="Q1145">
        <v>1707</v>
      </c>
      <c r="S1145">
        <v>5</v>
      </c>
    </row>
    <row r="1146" spans="1:19" x14ac:dyDescent="0.3">
      <c r="A1146" t="s">
        <v>0</v>
      </c>
      <c r="B1146" s="1">
        <v>45578</v>
      </c>
      <c r="C1146" t="str">
        <f t="shared" si="235"/>
        <v>24062</v>
      </c>
      <c r="D1146" t="s">
        <v>10</v>
      </c>
      <c r="E1146" t="str">
        <f t="shared" si="238"/>
        <v>16</v>
      </c>
      <c r="F1146">
        <v>385550</v>
      </c>
      <c r="G1146">
        <v>254659</v>
      </c>
      <c r="H1146">
        <v>9508</v>
      </c>
      <c r="I1146" t="str">
        <f t="shared" si="239"/>
        <v>6</v>
      </c>
      <c r="J1146" t="str">
        <f t="shared" si="240"/>
        <v>Open Vld</v>
      </c>
      <c r="K1146">
        <v>8208</v>
      </c>
      <c r="L1146">
        <v>16926</v>
      </c>
      <c r="M1146">
        <v>25134</v>
      </c>
      <c r="N1146">
        <v>2</v>
      </c>
      <c r="O1146" t="str">
        <f>("13")</f>
        <v>13</v>
      </c>
      <c r="P1146" t="str">
        <f>("Derua Karin")</f>
        <v>Derua Karin</v>
      </c>
      <c r="Q1146">
        <v>1284</v>
      </c>
      <c r="S1146">
        <v>10</v>
      </c>
    </row>
    <row r="1147" spans="1:19" x14ac:dyDescent="0.3">
      <c r="A1147" t="s">
        <v>0</v>
      </c>
      <c r="B1147" s="1">
        <v>45578</v>
      </c>
      <c r="C1147" t="str">
        <f t="shared" si="235"/>
        <v>24062</v>
      </c>
      <c r="D1147" t="s">
        <v>10</v>
      </c>
      <c r="E1147" t="str">
        <f t="shared" si="238"/>
        <v>16</v>
      </c>
      <c r="F1147">
        <v>385550</v>
      </c>
      <c r="G1147">
        <v>254659</v>
      </c>
      <c r="H1147">
        <v>9508</v>
      </c>
      <c r="I1147" t="str">
        <f t="shared" si="239"/>
        <v>6</v>
      </c>
      <c r="J1147" t="str">
        <f t="shared" si="240"/>
        <v>Open Vld</v>
      </c>
      <c r="K1147">
        <v>8208</v>
      </c>
      <c r="L1147">
        <v>16926</v>
      </c>
      <c r="M1147">
        <v>25134</v>
      </c>
      <c r="N1147">
        <v>2</v>
      </c>
      <c r="O1147" t="str">
        <f>("14")</f>
        <v>14</v>
      </c>
      <c r="P1147" t="str">
        <f>("Vander Elst Kjell")</f>
        <v>Vander Elst Kjell</v>
      </c>
      <c r="Q1147">
        <v>2019</v>
      </c>
      <c r="S1147">
        <v>4</v>
      </c>
    </row>
    <row r="1148" spans="1:19" x14ac:dyDescent="0.3">
      <c r="A1148" t="s">
        <v>0</v>
      </c>
      <c r="B1148" s="1">
        <v>45578</v>
      </c>
      <c r="C1148" t="str">
        <f t="shared" si="235"/>
        <v>24062</v>
      </c>
      <c r="D1148" t="s">
        <v>10</v>
      </c>
      <c r="E1148" t="str">
        <f t="shared" si="238"/>
        <v>16</v>
      </c>
      <c r="F1148">
        <v>385550</v>
      </c>
      <c r="G1148">
        <v>254659</v>
      </c>
      <c r="H1148">
        <v>9508</v>
      </c>
      <c r="I1148" t="str">
        <f t="shared" si="239"/>
        <v>6</v>
      </c>
      <c r="J1148" t="str">
        <f t="shared" si="240"/>
        <v>Open Vld</v>
      </c>
      <c r="K1148">
        <v>8208</v>
      </c>
      <c r="L1148">
        <v>16926</v>
      </c>
      <c r="M1148">
        <v>25134</v>
      </c>
      <c r="N1148">
        <v>2</v>
      </c>
      <c r="O1148" t="str">
        <f>("15")</f>
        <v>15</v>
      </c>
      <c r="P1148" t="str">
        <f>("Vande Reyde Maurits")</f>
        <v>Vande Reyde Maurits</v>
      </c>
      <c r="Q1148">
        <v>2159</v>
      </c>
      <c r="S1148">
        <v>3</v>
      </c>
    </row>
    <row r="1149" spans="1:19" x14ac:dyDescent="0.3">
      <c r="A1149" t="s">
        <v>0</v>
      </c>
      <c r="B1149" s="1">
        <v>45578</v>
      </c>
      <c r="C1149" t="str">
        <f t="shared" si="235"/>
        <v>24062</v>
      </c>
      <c r="D1149" t="s">
        <v>10</v>
      </c>
      <c r="E1149" t="str">
        <f t="shared" si="238"/>
        <v>16</v>
      </c>
      <c r="F1149">
        <v>385550</v>
      </c>
      <c r="G1149">
        <v>254659</v>
      </c>
      <c r="H1149">
        <v>9508</v>
      </c>
      <c r="I1149" t="str">
        <f t="shared" si="239"/>
        <v>6</v>
      </c>
      <c r="J1149" t="str">
        <f t="shared" si="240"/>
        <v>Open Vld</v>
      </c>
      <c r="K1149">
        <v>8208</v>
      </c>
      <c r="L1149">
        <v>16926</v>
      </c>
      <c r="M1149">
        <v>25134</v>
      </c>
      <c r="N1149">
        <v>2</v>
      </c>
      <c r="O1149" t="str">
        <f>("16")</f>
        <v>16</v>
      </c>
      <c r="P1149" t="str">
        <f>("Rutten Gwendolyn")</f>
        <v>Rutten Gwendolyn</v>
      </c>
      <c r="Q1149">
        <v>4081</v>
      </c>
      <c r="R1149">
        <v>2</v>
      </c>
    </row>
    <row r="1150" spans="1:19" x14ac:dyDescent="0.3">
      <c r="A1150" t="s">
        <v>0</v>
      </c>
      <c r="B1150" s="1">
        <v>45578</v>
      </c>
      <c r="C1150" t="str">
        <f t="shared" ref="C1150:C1180" si="241">("24062")</f>
        <v>24062</v>
      </c>
      <c r="D1150" t="s">
        <v>10</v>
      </c>
      <c r="E1150" t="str">
        <f t="shared" si="238"/>
        <v>16</v>
      </c>
      <c r="F1150">
        <v>385550</v>
      </c>
      <c r="G1150">
        <v>254659</v>
      </c>
      <c r="H1150">
        <v>9508</v>
      </c>
      <c r="I1150" t="str">
        <f t="shared" ref="I1150:I1165" si="242">("7")</f>
        <v>7</v>
      </c>
      <c r="J1150" t="str">
        <f t="shared" ref="J1150:J1165" si="243">("GROEN")</f>
        <v>GROEN</v>
      </c>
      <c r="K1150">
        <v>17773</v>
      </c>
      <c r="L1150">
        <v>13296</v>
      </c>
      <c r="M1150">
        <v>31069</v>
      </c>
      <c r="N1150">
        <v>2</v>
      </c>
      <c r="O1150" t="str">
        <f>("1")</f>
        <v>1</v>
      </c>
      <c r="P1150" t="str">
        <f>("Roefs Tie")</f>
        <v>Roefs Tie</v>
      </c>
      <c r="Q1150">
        <v>7415</v>
      </c>
      <c r="R1150">
        <v>1</v>
      </c>
    </row>
    <row r="1151" spans="1:19" x14ac:dyDescent="0.3">
      <c r="A1151" t="s">
        <v>0</v>
      </c>
      <c r="B1151" s="1">
        <v>45578</v>
      </c>
      <c r="C1151" t="str">
        <f t="shared" si="241"/>
        <v>24062</v>
      </c>
      <c r="D1151" t="s">
        <v>10</v>
      </c>
      <c r="E1151" t="str">
        <f t="shared" si="238"/>
        <v>16</v>
      </c>
      <c r="F1151">
        <v>385550</v>
      </c>
      <c r="G1151">
        <v>254659</v>
      </c>
      <c r="H1151">
        <v>9508</v>
      </c>
      <c r="I1151" t="str">
        <f t="shared" si="242"/>
        <v>7</v>
      </c>
      <c r="J1151" t="str">
        <f t="shared" si="243"/>
        <v>GROEN</v>
      </c>
      <c r="K1151">
        <v>17773</v>
      </c>
      <c r="L1151">
        <v>13296</v>
      </c>
      <c r="M1151">
        <v>31069</v>
      </c>
      <c r="N1151">
        <v>2</v>
      </c>
      <c r="O1151" t="str">
        <f>("2")</f>
        <v>2</v>
      </c>
      <c r="P1151" t="str">
        <f>("Roovers Tom")</f>
        <v>Roovers Tom</v>
      </c>
      <c r="Q1151">
        <v>2943</v>
      </c>
      <c r="S1151">
        <v>7</v>
      </c>
    </row>
    <row r="1152" spans="1:19" x14ac:dyDescent="0.3">
      <c r="A1152" t="s">
        <v>0</v>
      </c>
      <c r="B1152" s="1">
        <v>45578</v>
      </c>
      <c r="C1152" t="str">
        <f t="shared" si="241"/>
        <v>24062</v>
      </c>
      <c r="D1152" t="s">
        <v>10</v>
      </c>
      <c r="E1152" t="str">
        <f t="shared" si="238"/>
        <v>16</v>
      </c>
      <c r="F1152">
        <v>385550</v>
      </c>
      <c r="G1152">
        <v>254659</v>
      </c>
      <c r="H1152">
        <v>9508</v>
      </c>
      <c r="I1152" t="str">
        <f t="shared" si="242"/>
        <v>7</v>
      </c>
      <c r="J1152" t="str">
        <f t="shared" si="243"/>
        <v>GROEN</v>
      </c>
      <c r="K1152">
        <v>17773</v>
      </c>
      <c r="L1152">
        <v>13296</v>
      </c>
      <c r="M1152">
        <v>31069</v>
      </c>
      <c r="N1152">
        <v>2</v>
      </c>
      <c r="O1152" t="str">
        <f>("3")</f>
        <v>3</v>
      </c>
      <c r="P1152" t="str">
        <f>("Robben Rina")</f>
        <v>Robben Rina</v>
      </c>
      <c r="Q1152">
        <v>4259</v>
      </c>
      <c r="S1152">
        <v>1</v>
      </c>
    </row>
    <row r="1153" spans="1:19" x14ac:dyDescent="0.3">
      <c r="A1153" t="s">
        <v>0</v>
      </c>
      <c r="B1153" s="1">
        <v>45578</v>
      </c>
      <c r="C1153" t="str">
        <f t="shared" si="241"/>
        <v>24062</v>
      </c>
      <c r="D1153" t="s">
        <v>10</v>
      </c>
      <c r="E1153" t="str">
        <f t="shared" si="238"/>
        <v>16</v>
      </c>
      <c r="F1153">
        <v>385550</v>
      </c>
      <c r="G1153">
        <v>254659</v>
      </c>
      <c r="H1153">
        <v>9508</v>
      </c>
      <c r="I1153" t="str">
        <f t="shared" si="242"/>
        <v>7</v>
      </c>
      <c r="J1153" t="str">
        <f t="shared" si="243"/>
        <v>GROEN</v>
      </c>
      <c r="K1153">
        <v>17773</v>
      </c>
      <c r="L1153">
        <v>13296</v>
      </c>
      <c r="M1153">
        <v>31069</v>
      </c>
      <c r="N1153">
        <v>2</v>
      </c>
      <c r="O1153" t="str">
        <f>("4")</f>
        <v>4</v>
      </c>
      <c r="P1153" t="str">
        <f>("Meynaerts Ceusters Kenzië")</f>
        <v>Meynaerts Ceusters Kenzië</v>
      </c>
      <c r="Q1153">
        <v>2252</v>
      </c>
      <c r="S1153">
        <v>9</v>
      </c>
    </row>
    <row r="1154" spans="1:19" x14ac:dyDescent="0.3">
      <c r="A1154" t="s">
        <v>0</v>
      </c>
      <c r="B1154" s="1">
        <v>45578</v>
      </c>
      <c r="C1154" t="str">
        <f t="shared" si="241"/>
        <v>24062</v>
      </c>
      <c r="D1154" t="s">
        <v>10</v>
      </c>
      <c r="E1154" t="str">
        <f t="shared" si="238"/>
        <v>16</v>
      </c>
      <c r="F1154">
        <v>385550</v>
      </c>
      <c r="G1154">
        <v>254659</v>
      </c>
      <c r="H1154">
        <v>9508</v>
      </c>
      <c r="I1154" t="str">
        <f t="shared" si="242"/>
        <v>7</v>
      </c>
      <c r="J1154" t="str">
        <f t="shared" si="243"/>
        <v>GROEN</v>
      </c>
      <c r="K1154">
        <v>17773</v>
      </c>
      <c r="L1154">
        <v>13296</v>
      </c>
      <c r="M1154">
        <v>31069</v>
      </c>
      <c r="N1154">
        <v>2</v>
      </c>
      <c r="O1154" t="str">
        <f>("5")</f>
        <v>5</v>
      </c>
      <c r="P1154" t="str">
        <f>("Morissens Ann")</f>
        <v>Morissens Ann</v>
      </c>
      <c r="Q1154">
        <v>4051</v>
      </c>
      <c r="S1154">
        <v>2</v>
      </c>
    </row>
    <row r="1155" spans="1:19" x14ac:dyDescent="0.3">
      <c r="A1155" t="s">
        <v>0</v>
      </c>
      <c r="B1155" s="1">
        <v>45578</v>
      </c>
      <c r="C1155" t="str">
        <f t="shared" si="241"/>
        <v>24062</v>
      </c>
      <c r="D1155" t="s">
        <v>10</v>
      </c>
      <c r="E1155" t="str">
        <f t="shared" si="238"/>
        <v>16</v>
      </c>
      <c r="F1155">
        <v>385550</v>
      </c>
      <c r="G1155">
        <v>254659</v>
      </c>
      <c r="H1155">
        <v>9508</v>
      </c>
      <c r="I1155" t="str">
        <f t="shared" si="242"/>
        <v>7</v>
      </c>
      <c r="J1155" t="str">
        <f t="shared" si="243"/>
        <v>GROEN</v>
      </c>
      <c r="K1155">
        <v>17773</v>
      </c>
      <c r="L1155">
        <v>13296</v>
      </c>
      <c r="M1155">
        <v>31069</v>
      </c>
      <c r="N1155">
        <v>2</v>
      </c>
      <c r="O1155" t="str">
        <f>("6")</f>
        <v>6</v>
      </c>
      <c r="P1155" t="str">
        <f>("Elst Lieven")</f>
        <v>Elst Lieven</v>
      </c>
      <c r="Q1155">
        <v>2255</v>
      </c>
      <c r="S1155">
        <v>8</v>
      </c>
    </row>
    <row r="1156" spans="1:19" x14ac:dyDescent="0.3">
      <c r="A1156" t="s">
        <v>0</v>
      </c>
      <c r="B1156" s="1">
        <v>45578</v>
      </c>
      <c r="C1156" t="str">
        <f t="shared" si="241"/>
        <v>24062</v>
      </c>
      <c r="D1156" t="s">
        <v>10</v>
      </c>
      <c r="E1156" t="str">
        <f t="shared" si="238"/>
        <v>16</v>
      </c>
      <c r="F1156">
        <v>385550</v>
      </c>
      <c r="G1156">
        <v>254659</v>
      </c>
      <c r="H1156">
        <v>9508</v>
      </c>
      <c r="I1156" t="str">
        <f t="shared" si="242"/>
        <v>7</v>
      </c>
      <c r="J1156" t="str">
        <f t="shared" si="243"/>
        <v>GROEN</v>
      </c>
      <c r="K1156">
        <v>17773</v>
      </c>
      <c r="L1156">
        <v>13296</v>
      </c>
      <c r="M1156">
        <v>31069</v>
      </c>
      <c r="N1156">
        <v>2</v>
      </c>
      <c r="O1156" t="str">
        <f>("7")</f>
        <v>7</v>
      </c>
      <c r="P1156" t="str">
        <f>("Van Steenkiste Hanna")</f>
        <v>Van Steenkiste Hanna</v>
      </c>
      <c r="Q1156">
        <v>4546</v>
      </c>
      <c r="R1156">
        <v>2</v>
      </c>
    </row>
    <row r="1157" spans="1:19" x14ac:dyDescent="0.3">
      <c r="A1157" t="s">
        <v>0</v>
      </c>
      <c r="B1157" s="1">
        <v>45578</v>
      </c>
      <c r="C1157" t="str">
        <f t="shared" si="241"/>
        <v>24062</v>
      </c>
      <c r="D1157" t="s">
        <v>10</v>
      </c>
      <c r="E1157" t="str">
        <f t="shared" si="238"/>
        <v>16</v>
      </c>
      <c r="F1157">
        <v>385550</v>
      </c>
      <c r="G1157">
        <v>254659</v>
      </c>
      <c r="H1157">
        <v>9508</v>
      </c>
      <c r="I1157" t="str">
        <f t="shared" si="242"/>
        <v>7</v>
      </c>
      <c r="J1157" t="str">
        <f t="shared" si="243"/>
        <v>GROEN</v>
      </c>
      <c r="K1157">
        <v>17773</v>
      </c>
      <c r="L1157">
        <v>13296</v>
      </c>
      <c r="M1157">
        <v>31069</v>
      </c>
      <c r="N1157">
        <v>2</v>
      </c>
      <c r="O1157" t="str">
        <f>("8")</f>
        <v>8</v>
      </c>
      <c r="P1157" t="str">
        <f>("Petitjean Bert")</f>
        <v>Petitjean Bert</v>
      </c>
      <c r="Q1157">
        <v>1926</v>
      </c>
      <c r="S1157">
        <v>11</v>
      </c>
    </row>
    <row r="1158" spans="1:19" x14ac:dyDescent="0.3">
      <c r="A1158" t="s">
        <v>0</v>
      </c>
      <c r="B1158" s="1">
        <v>45578</v>
      </c>
      <c r="C1158" t="str">
        <f t="shared" si="241"/>
        <v>24062</v>
      </c>
      <c r="D1158" t="s">
        <v>10</v>
      </c>
      <c r="E1158" t="str">
        <f t="shared" si="238"/>
        <v>16</v>
      </c>
      <c r="F1158">
        <v>385550</v>
      </c>
      <c r="G1158">
        <v>254659</v>
      </c>
      <c r="H1158">
        <v>9508</v>
      </c>
      <c r="I1158" t="str">
        <f t="shared" si="242"/>
        <v>7</v>
      </c>
      <c r="J1158" t="str">
        <f t="shared" si="243"/>
        <v>GROEN</v>
      </c>
      <c r="K1158">
        <v>17773</v>
      </c>
      <c r="L1158">
        <v>13296</v>
      </c>
      <c r="M1158">
        <v>31069</v>
      </c>
      <c r="N1158">
        <v>2</v>
      </c>
      <c r="O1158" t="str">
        <f>("9")</f>
        <v>9</v>
      </c>
      <c r="P1158" t="str">
        <f>("Vandenbroucke Loes")</f>
        <v>Vandenbroucke Loes</v>
      </c>
      <c r="Q1158">
        <v>3525</v>
      </c>
      <c r="S1158">
        <v>3</v>
      </c>
    </row>
    <row r="1159" spans="1:19" x14ac:dyDescent="0.3">
      <c r="A1159" t="s">
        <v>0</v>
      </c>
      <c r="B1159" s="1">
        <v>45578</v>
      </c>
      <c r="C1159" t="str">
        <f t="shared" si="241"/>
        <v>24062</v>
      </c>
      <c r="D1159" t="s">
        <v>10</v>
      </c>
      <c r="E1159" t="str">
        <f t="shared" si="238"/>
        <v>16</v>
      </c>
      <c r="F1159">
        <v>385550</v>
      </c>
      <c r="G1159">
        <v>254659</v>
      </c>
      <c r="H1159">
        <v>9508</v>
      </c>
      <c r="I1159" t="str">
        <f t="shared" si="242"/>
        <v>7</v>
      </c>
      <c r="J1159" t="str">
        <f t="shared" si="243"/>
        <v>GROEN</v>
      </c>
      <c r="K1159">
        <v>17773</v>
      </c>
      <c r="L1159">
        <v>13296</v>
      </c>
      <c r="M1159">
        <v>31069</v>
      </c>
      <c r="N1159">
        <v>2</v>
      </c>
      <c r="O1159" t="str">
        <f>("10")</f>
        <v>10</v>
      </c>
      <c r="P1159" t="str">
        <f>("Limet Wim")</f>
        <v>Limet Wim</v>
      </c>
      <c r="Q1159">
        <v>1647</v>
      </c>
      <c r="S1159">
        <v>13</v>
      </c>
    </row>
    <row r="1160" spans="1:19" x14ac:dyDescent="0.3">
      <c r="A1160" t="s">
        <v>0</v>
      </c>
      <c r="B1160" s="1">
        <v>45578</v>
      </c>
      <c r="C1160" t="str">
        <f t="shared" si="241"/>
        <v>24062</v>
      </c>
      <c r="D1160" t="s">
        <v>10</v>
      </c>
      <c r="E1160" t="str">
        <f t="shared" si="238"/>
        <v>16</v>
      </c>
      <c r="F1160">
        <v>385550</v>
      </c>
      <c r="G1160">
        <v>254659</v>
      </c>
      <c r="H1160">
        <v>9508</v>
      </c>
      <c r="I1160" t="str">
        <f t="shared" si="242"/>
        <v>7</v>
      </c>
      <c r="J1160" t="str">
        <f t="shared" si="243"/>
        <v>GROEN</v>
      </c>
      <c r="K1160">
        <v>17773</v>
      </c>
      <c r="L1160">
        <v>13296</v>
      </c>
      <c r="M1160">
        <v>31069</v>
      </c>
      <c r="N1160">
        <v>2</v>
      </c>
      <c r="O1160" t="str">
        <f>("11")</f>
        <v>11</v>
      </c>
      <c r="P1160" t="str">
        <f>("Greveraars Marieke")</f>
        <v>Greveraars Marieke</v>
      </c>
      <c r="Q1160">
        <v>3238</v>
      </c>
      <c r="S1160">
        <v>5</v>
      </c>
    </row>
    <row r="1161" spans="1:19" x14ac:dyDescent="0.3">
      <c r="A1161" t="s">
        <v>0</v>
      </c>
      <c r="B1161" s="1">
        <v>45578</v>
      </c>
      <c r="C1161" t="str">
        <f t="shared" si="241"/>
        <v>24062</v>
      </c>
      <c r="D1161" t="s">
        <v>10</v>
      </c>
      <c r="E1161" t="str">
        <f t="shared" si="238"/>
        <v>16</v>
      </c>
      <c r="F1161">
        <v>385550</v>
      </c>
      <c r="G1161">
        <v>254659</v>
      </c>
      <c r="H1161">
        <v>9508</v>
      </c>
      <c r="I1161" t="str">
        <f t="shared" si="242"/>
        <v>7</v>
      </c>
      <c r="J1161" t="str">
        <f t="shared" si="243"/>
        <v>GROEN</v>
      </c>
      <c r="K1161">
        <v>17773</v>
      </c>
      <c r="L1161">
        <v>13296</v>
      </c>
      <c r="M1161">
        <v>31069</v>
      </c>
      <c r="N1161">
        <v>2</v>
      </c>
      <c r="O1161" t="str">
        <f>("12")</f>
        <v>12</v>
      </c>
      <c r="P1161" t="str">
        <f>("Cockx Robbe")</f>
        <v>Cockx Robbe</v>
      </c>
      <c r="Q1161">
        <v>1633</v>
      </c>
      <c r="S1161">
        <v>14</v>
      </c>
    </row>
    <row r="1162" spans="1:19" x14ac:dyDescent="0.3">
      <c r="A1162" t="s">
        <v>0</v>
      </c>
      <c r="B1162" s="1">
        <v>45578</v>
      </c>
      <c r="C1162" t="str">
        <f t="shared" si="241"/>
        <v>24062</v>
      </c>
      <c r="D1162" t="s">
        <v>10</v>
      </c>
      <c r="E1162" t="str">
        <f t="shared" si="238"/>
        <v>16</v>
      </c>
      <c r="F1162">
        <v>385550</v>
      </c>
      <c r="G1162">
        <v>254659</v>
      </c>
      <c r="H1162">
        <v>9508</v>
      </c>
      <c r="I1162" t="str">
        <f t="shared" si="242"/>
        <v>7</v>
      </c>
      <c r="J1162" t="str">
        <f t="shared" si="243"/>
        <v>GROEN</v>
      </c>
      <c r="K1162">
        <v>17773</v>
      </c>
      <c r="L1162">
        <v>13296</v>
      </c>
      <c r="M1162">
        <v>31069</v>
      </c>
      <c r="N1162">
        <v>2</v>
      </c>
      <c r="O1162" t="str">
        <f>("13")</f>
        <v>13</v>
      </c>
      <c r="P1162" t="str">
        <f>("Augustijns Luka")</f>
        <v>Augustijns Luka</v>
      </c>
      <c r="Q1162">
        <v>3055</v>
      </c>
      <c r="S1162">
        <v>6</v>
      </c>
    </row>
    <row r="1163" spans="1:19" x14ac:dyDescent="0.3">
      <c r="A1163" t="s">
        <v>0</v>
      </c>
      <c r="B1163" s="1">
        <v>45578</v>
      </c>
      <c r="C1163" t="str">
        <f t="shared" si="241"/>
        <v>24062</v>
      </c>
      <c r="D1163" t="s">
        <v>10</v>
      </c>
      <c r="E1163" t="str">
        <f t="shared" si="238"/>
        <v>16</v>
      </c>
      <c r="F1163">
        <v>385550</v>
      </c>
      <c r="G1163">
        <v>254659</v>
      </c>
      <c r="H1163">
        <v>9508</v>
      </c>
      <c r="I1163" t="str">
        <f t="shared" si="242"/>
        <v>7</v>
      </c>
      <c r="J1163" t="str">
        <f t="shared" si="243"/>
        <v>GROEN</v>
      </c>
      <c r="K1163">
        <v>17773</v>
      </c>
      <c r="L1163">
        <v>13296</v>
      </c>
      <c r="M1163">
        <v>31069</v>
      </c>
      <c r="N1163">
        <v>2</v>
      </c>
      <c r="O1163" t="str">
        <f>("14")</f>
        <v>14</v>
      </c>
      <c r="P1163" t="str">
        <f>("Vandebroek Wim")</f>
        <v>Vandebroek Wim</v>
      </c>
      <c r="Q1163">
        <v>1700</v>
      </c>
      <c r="S1163">
        <v>12</v>
      </c>
    </row>
    <row r="1164" spans="1:19" x14ac:dyDescent="0.3">
      <c r="A1164" t="s">
        <v>0</v>
      </c>
      <c r="B1164" s="1">
        <v>45578</v>
      </c>
      <c r="C1164" t="str">
        <f t="shared" si="241"/>
        <v>24062</v>
      </c>
      <c r="D1164" t="s">
        <v>10</v>
      </c>
      <c r="E1164" t="str">
        <f t="shared" si="238"/>
        <v>16</v>
      </c>
      <c r="F1164">
        <v>385550</v>
      </c>
      <c r="G1164">
        <v>254659</v>
      </c>
      <c r="H1164">
        <v>9508</v>
      </c>
      <c r="I1164" t="str">
        <f t="shared" si="242"/>
        <v>7</v>
      </c>
      <c r="J1164" t="str">
        <f t="shared" si="243"/>
        <v>GROEN</v>
      </c>
      <c r="K1164">
        <v>17773</v>
      </c>
      <c r="L1164">
        <v>13296</v>
      </c>
      <c r="M1164">
        <v>31069</v>
      </c>
      <c r="N1164">
        <v>2</v>
      </c>
      <c r="O1164" t="str">
        <f>("15")</f>
        <v>15</v>
      </c>
      <c r="P1164" t="str">
        <f>("Vreys Petra")</f>
        <v>Vreys Petra</v>
      </c>
      <c r="Q1164">
        <v>3345</v>
      </c>
      <c r="S1164">
        <v>4</v>
      </c>
    </row>
    <row r="1165" spans="1:19" x14ac:dyDescent="0.3">
      <c r="A1165" t="s">
        <v>0</v>
      </c>
      <c r="B1165" s="1">
        <v>45578</v>
      </c>
      <c r="C1165" t="str">
        <f t="shared" si="241"/>
        <v>24062</v>
      </c>
      <c r="D1165" t="s">
        <v>10</v>
      </c>
      <c r="E1165" t="str">
        <f t="shared" si="238"/>
        <v>16</v>
      </c>
      <c r="F1165">
        <v>385550</v>
      </c>
      <c r="G1165">
        <v>254659</v>
      </c>
      <c r="H1165">
        <v>9508</v>
      </c>
      <c r="I1165" t="str">
        <f t="shared" si="242"/>
        <v>7</v>
      </c>
      <c r="J1165" t="str">
        <f t="shared" si="243"/>
        <v>GROEN</v>
      </c>
      <c r="K1165">
        <v>17773</v>
      </c>
      <c r="L1165">
        <v>13296</v>
      </c>
      <c r="M1165">
        <v>31069</v>
      </c>
      <c r="N1165">
        <v>2</v>
      </c>
      <c r="O1165" t="str">
        <f>("16")</f>
        <v>16</v>
      </c>
      <c r="P1165" t="str">
        <f>("Lemaitre Bernard")</f>
        <v>Lemaitre Bernard</v>
      </c>
      <c r="Q1165">
        <v>2158</v>
      </c>
      <c r="S1165">
        <v>10</v>
      </c>
    </row>
    <row r="1166" spans="1:19" x14ac:dyDescent="0.3">
      <c r="A1166" t="s">
        <v>0</v>
      </c>
      <c r="B1166" s="1">
        <v>45578</v>
      </c>
      <c r="C1166" t="str">
        <f t="shared" si="241"/>
        <v>24062</v>
      </c>
      <c r="D1166" t="s">
        <v>10</v>
      </c>
      <c r="E1166" t="str">
        <f t="shared" si="238"/>
        <v>16</v>
      </c>
      <c r="F1166">
        <v>385550</v>
      </c>
      <c r="G1166">
        <v>254659</v>
      </c>
      <c r="H1166">
        <v>9508</v>
      </c>
      <c r="I1166" t="str">
        <f t="shared" ref="I1166:I1179" si="244">("8")</f>
        <v>8</v>
      </c>
      <c r="J1166" t="str">
        <f t="shared" ref="J1166:J1179" si="245">("UF Union Francophone")</f>
        <v>UF Union Francophone</v>
      </c>
      <c r="K1166">
        <v>1166</v>
      </c>
      <c r="L1166">
        <v>1171</v>
      </c>
      <c r="M1166">
        <v>2337</v>
      </c>
      <c r="N1166">
        <v>0</v>
      </c>
      <c r="O1166" t="str">
        <f>("1")</f>
        <v>1</v>
      </c>
      <c r="P1166" t="str">
        <f>("Thiéry Philippe")</f>
        <v>Thiéry Philippe</v>
      </c>
      <c r="Q1166">
        <v>483</v>
      </c>
    </row>
    <row r="1167" spans="1:19" x14ac:dyDescent="0.3">
      <c r="A1167" t="s">
        <v>0</v>
      </c>
      <c r="B1167" s="1">
        <v>45578</v>
      </c>
      <c r="C1167" t="str">
        <f t="shared" si="241"/>
        <v>24062</v>
      </c>
      <c r="D1167" t="s">
        <v>10</v>
      </c>
      <c r="E1167" t="str">
        <f t="shared" si="238"/>
        <v>16</v>
      </c>
      <c r="F1167">
        <v>385550</v>
      </c>
      <c r="G1167">
        <v>254659</v>
      </c>
      <c r="H1167">
        <v>9508</v>
      </c>
      <c r="I1167" t="str">
        <f t="shared" si="244"/>
        <v>8</v>
      </c>
      <c r="J1167" t="str">
        <f t="shared" si="245"/>
        <v>UF Union Francophone</v>
      </c>
      <c r="K1167">
        <v>1166</v>
      </c>
      <c r="L1167">
        <v>1171</v>
      </c>
      <c r="M1167">
        <v>2337</v>
      </c>
      <c r="N1167">
        <v>0</v>
      </c>
      <c r="O1167" t="str">
        <f>("2")</f>
        <v>2</v>
      </c>
      <c r="P1167" t="str">
        <f>("Benallal Latifa")</f>
        <v>Benallal Latifa</v>
      </c>
      <c r="Q1167">
        <v>206</v>
      </c>
    </row>
    <row r="1168" spans="1:19" x14ac:dyDescent="0.3">
      <c r="A1168" t="s">
        <v>0</v>
      </c>
      <c r="B1168" s="1">
        <v>45578</v>
      </c>
      <c r="C1168" t="str">
        <f t="shared" si="241"/>
        <v>24062</v>
      </c>
      <c r="D1168" t="s">
        <v>10</v>
      </c>
      <c r="E1168" t="str">
        <f t="shared" si="238"/>
        <v>16</v>
      </c>
      <c r="F1168">
        <v>385550</v>
      </c>
      <c r="G1168">
        <v>254659</v>
      </c>
      <c r="H1168">
        <v>9508</v>
      </c>
      <c r="I1168" t="str">
        <f t="shared" si="244"/>
        <v>8</v>
      </c>
      <c r="J1168" t="str">
        <f t="shared" si="245"/>
        <v>UF Union Francophone</v>
      </c>
      <c r="K1168">
        <v>1166</v>
      </c>
      <c r="L1168">
        <v>1171</v>
      </c>
      <c r="M1168">
        <v>2337</v>
      </c>
      <c r="N1168">
        <v>0</v>
      </c>
      <c r="O1168" t="str">
        <f>("3")</f>
        <v>3</v>
      </c>
      <c r="P1168" t="str">
        <f>("Butaye Jean-Pierre")</f>
        <v>Butaye Jean-Pierre</v>
      </c>
      <c r="Q1168">
        <v>210</v>
      </c>
    </row>
    <row r="1169" spans="1:19" x14ac:dyDescent="0.3">
      <c r="A1169" t="s">
        <v>0</v>
      </c>
      <c r="B1169" s="1">
        <v>45578</v>
      </c>
      <c r="C1169" t="str">
        <f t="shared" si="241"/>
        <v>24062</v>
      </c>
      <c r="D1169" t="s">
        <v>10</v>
      </c>
      <c r="E1169" t="str">
        <f t="shared" si="238"/>
        <v>16</v>
      </c>
      <c r="F1169">
        <v>385550</v>
      </c>
      <c r="G1169">
        <v>254659</v>
      </c>
      <c r="H1169">
        <v>9508</v>
      </c>
      <c r="I1169" t="str">
        <f t="shared" si="244"/>
        <v>8</v>
      </c>
      <c r="J1169" t="str">
        <f t="shared" si="245"/>
        <v>UF Union Francophone</v>
      </c>
      <c r="K1169">
        <v>1166</v>
      </c>
      <c r="L1169">
        <v>1171</v>
      </c>
      <c r="M1169">
        <v>2337</v>
      </c>
      <c r="N1169">
        <v>0</v>
      </c>
      <c r="O1169" t="str">
        <f>("4")</f>
        <v>4</v>
      </c>
      <c r="P1169" t="str">
        <f>("Vandersteen Bruno")</f>
        <v>Vandersteen Bruno</v>
      </c>
      <c r="Q1169">
        <v>160</v>
      </c>
    </row>
    <row r="1170" spans="1:19" x14ac:dyDescent="0.3">
      <c r="A1170" t="s">
        <v>0</v>
      </c>
      <c r="B1170" s="1">
        <v>45578</v>
      </c>
      <c r="C1170" t="str">
        <f t="shared" si="241"/>
        <v>24062</v>
      </c>
      <c r="D1170" t="s">
        <v>10</v>
      </c>
      <c r="E1170" t="str">
        <f t="shared" si="238"/>
        <v>16</v>
      </c>
      <c r="F1170">
        <v>385550</v>
      </c>
      <c r="G1170">
        <v>254659</v>
      </c>
      <c r="H1170">
        <v>9508</v>
      </c>
      <c r="I1170" t="str">
        <f t="shared" si="244"/>
        <v>8</v>
      </c>
      <c r="J1170" t="str">
        <f t="shared" si="245"/>
        <v>UF Union Francophone</v>
      </c>
      <c r="K1170">
        <v>1166</v>
      </c>
      <c r="L1170">
        <v>1171</v>
      </c>
      <c r="M1170">
        <v>2337</v>
      </c>
      <c r="N1170">
        <v>0</v>
      </c>
      <c r="O1170" t="str">
        <f>("5")</f>
        <v>5</v>
      </c>
      <c r="P1170" t="str">
        <f>("Dierickx Evi")</f>
        <v>Dierickx Evi</v>
      </c>
      <c r="Q1170">
        <v>141</v>
      </c>
    </row>
    <row r="1171" spans="1:19" x14ac:dyDescent="0.3">
      <c r="A1171" t="s">
        <v>0</v>
      </c>
      <c r="B1171" s="1">
        <v>45578</v>
      </c>
      <c r="C1171" t="str">
        <f t="shared" si="241"/>
        <v>24062</v>
      </c>
      <c r="D1171" t="s">
        <v>10</v>
      </c>
      <c r="E1171" t="str">
        <f t="shared" si="238"/>
        <v>16</v>
      </c>
      <c r="F1171">
        <v>385550</v>
      </c>
      <c r="G1171">
        <v>254659</v>
      </c>
      <c r="H1171">
        <v>9508</v>
      </c>
      <c r="I1171" t="str">
        <f t="shared" si="244"/>
        <v>8</v>
      </c>
      <c r="J1171" t="str">
        <f t="shared" si="245"/>
        <v>UF Union Francophone</v>
      </c>
      <c r="K1171">
        <v>1166</v>
      </c>
      <c r="L1171">
        <v>1171</v>
      </c>
      <c r="M1171">
        <v>2337</v>
      </c>
      <c r="N1171">
        <v>0</v>
      </c>
      <c r="O1171" t="str">
        <f>("6")</f>
        <v>6</v>
      </c>
      <c r="P1171" t="str">
        <f>("Wojslawowicz Wiktoria")</f>
        <v>Wojslawowicz Wiktoria</v>
      </c>
      <c r="Q1171">
        <v>138</v>
      </c>
    </row>
    <row r="1172" spans="1:19" x14ac:dyDescent="0.3">
      <c r="A1172" t="s">
        <v>0</v>
      </c>
      <c r="B1172" s="1">
        <v>45578</v>
      </c>
      <c r="C1172" t="str">
        <f t="shared" si="241"/>
        <v>24062</v>
      </c>
      <c r="D1172" t="s">
        <v>10</v>
      </c>
      <c r="E1172" t="str">
        <f t="shared" si="238"/>
        <v>16</v>
      </c>
      <c r="F1172">
        <v>385550</v>
      </c>
      <c r="G1172">
        <v>254659</v>
      </c>
      <c r="H1172">
        <v>9508</v>
      </c>
      <c r="I1172" t="str">
        <f t="shared" si="244"/>
        <v>8</v>
      </c>
      <c r="J1172" t="str">
        <f t="shared" si="245"/>
        <v>UF Union Francophone</v>
      </c>
      <c r="K1172">
        <v>1166</v>
      </c>
      <c r="L1172">
        <v>1171</v>
      </c>
      <c r="M1172">
        <v>2337</v>
      </c>
      <c r="N1172">
        <v>0</v>
      </c>
      <c r="O1172" t="str">
        <f>("7")</f>
        <v>7</v>
      </c>
      <c r="P1172" t="str">
        <f>("Galluccio Roberto")</f>
        <v>Galluccio Roberto</v>
      </c>
      <c r="Q1172">
        <v>108</v>
      </c>
    </row>
    <row r="1173" spans="1:19" x14ac:dyDescent="0.3">
      <c r="A1173" t="s">
        <v>0</v>
      </c>
      <c r="B1173" s="1">
        <v>45578</v>
      </c>
      <c r="C1173" t="str">
        <f t="shared" si="241"/>
        <v>24062</v>
      </c>
      <c r="D1173" t="s">
        <v>10</v>
      </c>
      <c r="E1173" t="str">
        <f t="shared" si="238"/>
        <v>16</v>
      </c>
      <c r="F1173">
        <v>385550</v>
      </c>
      <c r="G1173">
        <v>254659</v>
      </c>
      <c r="H1173">
        <v>9508</v>
      </c>
      <c r="I1173" t="str">
        <f t="shared" si="244"/>
        <v>8</v>
      </c>
      <c r="J1173" t="str">
        <f t="shared" si="245"/>
        <v>UF Union Francophone</v>
      </c>
      <c r="K1173">
        <v>1166</v>
      </c>
      <c r="L1173">
        <v>1171</v>
      </c>
      <c r="M1173">
        <v>2337</v>
      </c>
      <c r="N1173">
        <v>0</v>
      </c>
      <c r="O1173" t="str">
        <f>("8")</f>
        <v>8</v>
      </c>
      <c r="P1173" t="str">
        <f>("Hannequart François")</f>
        <v>Hannequart François</v>
      </c>
      <c r="Q1173">
        <v>159</v>
      </c>
    </row>
    <row r="1174" spans="1:19" x14ac:dyDescent="0.3">
      <c r="A1174" t="s">
        <v>0</v>
      </c>
      <c r="B1174" s="1">
        <v>45578</v>
      </c>
      <c r="C1174" t="str">
        <f t="shared" si="241"/>
        <v>24062</v>
      </c>
      <c r="D1174" t="s">
        <v>10</v>
      </c>
      <c r="E1174" t="str">
        <f t="shared" si="238"/>
        <v>16</v>
      </c>
      <c r="F1174">
        <v>385550</v>
      </c>
      <c r="G1174">
        <v>254659</v>
      </c>
      <c r="H1174">
        <v>9508</v>
      </c>
      <c r="I1174" t="str">
        <f t="shared" si="244"/>
        <v>8</v>
      </c>
      <c r="J1174" t="str">
        <f t="shared" si="245"/>
        <v>UF Union Francophone</v>
      </c>
      <c r="K1174">
        <v>1166</v>
      </c>
      <c r="L1174">
        <v>1171</v>
      </c>
      <c r="M1174">
        <v>2337</v>
      </c>
      <c r="N1174">
        <v>0</v>
      </c>
      <c r="O1174" t="str">
        <f>("9")</f>
        <v>9</v>
      </c>
      <c r="P1174" t="str">
        <f>("Boen Grégory")</f>
        <v>Boen Grégory</v>
      </c>
      <c r="Q1174">
        <v>88</v>
      </c>
    </row>
    <row r="1175" spans="1:19" x14ac:dyDescent="0.3">
      <c r="A1175" t="s">
        <v>0</v>
      </c>
      <c r="B1175" s="1">
        <v>45578</v>
      </c>
      <c r="C1175" t="str">
        <f t="shared" si="241"/>
        <v>24062</v>
      </c>
      <c r="D1175" t="s">
        <v>10</v>
      </c>
      <c r="E1175" t="str">
        <f t="shared" si="238"/>
        <v>16</v>
      </c>
      <c r="F1175">
        <v>385550</v>
      </c>
      <c r="G1175">
        <v>254659</v>
      </c>
      <c r="H1175">
        <v>9508</v>
      </c>
      <c r="I1175" t="str">
        <f t="shared" si="244"/>
        <v>8</v>
      </c>
      <c r="J1175" t="str">
        <f t="shared" si="245"/>
        <v>UF Union Francophone</v>
      </c>
      <c r="K1175">
        <v>1166</v>
      </c>
      <c r="L1175">
        <v>1171</v>
      </c>
      <c r="M1175">
        <v>2337</v>
      </c>
      <c r="N1175">
        <v>0</v>
      </c>
      <c r="O1175" t="str">
        <f>("10")</f>
        <v>10</v>
      </c>
      <c r="P1175" t="str">
        <f>("Reyniers Dominique")</f>
        <v>Reyniers Dominique</v>
      </c>
      <c r="Q1175">
        <v>135</v>
      </c>
    </row>
    <row r="1176" spans="1:19" x14ac:dyDescent="0.3">
      <c r="A1176" t="s">
        <v>0</v>
      </c>
      <c r="B1176" s="1">
        <v>45578</v>
      </c>
      <c r="C1176" t="str">
        <f t="shared" si="241"/>
        <v>24062</v>
      </c>
      <c r="D1176" t="s">
        <v>10</v>
      </c>
      <c r="E1176" t="str">
        <f t="shared" si="238"/>
        <v>16</v>
      </c>
      <c r="F1176">
        <v>385550</v>
      </c>
      <c r="G1176">
        <v>254659</v>
      </c>
      <c r="H1176">
        <v>9508</v>
      </c>
      <c r="I1176" t="str">
        <f t="shared" si="244"/>
        <v>8</v>
      </c>
      <c r="J1176" t="str">
        <f t="shared" si="245"/>
        <v>UF Union Francophone</v>
      </c>
      <c r="K1176">
        <v>1166</v>
      </c>
      <c r="L1176">
        <v>1171</v>
      </c>
      <c r="M1176">
        <v>2337</v>
      </c>
      <c r="N1176">
        <v>0</v>
      </c>
      <c r="O1176" t="str">
        <f>("11")</f>
        <v>11</v>
      </c>
      <c r="P1176" t="str">
        <f>("Kiliç Mirza")</f>
        <v>Kiliç Mirza</v>
      </c>
      <c r="Q1176">
        <v>147</v>
      </c>
    </row>
    <row r="1177" spans="1:19" x14ac:dyDescent="0.3">
      <c r="A1177" t="s">
        <v>0</v>
      </c>
      <c r="B1177" s="1">
        <v>45578</v>
      </c>
      <c r="C1177" t="str">
        <f t="shared" si="241"/>
        <v>24062</v>
      </c>
      <c r="D1177" t="s">
        <v>10</v>
      </c>
      <c r="E1177" t="str">
        <f t="shared" si="238"/>
        <v>16</v>
      </c>
      <c r="F1177">
        <v>385550</v>
      </c>
      <c r="G1177">
        <v>254659</v>
      </c>
      <c r="H1177">
        <v>9508</v>
      </c>
      <c r="I1177" t="str">
        <f t="shared" si="244"/>
        <v>8</v>
      </c>
      <c r="J1177" t="str">
        <f t="shared" si="245"/>
        <v>UF Union Francophone</v>
      </c>
      <c r="K1177">
        <v>1166</v>
      </c>
      <c r="L1177">
        <v>1171</v>
      </c>
      <c r="M1177">
        <v>2337</v>
      </c>
      <c r="N1177">
        <v>0</v>
      </c>
      <c r="O1177" t="str">
        <f>("12")</f>
        <v>12</v>
      </c>
      <c r="P1177" t="str">
        <f>("Bernard Béatrice")</f>
        <v>Bernard Béatrice</v>
      </c>
      <c r="Q1177">
        <v>165</v>
      </c>
    </row>
    <row r="1178" spans="1:19" x14ac:dyDescent="0.3">
      <c r="A1178" t="s">
        <v>0</v>
      </c>
      <c r="B1178" s="1">
        <v>45578</v>
      </c>
      <c r="C1178" t="str">
        <f t="shared" si="241"/>
        <v>24062</v>
      </c>
      <c r="D1178" t="s">
        <v>10</v>
      </c>
      <c r="E1178" t="str">
        <f t="shared" si="238"/>
        <v>16</v>
      </c>
      <c r="F1178">
        <v>385550</v>
      </c>
      <c r="G1178">
        <v>254659</v>
      </c>
      <c r="H1178">
        <v>9508</v>
      </c>
      <c r="I1178" t="str">
        <f t="shared" si="244"/>
        <v>8</v>
      </c>
      <c r="J1178" t="str">
        <f t="shared" si="245"/>
        <v>UF Union Francophone</v>
      </c>
      <c r="K1178">
        <v>1166</v>
      </c>
      <c r="L1178">
        <v>1171</v>
      </c>
      <c r="M1178">
        <v>2337</v>
      </c>
      <c r="N1178">
        <v>0</v>
      </c>
      <c r="O1178" t="str">
        <f>("13")</f>
        <v>13</v>
      </c>
      <c r="P1178" t="str">
        <f>("Jaubert Murielle")</f>
        <v>Jaubert Murielle</v>
      </c>
      <c r="Q1178">
        <v>150</v>
      </c>
    </row>
    <row r="1179" spans="1:19" x14ac:dyDescent="0.3">
      <c r="A1179" t="s">
        <v>0</v>
      </c>
      <c r="B1179" s="1">
        <v>45578</v>
      </c>
      <c r="C1179" t="str">
        <f t="shared" si="241"/>
        <v>24062</v>
      </c>
      <c r="D1179" t="s">
        <v>10</v>
      </c>
      <c r="E1179" t="str">
        <f t="shared" si="238"/>
        <v>16</v>
      </c>
      <c r="F1179">
        <v>385550</v>
      </c>
      <c r="G1179">
        <v>254659</v>
      </c>
      <c r="H1179">
        <v>9508</v>
      </c>
      <c r="I1179" t="str">
        <f t="shared" si="244"/>
        <v>8</v>
      </c>
      <c r="J1179" t="str">
        <f t="shared" si="245"/>
        <v>UF Union Francophone</v>
      </c>
      <c r="K1179">
        <v>1166</v>
      </c>
      <c r="L1179">
        <v>1171</v>
      </c>
      <c r="M1179">
        <v>2337</v>
      </c>
      <c r="N1179">
        <v>0</v>
      </c>
      <c r="O1179" t="str">
        <f>("14")</f>
        <v>14</v>
      </c>
      <c r="P1179" t="str">
        <f>("Caprasse Véronique")</f>
        <v>Caprasse Véronique</v>
      </c>
      <c r="Q1179">
        <v>269</v>
      </c>
    </row>
    <row r="1180" spans="1:19" x14ac:dyDescent="0.3">
      <c r="A1180" t="s">
        <v>0</v>
      </c>
      <c r="B1180" s="1">
        <v>45578</v>
      </c>
      <c r="C1180" t="str">
        <f t="shared" si="241"/>
        <v>24062</v>
      </c>
      <c r="D1180" t="s">
        <v>10</v>
      </c>
      <c r="E1180" t="str">
        <f t="shared" si="238"/>
        <v>16</v>
      </c>
      <c r="F1180">
        <v>385550</v>
      </c>
      <c r="G1180">
        <v>254659</v>
      </c>
      <c r="H1180">
        <v>9508</v>
      </c>
      <c r="I1180" t="str">
        <f>("9")</f>
        <v>9</v>
      </c>
      <c r="J1180" t="str">
        <f>("B.U.B. BRABANT")</f>
        <v>B.U.B. BRABANT</v>
      </c>
      <c r="K1180">
        <v>255</v>
      </c>
      <c r="L1180">
        <v>359</v>
      </c>
      <c r="M1180">
        <v>614</v>
      </c>
      <c r="N1180">
        <v>0</v>
      </c>
      <c r="O1180" t="str">
        <f>("1")</f>
        <v>1</v>
      </c>
      <c r="P1180" t="str">
        <f>("Yammine Bruno")</f>
        <v>Yammine Bruno</v>
      </c>
      <c r="Q1180">
        <v>359</v>
      </c>
    </row>
    <row r="1181" spans="1:19" x14ac:dyDescent="0.3">
      <c r="A1181" t="s">
        <v>0</v>
      </c>
      <c r="B1181" s="1">
        <v>45578</v>
      </c>
      <c r="C1181" t="str">
        <f t="shared" ref="C1181:C1212" si="246">("72021")</f>
        <v>72021</v>
      </c>
      <c r="D1181" t="s">
        <v>11</v>
      </c>
      <c r="E1181" t="str">
        <f t="shared" ref="E1181:E1212" si="247">("9")</f>
        <v>9</v>
      </c>
      <c r="F1181">
        <v>178345</v>
      </c>
      <c r="G1181">
        <v>109533</v>
      </c>
      <c r="H1181">
        <v>4019</v>
      </c>
      <c r="I1181" t="str">
        <f t="shared" ref="I1181:I1189" si="248">("1")</f>
        <v>1</v>
      </c>
      <c r="J1181" t="str">
        <f t="shared" ref="J1181:J1189" si="249">("Vooruit")</f>
        <v>Vooruit</v>
      </c>
      <c r="K1181">
        <v>3943</v>
      </c>
      <c r="L1181">
        <v>9834</v>
      </c>
      <c r="M1181">
        <v>13777</v>
      </c>
      <c r="N1181">
        <v>1</v>
      </c>
      <c r="O1181" t="str">
        <f>("1")</f>
        <v>1</v>
      </c>
      <c r="P1181" t="str">
        <f>("Verduyckt Kris")</f>
        <v>Verduyckt Kris</v>
      </c>
      <c r="Q1181">
        <v>5084</v>
      </c>
      <c r="R1181">
        <v>1</v>
      </c>
    </row>
    <row r="1182" spans="1:19" x14ac:dyDescent="0.3">
      <c r="A1182" t="s">
        <v>0</v>
      </c>
      <c r="B1182" s="1">
        <v>45578</v>
      </c>
      <c r="C1182" t="str">
        <f t="shared" si="246"/>
        <v>72021</v>
      </c>
      <c r="D1182" t="s">
        <v>11</v>
      </c>
      <c r="E1182" t="str">
        <f t="shared" si="247"/>
        <v>9</v>
      </c>
      <c r="F1182">
        <v>178345</v>
      </c>
      <c r="G1182">
        <v>109533</v>
      </c>
      <c r="H1182">
        <v>4019</v>
      </c>
      <c r="I1182" t="str">
        <f t="shared" si="248"/>
        <v>1</v>
      </c>
      <c r="J1182" t="str">
        <f t="shared" si="249"/>
        <v>Vooruit</v>
      </c>
      <c r="K1182">
        <v>3943</v>
      </c>
      <c r="L1182">
        <v>9834</v>
      </c>
      <c r="M1182">
        <v>13777</v>
      </c>
      <c r="N1182">
        <v>1</v>
      </c>
      <c r="O1182" t="str">
        <f>("2")</f>
        <v>2</v>
      </c>
      <c r="P1182" t="str">
        <f>("Ait Aadi Bouchera")</f>
        <v>Ait Aadi Bouchera</v>
      </c>
      <c r="Q1182">
        <v>1851</v>
      </c>
      <c r="S1182">
        <v>3</v>
      </c>
    </row>
    <row r="1183" spans="1:19" x14ac:dyDescent="0.3">
      <c r="A1183" t="s">
        <v>0</v>
      </c>
      <c r="B1183" s="1">
        <v>45578</v>
      </c>
      <c r="C1183" t="str">
        <f t="shared" si="246"/>
        <v>72021</v>
      </c>
      <c r="D1183" t="s">
        <v>11</v>
      </c>
      <c r="E1183" t="str">
        <f t="shared" si="247"/>
        <v>9</v>
      </c>
      <c r="F1183">
        <v>178345</v>
      </c>
      <c r="G1183">
        <v>109533</v>
      </c>
      <c r="H1183">
        <v>4019</v>
      </c>
      <c r="I1183" t="str">
        <f t="shared" si="248"/>
        <v>1</v>
      </c>
      <c r="J1183" t="str">
        <f t="shared" si="249"/>
        <v>Vooruit</v>
      </c>
      <c r="K1183">
        <v>3943</v>
      </c>
      <c r="L1183">
        <v>9834</v>
      </c>
      <c r="M1183">
        <v>13777</v>
      </c>
      <c r="N1183">
        <v>1</v>
      </c>
      <c r="O1183" t="str">
        <f>("3")</f>
        <v>3</v>
      </c>
      <c r="P1183" t="str">
        <f>("Reumers Ellen")</f>
        <v>Reumers Ellen</v>
      </c>
      <c r="Q1183">
        <v>1865</v>
      </c>
      <c r="S1183">
        <v>2</v>
      </c>
    </row>
    <row r="1184" spans="1:19" x14ac:dyDescent="0.3">
      <c r="A1184" t="s">
        <v>0</v>
      </c>
      <c r="B1184" s="1">
        <v>45578</v>
      </c>
      <c r="C1184" t="str">
        <f t="shared" si="246"/>
        <v>72021</v>
      </c>
      <c r="D1184" t="s">
        <v>11</v>
      </c>
      <c r="E1184" t="str">
        <f t="shared" si="247"/>
        <v>9</v>
      </c>
      <c r="F1184">
        <v>178345</v>
      </c>
      <c r="G1184">
        <v>109533</v>
      </c>
      <c r="H1184">
        <v>4019</v>
      </c>
      <c r="I1184" t="str">
        <f t="shared" si="248"/>
        <v>1</v>
      </c>
      <c r="J1184" t="str">
        <f t="shared" si="249"/>
        <v>Vooruit</v>
      </c>
      <c r="K1184">
        <v>3943</v>
      </c>
      <c r="L1184">
        <v>9834</v>
      </c>
      <c r="M1184">
        <v>13777</v>
      </c>
      <c r="N1184">
        <v>1</v>
      </c>
      <c r="O1184" t="str">
        <f>("4")</f>
        <v>4</v>
      </c>
      <c r="P1184" t="str">
        <f>("Kadi Waïl")</f>
        <v>Kadi Waïl</v>
      </c>
      <c r="Q1184">
        <v>1391</v>
      </c>
      <c r="S1184">
        <v>8</v>
      </c>
    </row>
    <row r="1185" spans="1:19" x14ac:dyDescent="0.3">
      <c r="A1185" t="s">
        <v>0</v>
      </c>
      <c r="B1185" s="1">
        <v>45578</v>
      </c>
      <c r="C1185" t="str">
        <f t="shared" si="246"/>
        <v>72021</v>
      </c>
      <c r="D1185" t="s">
        <v>11</v>
      </c>
      <c r="E1185" t="str">
        <f t="shared" si="247"/>
        <v>9</v>
      </c>
      <c r="F1185">
        <v>178345</v>
      </c>
      <c r="G1185">
        <v>109533</v>
      </c>
      <c r="H1185">
        <v>4019</v>
      </c>
      <c r="I1185" t="str">
        <f t="shared" si="248"/>
        <v>1</v>
      </c>
      <c r="J1185" t="str">
        <f t="shared" si="249"/>
        <v>Vooruit</v>
      </c>
      <c r="K1185">
        <v>3943</v>
      </c>
      <c r="L1185">
        <v>9834</v>
      </c>
      <c r="M1185">
        <v>13777</v>
      </c>
      <c r="N1185">
        <v>1</v>
      </c>
      <c r="O1185" t="str">
        <f>("5")</f>
        <v>5</v>
      </c>
      <c r="P1185" t="str">
        <f>("Geerts Marc")</f>
        <v>Geerts Marc</v>
      </c>
      <c r="Q1185">
        <v>1566</v>
      </c>
      <c r="S1185">
        <v>5</v>
      </c>
    </row>
    <row r="1186" spans="1:19" x14ac:dyDescent="0.3">
      <c r="A1186" t="s">
        <v>0</v>
      </c>
      <c r="B1186" s="1">
        <v>45578</v>
      </c>
      <c r="C1186" t="str">
        <f t="shared" si="246"/>
        <v>72021</v>
      </c>
      <c r="D1186" t="s">
        <v>11</v>
      </c>
      <c r="E1186" t="str">
        <f t="shared" si="247"/>
        <v>9</v>
      </c>
      <c r="F1186">
        <v>178345</v>
      </c>
      <c r="G1186">
        <v>109533</v>
      </c>
      <c r="H1186">
        <v>4019</v>
      </c>
      <c r="I1186" t="str">
        <f t="shared" si="248"/>
        <v>1</v>
      </c>
      <c r="J1186" t="str">
        <f t="shared" si="249"/>
        <v>Vooruit</v>
      </c>
      <c r="K1186">
        <v>3943</v>
      </c>
      <c r="L1186">
        <v>9834</v>
      </c>
      <c r="M1186">
        <v>13777</v>
      </c>
      <c r="N1186">
        <v>1</v>
      </c>
      <c r="O1186" t="str">
        <f>("6")</f>
        <v>6</v>
      </c>
      <c r="P1186" t="str">
        <f>("Nieruch Inge")</f>
        <v>Nieruch Inge</v>
      </c>
      <c r="Q1186">
        <v>1469</v>
      </c>
      <c r="S1186">
        <v>7</v>
      </c>
    </row>
    <row r="1187" spans="1:19" x14ac:dyDescent="0.3">
      <c r="A1187" t="s">
        <v>0</v>
      </c>
      <c r="B1187" s="1">
        <v>45578</v>
      </c>
      <c r="C1187" t="str">
        <f t="shared" si="246"/>
        <v>72021</v>
      </c>
      <c r="D1187" t="s">
        <v>11</v>
      </c>
      <c r="E1187" t="str">
        <f t="shared" si="247"/>
        <v>9</v>
      </c>
      <c r="F1187">
        <v>178345</v>
      </c>
      <c r="G1187">
        <v>109533</v>
      </c>
      <c r="H1187">
        <v>4019</v>
      </c>
      <c r="I1187" t="str">
        <f t="shared" si="248"/>
        <v>1</v>
      </c>
      <c r="J1187" t="str">
        <f t="shared" si="249"/>
        <v>Vooruit</v>
      </c>
      <c r="K1187">
        <v>3943</v>
      </c>
      <c r="L1187">
        <v>9834</v>
      </c>
      <c r="M1187">
        <v>13777</v>
      </c>
      <c r="N1187">
        <v>1</v>
      </c>
      <c r="O1187" t="str">
        <f>("7")</f>
        <v>7</v>
      </c>
      <c r="P1187" t="str">
        <f>("Lieben Stefanie")</f>
        <v>Lieben Stefanie</v>
      </c>
      <c r="Q1187">
        <v>1846</v>
      </c>
      <c r="S1187">
        <v>4</v>
      </c>
    </row>
    <row r="1188" spans="1:19" x14ac:dyDescent="0.3">
      <c r="A1188" t="s">
        <v>0</v>
      </c>
      <c r="B1188" s="1">
        <v>45578</v>
      </c>
      <c r="C1188" t="str">
        <f t="shared" si="246"/>
        <v>72021</v>
      </c>
      <c r="D1188" t="s">
        <v>11</v>
      </c>
      <c r="E1188" t="str">
        <f t="shared" si="247"/>
        <v>9</v>
      </c>
      <c r="F1188">
        <v>178345</v>
      </c>
      <c r="G1188">
        <v>109533</v>
      </c>
      <c r="H1188">
        <v>4019</v>
      </c>
      <c r="I1188" t="str">
        <f t="shared" si="248"/>
        <v>1</v>
      </c>
      <c r="J1188" t="str">
        <f t="shared" si="249"/>
        <v>Vooruit</v>
      </c>
      <c r="K1188">
        <v>3943</v>
      </c>
      <c r="L1188">
        <v>9834</v>
      </c>
      <c r="M1188">
        <v>13777</v>
      </c>
      <c r="N1188">
        <v>1</v>
      </c>
      <c r="O1188" t="str">
        <f>("8")</f>
        <v>8</v>
      </c>
      <c r="P1188" t="str">
        <f>("Van Baelen Patrick")</f>
        <v>Van Baelen Patrick</v>
      </c>
      <c r="Q1188">
        <v>1487</v>
      </c>
      <c r="S1188">
        <v>6</v>
      </c>
    </row>
    <row r="1189" spans="1:19" x14ac:dyDescent="0.3">
      <c r="A1189" t="s">
        <v>0</v>
      </c>
      <c r="B1189" s="1">
        <v>45578</v>
      </c>
      <c r="C1189" t="str">
        <f t="shared" si="246"/>
        <v>72021</v>
      </c>
      <c r="D1189" t="s">
        <v>11</v>
      </c>
      <c r="E1189" t="str">
        <f t="shared" si="247"/>
        <v>9</v>
      </c>
      <c r="F1189">
        <v>178345</v>
      </c>
      <c r="G1189">
        <v>109533</v>
      </c>
      <c r="H1189">
        <v>4019</v>
      </c>
      <c r="I1189" t="str">
        <f t="shared" si="248"/>
        <v>1</v>
      </c>
      <c r="J1189" t="str">
        <f t="shared" si="249"/>
        <v>Vooruit</v>
      </c>
      <c r="K1189">
        <v>3943</v>
      </c>
      <c r="L1189">
        <v>9834</v>
      </c>
      <c r="M1189">
        <v>13777</v>
      </c>
      <c r="N1189">
        <v>1</v>
      </c>
      <c r="O1189" t="str">
        <f>("9")</f>
        <v>9</v>
      </c>
      <c r="P1189" t="str">
        <f>("Yzermans Alain")</f>
        <v>Yzermans Alain</v>
      </c>
      <c r="Q1189">
        <v>3506</v>
      </c>
      <c r="S1189">
        <v>1</v>
      </c>
    </row>
    <row r="1190" spans="1:19" x14ac:dyDescent="0.3">
      <c r="A1190" t="s">
        <v>0</v>
      </c>
      <c r="B1190" s="1">
        <v>45578</v>
      </c>
      <c r="C1190" t="str">
        <f t="shared" si="246"/>
        <v>72021</v>
      </c>
      <c r="D1190" t="s">
        <v>11</v>
      </c>
      <c r="E1190" t="str">
        <f t="shared" si="247"/>
        <v>9</v>
      </c>
      <c r="F1190">
        <v>178345</v>
      </c>
      <c r="G1190">
        <v>109533</v>
      </c>
      <c r="H1190">
        <v>4019</v>
      </c>
      <c r="I1190" t="str">
        <f t="shared" ref="I1190:I1198" si="250">("2")</f>
        <v>2</v>
      </c>
      <c r="J1190" t="str">
        <f t="shared" ref="J1190:J1198" si="251">("PVDA")</f>
        <v>PVDA</v>
      </c>
      <c r="K1190">
        <v>1427</v>
      </c>
      <c r="L1190">
        <v>2230</v>
      </c>
      <c r="M1190">
        <v>3657</v>
      </c>
      <c r="N1190">
        <v>0</v>
      </c>
      <c r="O1190" t="str">
        <f>("1")</f>
        <v>1</v>
      </c>
      <c r="P1190" t="str">
        <f>("Maesen Sarah")</f>
        <v>Maesen Sarah</v>
      </c>
      <c r="Q1190">
        <v>1172</v>
      </c>
    </row>
    <row r="1191" spans="1:19" x14ac:dyDescent="0.3">
      <c r="A1191" t="s">
        <v>0</v>
      </c>
      <c r="B1191" s="1">
        <v>45578</v>
      </c>
      <c r="C1191" t="str">
        <f t="shared" si="246"/>
        <v>72021</v>
      </c>
      <c r="D1191" t="s">
        <v>11</v>
      </c>
      <c r="E1191" t="str">
        <f t="shared" si="247"/>
        <v>9</v>
      </c>
      <c r="F1191">
        <v>178345</v>
      </c>
      <c r="G1191">
        <v>109533</v>
      </c>
      <c r="H1191">
        <v>4019</v>
      </c>
      <c r="I1191" t="str">
        <f t="shared" si="250"/>
        <v>2</v>
      </c>
      <c r="J1191" t="str">
        <f t="shared" si="251"/>
        <v>PVDA</v>
      </c>
      <c r="K1191">
        <v>1427</v>
      </c>
      <c r="L1191">
        <v>2230</v>
      </c>
      <c r="M1191">
        <v>3657</v>
      </c>
      <c r="N1191">
        <v>0</v>
      </c>
      <c r="O1191" t="str">
        <f>("2")</f>
        <v>2</v>
      </c>
      <c r="P1191" t="str">
        <f>("Ectors Luc")</f>
        <v>Ectors Luc</v>
      </c>
      <c r="Q1191">
        <v>614</v>
      </c>
    </row>
    <row r="1192" spans="1:19" x14ac:dyDescent="0.3">
      <c r="A1192" t="s">
        <v>0</v>
      </c>
      <c r="B1192" s="1">
        <v>45578</v>
      </c>
      <c r="C1192" t="str">
        <f t="shared" si="246"/>
        <v>72021</v>
      </c>
      <c r="D1192" t="s">
        <v>11</v>
      </c>
      <c r="E1192" t="str">
        <f t="shared" si="247"/>
        <v>9</v>
      </c>
      <c r="F1192">
        <v>178345</v>
      </c>
      <c r="G1192">
        <v>109533</v>
      </c>
      <c r="H1192">
        <v>4019</v>
      </c>
      <c r="I1192" t="str">
        <f t="shared" si="250"/>
        <v>2</v>
      </c>
      <c r="J1192" t="str">
        <f t="shared" si="251"/>
        <v>PVDA</v>
      </c>
      <c r="K1192">
        <v>1427</v>
      </c>
      <c r="L1192">
        <v>2230</v>
      </c>
      <c r="M1192">
        <v>3657</v>
      </c>
      <c r="N1192">
        <v>0</v>
      </c>
      <c r="O1192" t="str">
        <f>("3")</f>
        <v>3</v>
      </c>
      <c r="P1192" t="str">
        <f>("Chahboun Nadia")</f>
        <v>Chahboun Nadia</v>
      </c>
      <c r="Q1192">
        <v>645</v>
      </c>
    </row>
    <row r="1193" spans="1:19" x14ac:dyDescent="0.3">
      <c r="A1193" t="s">
        <v>0</v>
      </c>
      <c r="B1193" s="1">
        <v>45578</v>
      </c>
      <c r="C1193" t="str">
        <f t="shared" si="246"/>
        <v>72021</v>
      </c>
      <c r="D1193" t="s">
        <v>11</v>
      </c>
      <c r="E1193" t="str">
        <f t="shared" si="247"/>
        <v>9</v>
      </c>
      <c r="F1193">
        <v>178345</v>
      </c>
      <c r="G1193">
        <v>109533</v>
      </c>
      <c r="H1193">
        <v>4019</v>
      </c>
      <c r="I1193" t="str">
        <f t="shared" si="250"/>
        <v>2</v>
      </c>
      <c r="J1193" t="str">
        <f t="shared" si="251"/>
        <v>PVDA</v>
      </c>
      <c r="K1193">
        <v>1427</v>
      </c>
      <c r="L1193">
        <v>2230</v>
      </c>
      <c r="M1193">
        <v>3657</v>
      </c>
      <c r="N1193">
        <v>0</v>
      </c>
      <c r="O1193" t="str">
        <f>("4")</f>
        <v>4</v>
      </c>
      <c r="P1193" t="str">
        <f>("Blockx Kathleen")</f>
        <v>Blockx Kathleen</v>
      </c>
      <c r="Q1193">
        <v>535</v>
      </c>
    </row>
    <row r="1194" spans="1:19" x14ac:dyDescent="0.3">
      <c r="A1194" t="s">
        <v>0</v>
      </c>
      <c r="B1194" s="1">
        <v>45578</v>
      </c>
      <c r="C1194" t="str">
        <f t="shared" si="246"/>
        <v>72021</v>
      </c>
      <c r="D1194" t="s">
        <v>11</v>
      </c>
      <c r="E1194" t="str">
        <f t="shared" si="247"/>
        <v>9</v>
      </c>
      <c r="F1194">
        <v>178345</v>
      </c>
      <c r="G1194">
        <v>109533</v>
      </c>
      <c r="H1194">
        <v>4019</v>
      </c>
      <c r="I1194" t="str">
        <f t="shared" si="250"/>
        <v>2</v>
      </c>
      <c r="J1194" t="str">
        <f t="shared" si="251"/>
        <v>PVDA</v>
      </c>
      <c r="K1194">
        <v>1427</v>
      </c>
      <c r="L1194">
        <v>2230</v>
      </c>
      <c r="M1194">
        <v>3657</v>
      </c>
      <c r="N1194">
        <v>0</v>
      </c>
      <c r="O1194" t="str">
        <f>("5")</f>
        <v>5</v>
      </c>
      <c r="P1194" t="str">
        <f>("Van Limbergen Sooi")</f>
        <v>Van Limbergen Sooi</v>
      </c>
      <c r="Q1194">
        <v>593</v>
      </c>
    </row>
    <row r="1195" spans="1:19" x14ac:dyDescent="0.3">
      <c r="A1195" t="s">
        <v>0</v>
      </c>
      <c r="B1195" s="1">
        <v>45578</v>
      </c>
      <c r="C1195" t="str">
        <f t="shared" si="246"/>
        <v>72021</v>
      </c>
      <c r="D1195" t="s">
        <v>11</v>
      </c>
      <c r="E1195" t="str">
        <f t="shared" si="247"/>
        <v>9</v>
      </c>
      <c r="F1195">
        <v>178345</v>
      </c>
      <c r="G1195">
        <v>109533</v>
      </c>
      <c r="H1195">
        <v>4019</v>
      </c>
      <c r="I1195" t="str">
        <f t="shared" si="250"/>
        <v>2</v>
      </c>
      <c r="J1195" t="str">
        <f t="shared" si="251"/>
        <v>PVDA</v>
      </c>
      <c r="K1195">
        <v>1427</v>
      </c>
      <c r="L1195">
        <v>2230</v>
      </c>
      <c r="M1195">
        <v>3657</v>
      </c>
      <c r="N1195">
        <v>0</v>
      </c>
      <c r="O1195" t="str">
        <f>("6")</f>
        <v>6</v>
      </c>
      <c r="P1195" t="str">
        <f>("Uzüm Yildiz")</f>
        <v>Uzüm Yildiz</v>
      </c>
      <c r="Q1195">
        <v>695</v>
      </c>
    </row>
    <row r="1196" spans="1:19" x14ac:dyDescent="0.3">
      <c r="A1196" t="s">
        <v>0</v>
      </c>
      <c r="B1196" s="1">
        <v>45578</v>
      </c>
      <c r="C1196" t="str">
        <f t="shared" si="246"/>
        <v>72021</v>
      </c>
      <c r="D1196" t="s">
        <v>11</v>
      </c>
      <c r="E1196" t="str">
        <f t="shared" si="247"/>
        <v>9</v>
      </c>
      <c r="F1196">
        <v>178345</v>
      </c>
      <c r="G1196">
        <v>109533</v>
      </c>
      <c r="H1196">
        <v>4019</v>
      </c>
      <c r="I1196" t="str">
        <f t="shared" si="250"/>
        <v>2</v>
      </c>
      <c r="J1196" t="str">
        <f t="shared" si="251"/>
        <v>PVDA</v>
      </c>
      <c r="K1196">
        <v>1427</v>
      </c>
      <c r="L1196">
        <v>2230</v>
      </c>
      <c r="M1196">
        <v>3657</v>
      </c>
      <c r="N1196">
        <v>0</v>
      </c>
      <c r="O1196" t="str">
        <f>("7")</f>
        <v>7</v>
      </c>
      <c r="P1196" t="str">
        <f>("Ait Oumghar Tieb")</f>
        <v>Ait Oumghar Tieb</v>
      </c>
      <c r="Q1196">
        <v>568</v>
      </c>
    </row>
    <row r="1197" spans="1:19" x14ac:dyDescent="0.3">
      <c r="A1197" t="s">
        <v>0</v>
      </c>
      <c r="B1197" s="1">
        <v>45578</v>
      </c>
      <c r="C1197" t="str">
        <f t="shared" si="246"/>
        <v>72021</v>
      </c>
      <c r="D1197" t="s">
        <v>11</v>
      </c>
      <c r="E1197" t="str">
        <f t="shared" si="247"/>
        <v>9</v>
      </c>
      <c r="F1197">
        <v>178345</v>
      </c>
      <c r="G1197">
        <v>109533</v>
      </c>
      <c r="H1197">
        <v>4019</v>
      </c>
      <c r="I1197" t="str">
        <f t="shared" si="250"/>
        <v>2</v>
      </c>
      <c r="J1197" t="str">
        <f t="shared" si="251"/>
        <v>PVDA</v>
      </c>
      <c r="K1197">
        <v>1427</v>
      </c>
      <c r="L1197">
        <v>2230</v>
      </c>
      <c r="M1197">
        <v>3657</v>
      </c>
      <c r="N1197">
        <v>0</v>
      </c>
      <c r="O1197" t="str">
        <f>("8")</f>
        <v>8</v>
      </c>
      <c r="P1197" t="str">
        <f>("Van Endert Stijn")</f>
        <v>Van Endert Stijn</v>
      </c>
      <c r="Q1197">
        <v>507</v>
      </c>
    </row>
    <row r="1198" spans="1:19" x14ac:dyDescent="0.3">
      <c r="A1198" t="s">
        <v>0</v>
      </c>
      <c r="B1198" s="1">
        <v>45578</v>
      </c>
      <c r="C1198" t="str">
        <f t="shared" si="246"/>
        <v>72021</v>
      </c>
      <c r="D1198" t="s">
        <v>11</v>
      </c>
      <c r="E1198" t="str">
        <f t="shared" si="247"/>
        <v>9</v>
      </c>
      <c r="F1198">
        <v>178345</v>
      </c>
      <c r="G1198">
        <v>109533</v>
      </c>
      <c r="H1198">
        <v>4019</v>
      </c>
      <c r="I1198" t="str">
        <f t="shared" si="250"/>
        <v>2</v>
      </c>
      <c r="J1198" t="str">
        <f t="shared" si="251"/>
        <v>PVDA</v>
      </c>
      <c r="K1198">
        <v>1427</v>
      </c>
      <c r="L1198">
        <v>2230</v>
      </c>
      <c r="M1198">
        <v>3657</v>
      </c>
      <c r="N1198">
        <v>0</v>
      </c>
      <c r="O1198" t="str">
        <f>("9")</f>
        <v>9</v>
      </c>
      <c r="P1198" t="str">
        <f>("Özen Sanem")</f>
        <v>Özen Sanem</v>
      </c>
      <c r="Q1198">
        <v>576</v>
      </c>
    </row>
    <row r="1199" spans="1:19" x14ac:dyDescent="0.3">
      <c r="A1199" t="s">
        <v>0</v>
      </c>
      <c r="B1199" s="1">
        <v>45578</v>
      </c>
      <c r="C1199" t="str">
        <f t="shared" si="246"/>
        <v>72021</v>
      </c>
      <c r="D1199" t="s">
        <v>11</v>
      </c>
      <c r="E1199" t="str">
        <f t="shared" si="247"/>
        <v>9</v>
      </c>
      <c r="F1199">
        <v>178345</v>
      </c>
      <c r="G1199">
        <v>109533</v>
      </c>
      <c r="H1199">
        <v>4019</v>
      </c>
      <c r="I1199" t="str">
        <f t="shared" ref="I1199:I1207" si="252">("3")</f>
        <v>3</v>
      </c>
      <c r="J1199" t="str">
        <f t="shared" ref="J1199:J1207" si="253">("cd&amp;v")</f>
        <v>cd&amp;v</v>
      </c>
      <c r="K1199">
        <v>6515</v>
      </c>
      <c r="L1199">
        <v>27646</v>
      </c>
      <c r="M1199">
        <v>34161</v>
      </c>
      <c r="N1199">
        <v>4</v>
      </c>
      <c r="O1199" t="str">
        <f>("1")</f>
        <v>1</v>
      </c>
      <c r="P1199" t="str">
        <f>("Drieskens Raf")</f>
        <v>Drieskens Raf</v>
      </c>
      <c r="Q1199">
        <v>11296</v>
      </c>
      <c r="R1199">
        <v>2</v>
      </c>
    </row>
    <row r="1200" spans="1:19" x14ac:dyDescent="0.3">
      <c r="A1200" t="s">
        <v>0</v>
      </c>
      <c r="B1200" s="1">
        <v>45578</v>
      </c>
      <c r="C1200" t="str">
        <f t="shared" si="246"/>
        <v>72021</v>
      </c>
      <c r="D1200" t="s">
        <v>11</v>
      </c>
      <c r="E1200" t="str">
        <f t="shared" si="247"/>
        <v>9</v>
      </c>
      <c r="F1200">
        <v>178345</v>
      </c>
      <c r="G1200">
        <v>109533</v>
      </c>
      <c r="H1200">
        <v>4019</v>
      </c>
      <c r="I1200" t="str">
        <f t="shared" si="252"/>
        <v>3</v>
      </c>
      <c r="J1200" t="str">
        <f t="shared" si="253"/>
        <v>cd&amp;v</v>
      </c>
      <c r="K1200">
        <v>6515</v>
      </c>
      <c r="L1200">
        <v>27646</v>
      </c>
      <c r="M1200">
        <v>34161</v>
      </c>
      <c r="N1200">
        <v>4</v>
      </c>
      <c r="O1200" t="str">
        <f>("2")</f>
        <v>2</v>
      </c>
      <c r="P1200" t="str">
        <f>("Hoffmeister Myrthe")</f>
        <v>Hoffmeister Myrthe</v>
      </c>
      <c r="Q1200">
        <v>3671</v>
      </c>
      <c r="S1200">
        <v>4</v>
      </c>
    </row>
    <row r="1201" spans="1:19" x14ac:dyDescent="0.3">
      <c r="A1201" t="s">
        <v>0</v>
      </c>
      <c r="B1201" s="1">
        <v>45578</v>
      </c>
      <c r="C1201" t="str">
        <f t="shared" si="246"/>
        <v>72021</v>
      </c>
      <c r="D1201" t="s">
        <v>11</v>
      </c>
      <c r="E1201" t="str">
        <f t="shared" si="247"/>
        <v>9</v>
      </c>
      <c r="F1201">
        <v>178345</v>
      </c>
      <c r="G1201">
        <v>109533</v>
      </c>
      <c r="H1201">
        <v>4019</v>
      </c>
      <c r="I1201" t="str">
        <f t="shared" si="252"/>
        <v>3</v>
      </c>
      <c r="J1201" t="str">
        <f t="shared" si="253"/>
        <v>cd&amp;v</v>
      </c>
      <c r="K1201">
        <v>6515</v>
      </c>
      <c r="L1201">
        <v>27646</v>
      </c>
      <c r="M1201">
        <v>34161</v>
      </c>
      <c r="N1201">
        <v>4</v>
      </c>
      <c r="O1201" t="str">
        <f>("3")</f>
        <v>3</v>
      </c>
      <c r="P1201" t="str">
        <f>("Truyens Raf")</f>
        <v>Truyens Raf</v>
      </c>
      <c r="Q1201">
        <v>4424</v>
      </c>
      <c r="S1201">
        <v>3</v>
      </c>
    </row>
    <row r="1202" spans="1:19" x14ac:dyDescent="0.3">
      <c r="A1202" t="s">
        <v>0</v>
      </c>
      <c r="B1202" s="1">
        <v>45578</v>
      </c>
      <c r="C1202" t="str">
        <f t="shared" si="246"/>
        <v>72021</v>
      </c>
      <c r="D1202" t="s">
        <v>11</v>
      </c>
      <c r="E1202" t="str">
        <f t="shared" si="247"/>
        <v>9</v>
      </c>
      <c r="F1202">
        <v>178345</v>
      </c>
      <c r="G1202">
        <v>109533</v>
      </c>
      <c r="H1202">
        <v>4019</v>
      </c>
      <c r="I1202" t="str">
        <f t="shared" si="252"/>
        <v>3</v>
      </c>
      <c r="J1202" t="str">
        <f t="shared" si="253"/>
        <v>cd&amp;v</v>
      </c>
      <c r="K1202">
        <v>6515</v>
      </c>
      <c r="L1202">
        <v>27646</v>
      </c>
      <c r="M1202">
        <v>34161</v>
      </c>
      <c r="N1202">
        <v>4</v>
      </c>
      <c r="O1202" t="str">
        <f>("4")</f>
        <v>4</v>
      </c>
      <c r="P1202" t="str">
        <f>("Fransen Liesbeth")</f>
        <v>Fransen Liesbeth</v>
      </c>
      <c r="Q1202">
        <v>6783</v>
      </c>
      <c r="R1202">
        <v>3</v>
      </c>
    </row>
    <row r="1203" spans="1:19" x14ac:dyDescent="0.3">
      <c r="A1203" t="s">
        <v>0</v>
      </c>
      <c r="B1203" s="1">
        <v>45578</v>
      </c>
      <c r="C1203" t="str">
        <f t="shared" si="246"/>
        <v>72021</v>
      </c>
      <c r="D1203" t="s">
        <v>11</v>
      </c>
      <c r="E1203" t="str">
        <f t="shared" si="247"/>
        <v>9</v>
      </c>
      <c r="F1203">
        <v>178345</v>
      </c>
      <c r="G1203">
        <v>109533</v>
      </c>
      <c r="H1203">
        <v>4019</v>
      </c>
      <c r="I1203" t="str">
        <f t="shared" si="252"/>
        <v>3</v>
      </c>
      <c r="J1203" t="str">
        <f t="shared" si="253"/>
        <v>cd&amp;v</v>
      </c>
      <c r="K1203">
        <v>6515</v>
      </c>
      <c r="L1203">
        <v>27646</v>
      </c>
      <c r="M1203">
        <v>34161</v>
      </c>
      <c r="N1203">
        <v>4</v>
      </c>
      <c r="O1203" t="str">
        <f>("5")</f>
        <v>5</v>
      </c>
      <c r="P1203" t="str">
        <f>("Maris Liesbeth")</f>
        <v>Maris Liesbeth</v>
      </c>
      <c r="Q1203">
        <v>3613</v>
      </c>
      <c r="S1203">
        <v>5</v>
      </c>
    </row>
    <row r="1204" spans="1:19" x14ac:dyDescent="0.3">
      <c r="A1204" t="s">
        <v>0</v>
      </c>
      <c r="B1204" s="1">
        <v>45578</v>
      </c>
      <c r="C1204" t="str">
        <f t="shared" si="246"/>
        <v>72021</v>
      </c>
      <c r="D1204" t="s">
        <v>11</v>
      </c>
      <c r="E1204" t="str">
        <f t="shared" si="247"/>
        <v>9</v>
      </c>
      <c r="F1204">
        <v>178345</v>
      </c>
      <c r="G1204">
        <v>109533</v>
      </c>
      <c r="H1204">
        <v>4019</v>
      </c>
      <c r="I1204" t="str">
        <f t="shared" si="252"/>
        <v>3</v>
      </c>
      <c r="J1204" t="str">
        <f t="shared" si="253"/>
        <v>cd&amp;v</v>
      </c>
      <c r="K1204">
        <v>6515</v>
      </c>
      <c r="L1204">
        <v>27646</v>
      </c>
      <c r="M1204">
        <v>34161</v>
      </c>
      <c r="N1204">
        <v>4</v>
      </c>
      <c r="O1204" t="str">
        <f>("6")</f>
        <v>6</v>
      </c>
      <c r="P1204" t="str">
        <f>("Knoops An")</f>
        <v>Knoops An</v>
      </c>
      <c r="Q1204">
        <v>4642</v>
      </c>
      <c r="S1204">
        <v>2</v>
      </c>
    </row>
    <row r="1205" spans="1:19" x14ac:dyDescent="0.3">
      <c r="A1205" t="s">
        <v>0</v>
      </c>
      <c r="B1205" s="1">
        <v>45578</v>
      </c>
      <c r="C1205" t="str">
        <f t="shared" si="246"/>
        <v>72021</v>
      </c>
      <c r="D1205" t="s">
        <v>11</v>
      </c>
      <c r="E1205" t="str">
        <f t="shared" si="247"/>
        <v>9</v>
      </c>
      <c r="F1205">
        <v>178345</v>
      </c>
      <c r="G1205">
        <v>109533</v>
      </c>
      <c r="H1205">
        <v>4019</v>
      </c>
      <c r="I1205" t="str">
        <f t="shared" si="252"/>
        <v>3</v>
      </c>
      <c r="J1205" t="str">
        <f t="shared" si="253"/>
        <v>cd&amp;v</v>
      </c>
      <c r="K1205">
        <v>6515</v>
      </c>
      <c r="L1205">
        <v>27646</v>
      </c>
      <c r="M1205">
        <v>34161</v>
      </c>
      <c r="N1205">
        <v>4</v>
      </c>
      <c r="O1205" t="str">
        <f>("7")</f>
        <v>7</v>
      </c>
      <c r="P1205" t="str">
        <f>("Nijs Bob")</f>
        <v>Nijs Bob</v>
      </c>
      <c r="Q1205">
        <v>6524</v>
      </c>
      <c r="S1205">
        <v>1</v>
      </c>
    </row>
    <row r="1206" spans="1:19" x14ac:dyDescent="0.3">
      <c r="A1206" t="s">
        <v>0</v>
      </c>
      <c r="B1206" s="1">
        <v>45578</v>
      </c>
      <c r="C1206" t="str">
        <f t="shared" si="246"/>
        <v>72021</v>
      </c>
      <c r="D1206" t="s">
        <v>11</v>
      </c>
      <c r="E1206" t="str">
        <f t="shared" si="247"/>
        <v>9</v>
      </c>
      <c r="F1206">
        <v>178345</v>
      </c>
      <c r="G1206">
        <v>109533</v>
      </c>
      <c r="H1206">
        <v>4019</v>
      </c>
      <c r="I1206" t="str">
        <f t="shared" si="252"/>
        <v>3</v>
      </c>
      <c r="J1206" t="str">
        <f t="shared" si="253"/>
        <v>cd&amp;v</v>
      </c>
      <c r="K1206">
        <v>6515</v>
      </c>
      <c r="L1206">
        <v>27646</v>
      </c>
      <c r="M1206">
        <v>34161</v>
      </c>
      <c r="N1206">
        <v>4</v>
      </c>
      <c r="O1206" t="str">
        <f>("8")</f>
        <v>8</v>
      </c>
      <c r="P1206" t="str">
        <f>("Matheï Steven")</f>
        <v>Matheï Steven</v>
      </c>
      <c r="Q1206">
        <v>6710</v>
      </c>
      <c r="R1206">
        <v>4</v>
      </c>
    </row>
    <row r="1207" spans="1:19" x14ac:dyDescent="0.3">
      <c r="A1207" t="s">
        <v>0</v>
      </c>
      <c r="B1207" s="1">
        <v>45578</v>
      </c>
      <c r="C1207" t="str">
        <f t="shared" si="246"/>
        <v>72021</v>
      </c>
      <c r="D1207" t="s">
        <v>11</v>
      </c>
      <c r="E1207" t="str">
        <f t="shared" si="247"/>
        <v>9</v>
      </c>
      <c r="F1207">
        <v>178345</v>
      </c>
      <c r="G1207">
        <v>109533</v>
      </c>
      <c r="H1207">
        <v>4019</v>
      </c>
      <c r="I1207" t="str">
        <f t="shared" si="252"/>
        <v>3</v>
      </c>
      <c r="J1207" t="str">
        <f t="shared" si="253"/>
        <v>cd&amp;v</v>
      </c>
      <c r="K1207">
        <v>6515</v>
      </c>
      <c r="L1207">
        <v>27646</v>
      </c>
      <c r="M1207">
        <v>34161</v>
      </c>
      <c r="N1207">
        <v>4</v>
      </c>
      <c r="O1207" t="str">
        <f>("9")</f>
        <v>9</v>
      </c>
      <c r="P1207" t="str">
        <f>("Brouns Jo")</f>
        <v>Brouns Jo</v>
      </c>
      <c r="Q1207">
        <v>14493</v>
      </c>
      <c r="R1207">
        <v>1</v>
      </c>
    </row>
    <row r="1208" spans="1:19" x14ac:dyDescent="0.3">
      <c r="A1208" t="s">
        <v>0</v>
      </c>
      <c r="B1208" s="1">
        <v>45578</v>
      </c>
      <c r="C1208" t="str">
        <f t="shared" si="246"/>
        <v>72021</v>
      </c>
      <c r="D1208" t="s">
        <v>11</v>
      </c>
      <c r="E1208" t="str">
        <f t="shared" si="247"/>
        <v>9</v>
      </c>
      <c r="F1208">
        <v>178345</v>
      </c>
      <c r="G1208">
        <v>109533</v>
      </c>
      <c r="H1208">
        <v>4019</v>
      </c>
      <c r="I1208" t="str">
        <f t="shared" ref="I1208:I1216" si="254">("4")</f>
        <v>4</v>
      </c>
      <c r="J1208" t="str">
        <f t="shared" ref="J1208:J1216" si="255">("VLAAMS BELANG")</f>
        <v>VLAAMS BELANG</v>
      </c>
      <c r="K1208">
        <v>10147</v>
      </c>
      <c r="L1208">
        <v>8999</v>
      </c>
      <c r="M1208">
        <v>19146</v>
      </c>
      <c r="N1208">
        <v>2</v>
      </c>
      <c r="O1208" t="str">
        <f>("1")</f>
        <v>1</v>
      </c>
      <c r="P1208" t="str">
        <f>("Kenis Danny")</f>
        <v>Kenis Danny</v>
      </c>
      <c r="Q1208">
        <v>5888</v>
      </c>
      <c r="R1208">
        <v>1</v>
      </c>
    </row>
    <row r="1209" spans="1:19" x14ac:dyDescent="0.3">
      <c r="A1209" t="s">
        <v>0</v>
      </c>
      <c r="B1209" s="1">
        <v>45578</v>
      </c>
      <c r="C1209" t="str">
        <f t="shared" si="246"/>
        <v>72021</v>
      </c>
      <c r="D1209" t="s">
        <v>11</v>
      </c>
      <c r="E1209" t="str">
        <f t="shared" si="247"/>
        <v>9</v>
      </c>
      <c r="F1209">
        <v>178345</v>
      </c>
      <c r="G1209">
        <v>109533</v>
      </c>
      <c r="H1209">
        <v>4019</v>
      </c>
      <c r="I1209" t="str">
        <f t="shared" si="254"/>
        <v>4</v>
      </c>
      <c r="J1209" t="str">
        <f t="shared" si="255"/>
        <v>VLAAMS BELANG</v>
      </c>
      <c r="K1209">
        <v>10147</v>
      </c>
      <c r="L1209">
        <v>8999</v>
      </c>
      <c r="M1209">
        <v>19146</v>
      </c>
      <c r="N1209">
        <v>2</v>
      </c>
      <c r="O1209" t="str">
        <f>("2")</f>
        <v>2</v>
      </c>
      <c r="P1209" t="str">
        <f>("Stevens Carine")</f>
        <v>Stevens Carine</v>
      </c>
      <c r="Q1209">
        <v>3593</v>
      </c>
      <c r="R1209">
        <v>2</v>
      </c>
    </row>
    <row r="1210" spans="1:19" x14ac:dyDescent="0.3">
      <c r="A1210" t="s">
        <v>0</v>
      </c>
      <c r="B1210" s="1">
        <v>45578</v>
      </c>
      <c r="C1210" t="str">
        <f t="shared" si="246"/>
        <v>72021</v>
      </c>
      <c r="D1210" t="s">
        <v>11</v>
      </c>
      <c r="E1210" t="str">
        <f t="shared" si="247"/>
        <v>9</v>
      </c>
      <c r="F1210">
        <v>178345</v>
      </c>
      <c r="G1210">
        <v>109533</v>
      </c>
      <c r="H1210">
        <v>4019</v>
      </c>
      <c r="I1210" t="str">
        <f t="shared" si="254"/>
        <v>4</v>
      </c>
      <c r="J1210" t="str">
        <f t="shared" si="255"/>
        <v>VLAAMS BELANG</v>
      </c>
      <c r="K1210">
        <v>10147</v>
      </c>
      <c r="L1210">
        <v>8999</v>
      </c>
      <c r="M1210">
        <v>19146</v>
      </c>
      <c r="N1210">
        <v>2</v>
      </c>
      <c r="O1210" t="str">
        <f>("3")</f>
        <v>3</v>
      </c>
      <c r="P1210" t="str">
        <f>("Paumen Frank")</f>
        <v>Paumen Frank</v>
      </c>
      <c r="Q1210">
        <v>3067</v>
      </c>
      <c r="S1210">
        <v>4</v>
      </c>
    </row>
    <row r="1211" spans="1:19" x14ac:dyDescent="0.3">
      <c r="A1211" t="s">
        <v>0</v>
      </c>
      <c r="B1211" s="1">
        <v>45578</v>
      </c>
      <c r="C1211" t="str">
        <f t="shared" si="246"/>
        <v>72021</v>
      </c>
      <c r="D1211" t="s">
        <v>11</v>
      </c>
      <c r="E1211" t="str">
        <f t="shared" si="247"/>
        <v>9</v>
      </c>
      <c r="F1211">
        <v>178345</v>
      </c>
      <c r="G1211">
        <v>109533</v>
      </c>
      <c r="H1211">
        <v>4019</v>
      </c>
      <c r="I1211" t="str">
        <f t="shared" si="254"/>
        <v>4</v>
      </c>
      <c r="J1211" t="str">
        <f t="shared" si="255"/>
        <v>VLAAMS BELANG</v>
      </c>
      <c r="K1211">
        <v>10147</v>
      </c>
      <c r="L1211">
        <v>8999</v>
      </c>
      <c r="M1211">
        <v>19146</v>
      </c>
      <c r="N1211">
        <v>2</v>
      </c>
      <c r="O1211" t="str">
        <f>("4")</f>
        <v>4</v>
      </c>
      <c r="P1211" t="str">
        <f>("Achten Carine")</f>
        <v>Achten Carine</v>
      </c>
      <c r="Q1211">
        <v>3324</v>
      </c>
      <c r="S1211">
        <v>2</v>
      </c>
    </row>
    <row r="1212" spans="1:19" x14ac:dyDescent="0.3">
      <c r="A1212" t="s">
        <v>0</v>
      </c>
      <c r="B1212" s="1">
        <v>45578</v>
      </c>
      <c r="C1212" t="str">
        <f t="shared" si="246"/>
        <v>72021</v>
      </c>
      <c r="D1212" t="s">
        <v>11</v>
      </c>
      <c r="E1212" t="str">
        <f t="shared" si="247"/>
        <v>9</v>
      </c>
      <c r="F1212">
        <v>178345</v>
      </c>
      <c r="G1212">
        <v>109533</v>
      </c>
      <c r="H1212">
        <v>4019</v>
      </c>
      <c r="I1212" t="str">
        <f t="shared" si="254"/>
        <v>4</v>
      </c>
      <c r="J1212" t="str">
        <f t="shared" si="255"/>
        <v>VLAAMS BELANG</v>
      </c>
      <c r="K1212">
        <v>10147</v>
      </c>
      <c r="L1212">
        <v>8999</v>
      </c>
      <c r="M1212">
        <v>19146</v>
      </c>
      <c r="N1212">
        <v>2</v>
      </c>
      <c r="O1212" t="str">
        <f>("5")</f>
        <v>5</v>
      </c>
      <c r="P1212" t="str">
        <f>("Haesen Thor")</f>
        <v>Haesen Thor</v>
      </c>
      <c r="Q1212">
        <v>2939</v>
      </c>
      <c r="S1212">
        <v>5</v>
      </c>
    </row>
    <row r="1213" spans="1:19" x14ac:dyDescent="0.3">
      <c r="A1213" t="s">
        <v>0</v>
      </c>
      <c r="B1213" s="1">
        <v>45578</v>
      </c>
      <c r="C1213" t="str">
        <f t="shared" ref="C1213:C1244" si="256">("72021")</f>
        <v>72021</v>
      </c>
      <c r="D1213" t="s">
        <v>11</v>
      </c>
      <c r="E1213" t="str">
        <f t="shared" ref="E1213:E1244" si="257">("9")</f>
        <v>9</v>
      </c>
      <c r="F1213">
        <v>178345</v>
      </c>
      <c r="G1213">
        <v>109533</v>
      </c>
      <c r="H1213">
        <v>4019</v>
      </c>
      <c r="I1213" t="str">
        <f t="shared" si="254"/>
        <v>4</v>
      </c>
      <c r="J1213" t="str">
        <f t="shared" si="255"/>
        <v>VLAAMS BELANG</v>
      </c>
      <c r="K1213">
        <v>10147</v>
      </c>
      <c r="L1213">
        <v>8999</v>
      </c>
      <c r="M1213">
        <v>19146</v>
      </c>
      <c r="N1213">
        <v>2</v>
      </c>
      <c r="O1213" t="str">
        <f>("6")</f>
        <v>6</v>
      </c>
      <c r="P1213" t="str">
        <f>("Spee Marleen")</f>
        <v>Spee Marleen</v>
      </c>
      <c r="Q1213">
        <v>2916</v>
      </c>
      <c r="S1213">
        <v>7</v>
      </c>
    </row>
    <row r="1214" spans="1:19" x14ac:dyDescent="0.3">
      <c r="A1214" t="s">
        <v>0</v>
      </c>
      <c r="B1214" s="1">
        <v>45578</v>
      </c>
      <c r="C1214" t="str">
        <f t="shared" si="256"/>
        <v>72021</v>
      </c>
      <c r="D1214" t="s">
        <v>11</v>
      </c>
      <c r="E1214" t="str">
        <f t="shared" si="257"/>
        <v>9</v>
      </c>
      <c r="F1214">
        <v>178345</v>
      </c>
      <c r="G1214">
        <v>109533</v>
      </c>
      <c r="H1214">
        <v>4019</v>
      </c>
      <c r="I1214" t="str">
        <f t="shared" si="254"/>
        <v>4</v>
      </c>
      <c r="J1214" t="str">
        <f t="shared" si="255"/>
        <v>VLAAMS BELANG</v>
      </c>
      <c r="K1214">
        <v>10147</v>
      </c>
      <c r="L1214">
        <v>8999</v>
      </c>
      <c r="M1214">
        <v>19146</v>
      </c>
      <c r="N1214">
        <v>2</v>
      </c>
      <c r="O1214" t="str">
        <f>("7")</f>
        <v>7</v>
      </c>
      <c r="P1214" t="str">
        <f>("Tijskens Jaak")</f>
        <v>Tijskens Jaak</v>
      </c>
      <c r="Q1214">
        <v>2932</v>
      </c>
      <c r="S1214">
        <v>6</v>
      </c>
    </row>
    <row r="1215" spans="1:19" x14ac:dyDescent="0.3">
      <c r="A1215" t="s">
        <v>0</v>
      </c>
      <c r="B1215" s="1">
        <v>45578</v>
      </c>
      <c r="C1215" t="str">
        <f t="shared" si="256"/>
        <v>72021</v>
      </c>
      <c r="D1215" t="s">
        <v>11</v>
      </c>
      <c r="E1215" t="str">
        <f t="shared" si="257"/>
        <v>9</v>
      </c>
      <c r="F1215">
        <v>178345</v>
      </c>
      <c r="G1215">
        <v>109533</v>
      </c>
      <c r="H1215">
        <v>4019</v>
      </c>
      <c r="I1215" t="str">
        <f t="shared" si="254"/>
        <v>4</v>
      </c>
      <c r="J1215" t="str">
        <f t="shared" si="255"/>
        <v>VLAAMS BELANG</v>
      </c>
      <c r="K1215">
        <v>10147</v>
      </c>
      <c r="L1215">
        <v>8999</v>
      </c>
      <c r="M1215">
        <v>19146</v>
      </c>
      <c r="N1215">
        <v>2</v>
      </c>
      <c r="O1215" t="str">
        <f>("8")</f>
        <v>8</v>
      </c>
      <c r="P1215" t="str">
        <f>("Tielemans Wendy")</f>
        <v>Tielemans Wendy</v>
      </c>
      <c r="Q1215">
        <v>3201</v>
      </c>
      <c r="S1215">
        <v>3</v>
      </c>
    </row>
    <row r="1216" spans="1:19" x14ac:dyDescent="0.3">
      <c r="A1216" t="s">
        <v>0</v>
      </c>
      <c r="B1216" s="1">
        <v>45578</v>
      </c>
      <c r="C1216" t="str">
        <f t="shared" si="256"/>
        <v>72021</v>
      </c>
      <c r="D1216" t="s">
        <v>11</v>
      </c>
      <c r="E1216" t="str">
        <f t="shared" si="257"/>
        <v>9</v>
      </c>
      <c r="F1216">
        <v>178345</v>
      </c>
      <c r="G1216">
        <v>109533</v>
      </c>
      <c r="H1216">
        <v>4019</v>
      </c>
      <c r="I1216" t="str">
        <f t="shared" si="254"/>
        <v>4</v>
      </c>
      <c r="J1216" t="str">
        <f t="shared" si="255"/>
        <v>VLAAMS BELANG</v>
      </c>
      <c r="K1216">
        <v>10147</v>
      </c>
      <c r="L1216">
        <v>8999</v>
      </c>
      <c r="M1216">
        <v>19146</v>
      </c>
      <c r="N1216">
        <v>2</v>
      </c>
      <c r="O1216" t="str">
        <f>("9")</f>
        <v>9</v>
      </c>
      <c r="P1216" t="str">
        <f>("Pieters Leo")</f>
        <v>Pieters Leo</v>
      </c>
      <c r="Q1216">
        <v>3382</v>
      </c>
      <c r="S1216">
        <v>1</v>
      </c>
    </row>
    <row r="1217" spans="1:19" x14ac:dyDescent="0.3">
      <c r="A1217" t="s">
        <v>0</v>
      </c>
      <c r="B1217" s="1">
        <v>45578</v>
      </c>
      <c r="C1217" t="str">
        <f t="shared" si="256"/>
        <v>72021</v>
      </c>
      <c r="D1217" t="s">
        <v>11</v>
      </c>
      <c r="E1217" t="str">
        <f t="shared" si="257"/>
        <v>9</v>
      </c>
      <c r="F1217">
        <v>178345</v>
      </c>
      <c r="G1217">
        <v>109533</v>
      </c>
      <c r="H1217">
        <v>4019</v>
      </c>
      <c r="I1217" t="str">
        <f t="shared" ref="I1217:I1225" si="258">("5")</f>
        <v>5</v>
      </c>
      <c r="J1217" t="str">
        <f t="shared" ref="J1217:J1225" si="259">("N-VA")</f>
        <v>N-VA</v>
      </c>
      <c r="K1217">
        <v>8593</v>
      </c>
      <c r="L1217">
        <v>13563</v>
      </c>
      <c r="M1217">
        <v>22156</v>
      </c>
      <c r="N1217">
        <v>2</v>
      </c>
      <c r="O1217" t="str">
        <f>("1")</f>
        <v>1</v>
      </c>
      <c r="P1217" t="str">
        <f>("Olaerts Laura")</f>
        <v>Olaerts Laura</v>
      </c>
      <c r="Q1217">
        <v>7217</v>
      </c>
      <c r="R1217">
        <v>1</v>
      </c>
    </row>
    <row r="1218" spans="1:19" x14ac:dyDescent="0.3">
      <c r="A1218" t="s">
        <v>0</v>
      </c>
      <c r="B1218" s="1">
        <v>45578</v>
      </c>
      <c r="C1218" t="str">
        <f t="shared" si="256"/>
        <v>72021</v>
      </c>
      <c r="D1218" t="s">
        <v>11</v>
      </c>
      <c r="E1218" t="str">
        <f t="shared" si="257"/>
        <v>9</v>
      </c>
      <c r="F1218">
        <v>178345</v>
      </c>
      <c r="G1218">
        <v>109533</v>
      </c>
      <c r="H1218">
        <v>4019</v>
      </c>
      <c r="I1218" t="str">
        <f t="shared" si="258"/>
        <v>5</v>
      </c>
      <c r="J1218" t="str">
        <f t="shared" si="259"/>
        <v>N-VA</v>
      </c>
      <c r="K1218">
        <v>8593</v>
      </c>
      <c r="L1218">
        <v>13563</v>
      </c>
      <c r="M1218">
        <v>22156</v>
      </c>
      <c r="N1218">
        <v>2</v>
      </c>
      <c r="O1218" t="str">
        <f>("2")</f>
        <v>2</v>
      </c>
      <c r="P1218" t="str">
        <f>("Schuermans Jochen")</f>
        <v>Schuermans Jochen</v>
      </c>
      <c r="Q1218">
        <v>4143</v>
      </c>
      <c r="S1218">
        <v>1</v>
      </c>
    </row>
    <row r="1219" spans="1:19" x14ac:dyDescent="0.3">
      <c r="A1219" t="s">
        <v>0</v>
      </c>
      <c r="B1219" s="1">
        <v>45578</v>
      </c>
      <c r="C1219" t="str">
        <f t="shared" si="256"/>
        <v>72021</v>
      </c>
      <c r="D1219" t="s">
        <v>11</v>
      </c>
      <c r="E1219" t="str">
        <f t="shared" si="257"/>
        <v>9</v>
      </c>
      <c r="F1219">
        <v>178345</v>
      </c>
      <c r="G1219">
        <v>109533</v>
      </c>
      <c r="H1219">
        <v>4019</v>
      </c>
      <c r="I1219" t="str">
        <f t="shared" si="258"/>
        <v>5</v>
      </c>
      <c r="J1219" t="str">
        <f t="shared" si="259"/>
        <v>N-VA</v>
      </c>
      <c r="K1219">
        <v>8593</v>
      </c>
      <c r="L1219">
        <v>13563</v>
      </c>
      <c r="M1219">
        <v>22156</v>
      </c>
      <c r="N1219">
        <v>2</v>
      </c>
      <c r="O1219" t="str">
        <f>("3")</f>
        <v>3</v>
      </c>
      <c r="P1219" t="str">
        <f>("Gysen Fran")</f>
        <v>Gysen Fran</v>
      </c>
      <c r="Q1219">
        <v>3416</v>
      </c>
      <c r="S1219">
        <v>2</v>
      </c>
    </row>
    <row r="1220" spans="1:19" x14ac:dyDescent="0.3">
      <c r="A1220" t="s">
        <v>0</v>
      </c>
      <c r="B1220" s="1">
        <v>45578</v>
      </c>
      <c r="C1220" t="str">
        <f t="shared" si="256"/>
        <v>72021</v>
      </c>
      <c r="D1220" t="s">
        <v>11</v>
      </c>
      <c r="E1220" t="str">
        <f t="shared" si="257"/>
        <v>9</v>
      </c>
      <c r="F1220">
        <v>178345</v>
      </c>
      <c r="G1220">
        <v>109533</v>
      </c>
      <c r="H1220">
        <v>4019</v>
      </c>
      <c r="I1220" t="str">
        <f t="shared" si="258"/>
        <v>5</v>
      </c>
      <c r="J1220" t="str">
        <f t="shared" si="259"/>
        <v>N-VA</v>
      </c>
      <c r="K1220">
        <v>8593</v>
      </c>
      <c r="L1220">
        <v>13563</v>
      </c>
      <c r="M1220">
        <v>22156</v>
      </c>
      <c r="N1220">
        <v>2</v>
      </c>
      <c r="O1220" t="str">
        <f>("4")</f>
        <v>4</v>
      </c>
      <c r="P1220" t="str">
        <f>("Ayed Ismail")</f>
        <v>Ayed Ismail</v>
      </c>
      <c r="Q1220">
        <v>2258</v>
      </c>
      <c r="S1220">
        <v>7</v>
      </c>
    </row>
    <row r="1221" spans="1:19" x14ac:dyDescent="0.3">
      <c r="A1221" t="s">
        <v>0</v>
      </c>
      <c r="B1221" s="1">
        <v>45578</v>
      </c>
      <c r="C1221" t="str">
        <f t="shared" si="256"/>
        <v>72021</v>
      </c>
      <c r="D1221" t="s">
        <v>11</v>
      </c>
      <c r="E1221" t="str">
        <f t="shared" si="257"/>
        <v>9</v>
      </c>
      <c r="F1221">
        <v>178345</v>
      </c>
      <c r="G1221">
        <v>109533</v>
      </c>
      <c r="H1221">
        <v>4019</v>
      </c>
      <c r="I1221" t="str">
        <f t="shared" si="258"/>
        <v>5</v>
      </c>
      <c r="J1221" t="str">
        <f t="shared" si="259"/>
        <v>N-VA</v>
      </c>
      <c r="K1221">
        <v>8593</v>
      </c>
      <c r="L1221">
        <v>13563</v>
      </c>
      <c r="M1221">
        <v>22156</v>
      </c>
      <c r="N1221">
        <v>2</v>
      </c>
      <c r="O1221" t="str">
        <f>("5")</f>
        <v>5</v>
      </c>
      <c r="P1221" t="str">
        <f>("Verlinden Bjorn")</f>
        <v>Verlinden Bjorn</v>
      </c>
      <c r="Q1221">
        <v>2758</v>
      </c>
      <c r="S1221">
        <v>5</v>
      </c>
    </row>
    <row r="1222" spans="1:19" x14ac:dyDescent="0.3">
      <c r="A1222" t="s">
        <v>0</v>
      </c>
      <c r="B1222" s="1">
        <v>45578</v>
      </c>
      <c r="C1222" t="str">
        <f t="shared" si="256"/>
        <v>72021</v>
      </c>
      <c r="D1222" t="s">
        <v>11</v>
      </c>
      <c r="E1222" t="str">
        <f t="shared" si="257"/>
        <v>9</v>
      </c>
      <c r="F1222">
        <v>178345</v>
      </c>
      <c r="G1222">
        <v>109533</v>
      </c>
      <c r="H1222">
        <v>4019</v>
      </c>
      <c r="I1222" t="str">
        <f t="shared" si="258"/>
        <v>5</v>
      </c>
      <c r="J1222" t="str">
        <f t="shared" si="259"/>
        <v>N-VA</v>
      </c>
      <c r="K1222">
        <v>8593</v>
      </c>
      <c r="L1222">
        <v>13563</v>
      </c>
      <c r="M1222">
        <v>22156</v>
      </c>
      <c r="N1222">
        <v>2</v>
      </c>
      <c r="O1222" t="str">
        <f>("6")</f>
        <v>6</v>
      </c>
      <c r="P1222" t="str">
        <f>("Franssen Ine")</f>
        <v>Franssen Ine</v>
      </c>
      <c r="Q1222">
        <v>3036</v>
      </c>
      <c r="S1222">
        <v>4</v>
      </c>
    </row>
    <row r="1223" spans="1:19" x14ac:dyDescent="0.3">
      <c r="A1223" t="s">
        <v>0</v>
      </c>
      <c r="B1223" s="1">
        <v>45578</v>
      </c>
      <c r="C1223" t="str">
        <f t="shared" si="256"/>
        <v>72021</v>
      </c>
      <c r="D1223" t="s">
        <v>11</v>
      </c>
      <c r="E1223" t="str">
        <f t="shared" si="257"/>
        <v>9</v>
      </c>
      <c r="F1223">
        <v>178345</v>
      </c>
      <c r="G1223">
        <v>109533</v>
      </c>
      <c r="H1223">
        <v>4019</v>
      </c>
      <c r="I1223" t="str">
        <f t="shared" si="258"/>
        <v>5</v>
      </c>
      <c r="J1223" t="str">
        <f t="shared" si="259"/>
        <v>N-VA</v>
      </c>
      <c r="K1223">
        <v>8593</v>
      </c>
      <c r="L1223">
        <v>13563</v>
      </c>
      <c r="M1223">
        <v>22156</v>
      </c>
      <c r="N1223">
        <v>2</v>
      </c>
      <c r="O1223" t="str">
        <f>("7")</f>
        <v>7</v>
      </c>
      <c r="P1223" t="str">
        <f>("Van Baelen Ruben")</f>
        <v>Van Baelen Ruben</v>
      </c>
      <c r="Q1223">
        <v>2643</v>
      </c>
      <c r="S1223">
        <v>6</v>
      </c>
    </row>
    <row r="1224" spans="1:19" x14ac:dyDescent="0.3">
      <c r="A1224" t="s">
        <v>0</v>
      </c>
      <c r="B1224" s="1">
        <v>45578</v>
      </c>
      <c r="C1224" t="str">
        <f t="shared" si="256"/>
        <v>72021</v>
      </c>
      <c r="D1224" t="s">
        <v>11</v>
      </c>
      <c r="E1224" t="str">
        <f t="shared" si="257"/>
        <v>9</v>
      </c>
      <c r="F1224">
        <v>178345</v>
      </c>
      <c r="G1224">
        <v>109533</v>
      </c>
      <c r="H1224">
        <v>4019</v>
      </c>
      <c r="I1224" t="str">
        <f t="shared" si="258"/>
        <v>5</v>
      </c>
      <c r="J1224" t="str">
        <f t="shared" si="259"/>
        <v>N-VA</v>
      </c>
      <c r="K1224">
        <v>8593</v>
      </c>
      <c r="L1224">
        <v>13563</v>
      </c>
      <c r="M1224">
        <v>22156</v>
      </c>
      <c r="N1224">
        <v>2</v>
      </c>
      <c r="O1224" t="str">
        <f>("8")</f>
        <v>8</v>
      </c>
      <c r="P1224" t="str">
        <f>("Vacca Sara")</f>
        <v>Vacca Sara</v>
      </c>
      <c r="Q1224">
        <v>3084</v>
      </c>
      <c r="S1224">
        <v>3</v>
      </c>
    </row>
    <row r="1225" spans="1:19" x14ac:dyDescent="0.3">
      <c r="A1225" t="s">
        <v>0</v>
      </c>
      <c r="B1225" s="1">
        <v>45578</v>
      </c>
      <c r="C1225" t="str">
        <f t="shared" si="256"/>
        <v>72021</v>
      </c>
      <c r="D1225" t="s">
        <v>11</v>
      </c>
      <c r="E1225" t="str">
        <f t="shared" si="257"/>
        <v>9</v>
      </c>
      <c r="F1225">
        <v>178345</v>
      </c>
      <c r="G1225">
        <v>109533</v>
      </c>
      <c r="H1225">
        <v>4019</v>
      </c>
      <c r="I1225" t="str">
        <f t="shared" si="258"/>
        <v>5</v>
      </c>
      <c r="J1225" t="str">
        <f t="shared" si="259"/>
        <v>N-VA</v>
      </c>
      <c r="K1225">
        <v>8593</v>
      </c>
      <c r="L1225">
        <v>13563</v>
      </c>
      <c r="M1225">
        <v>22156</v>
      </c>
      <c r="N1225">
        <v>2</v>
      </c>
      <c r="O1225" t="str">
        <f>("9")</f>
        <v>9</v>
      </c>
      <c r="P1225" t="str">
        <f>("Peumans Jan")</f>
        <v>Peumans Jan</v>
      </c>
      <c r="Q1225">
        <v>6631</v>
      </c>
      <c r="R1225">
        <v>2</v>
      </c>
    </row>
    <row r="1226" spans="1:19" x14ac:dyDescent="0.3">
      <c r="A1226" t="s">
        <v>0</v>
      </c>
      <c r="B1226" s="1">
        <v>45578</v>
      </c>
      <c r="C1226" t="str">
        <f t="shared" si="256"/>
        <v>72021</v>
      </c>
      <c r="D1226" t="s">
        <v>11</v>
      </c>
      <c r="E1226" t="str">
        <f t="shared" si="257"/>
        <v>9</v>
      </c>
      <c r="F1226">
        <v>178345</v>
      </c>
      <c r="G1226">
        <v>109533</v>
      </c>
      <c r="H1226">
        <v>4019</v>
      </c>
      <c r="I1226" t="str">
        <f t="shared" ref="I1226:I1234" si="260">("6")</f>
        <v>6</v>
      </c>
      <c r="J1226" t="str">
        <f t="shared" ref="J1226:J1234" si="261">("Open Vld Limburg")</f>
        <v>Open Vld Limburg</v>
      </c>
      <c r="K1226">
        <v>1402</v>
      </c>
      <c r="L1226">
        <v>5592</v>
      </c>
      <c r="M1226">
        <v>6994</v>
      </c>
      <c r="N1226">
        <v>0</v>
      </c>
      <c r="O1226" t="str">
        <f>("1")</f>
        <v>1</v>
      </c>
      <c r="P1226" t="str">
        <f>("Issaris Kelly")</f>
        <v>Issaris Kelly</v>
      </c>
      <c r="Q1226">
        <v>2230</v>
      </c>
    </row>
    <row r="1227" spans="1:19" x14ac:dyDescent="0.3">
      <c r="A1227" t="s">
        <v>0</v>
      </c>
      <c r="B1227" s="1">
        <v>45578</v>
      </c>
      <c r="C1227" t="str">
        <f t="shared" si="256"/>
        <v>72021</v>
      </c>
      <c r="D1227" t="s">
        <v>11</v>
      </c>
      <c r="E1227" t="str">
        <f t="shared" si="257"/>
        <v>9</v>
      </c>
      <c r="F1227">
        <v>178345</v>
      </c>
      <c r="G1227">
        <v>109533</v>
      </c>
      <c r="H1227">
        <v>4019</v>
      </c>
      <c r="I1227" t="str">
        <f t="shared" si="260"/>
        <v>6</v>
      </c>
      <c r="J1227" t="str">
        <f t="shared" si="261"/>
        <v>Open Vld Limburg</v>
      </c>
      <c r="K1227">
        <v>1402</v>
      </c>
      <c r="L1227">
        <v>5592</v>
      </c>
      <c r="M1227">
        <v>6994</v>
      </c>
      <c r="N1227">
        <v>0</v>
      </c>
      <c r="O1227" t="str">
        <f>("2")</f>
        <v>2</v>
      </c>
      <c r="P1227" t="str">
        <f>("Houben Maarten")</f>
        <v>Houben Maarten</v>
      </c>
      <c r="Q1227">
        <v>927</v>
      </c>
    </row>
    <row r="1228" spans="1:19" x14ac:dyDescent="0.3">
      <c r="A1228" t="s">
        <v>0</v>
      </c>
      <c r="B1228" s="1">
        <v>45578</v>
      </c>
      <c r="C1228" t="str">
        <f t="shared" si="256"/>
        <v>72021</v>
      </c>
      <c r="D1228" t="s">
        <v>11</v>
      </c>
      <c r="E1228" t="str">
        <f t="shared" si="257"/>
        <v>9</v>
      </c>
      <c r="F1228">
        <v>178345</v>
      </c>
      <c r="G1228">
        <v>109533</v>
      </c>
      <c r="H1228">
        <v>4019</v>
      </c>
      <c r="I1228" t="str">
        <f t="shared" si="260"/>
        <v>6</v>
      </c>
      <c r="J1228" t="str">
        <f t="shared" si="261"/>
        <v>Open Vld Limburg</v>
      </c>
      <c r="K1228">
        <v>1402</v>
      </c>
      <c r="L1228">
        <v>5592</v>
      </c>
      <c r="M1228">
        <v>6994</v>
      </c>
      <c r="N1228">
        <v>0</v>
      </c>
      <c r="O1228" t="str">
        <f>("3")</f>
        <v>3</v>
      </c>
      <c r="P1228" t="str">
        <f>("Martens Theo")</f>
        <v>Martens Theo</v>
      </c>
      <c r="Q1228">
        <v>1254</v>
      </c>
    </row>
    <row r="1229" spans="1:19" x14ac:dyDescent="0.3">
      <c r="A1229" t="s">
        <v>0</v>
      </c>
      <c r="B1229" s="1">
        <v>45578</v>
      </c>
      <c r="C1229" t="str">
        <f t="shared" si="256"/>
        <v>72021</v>
      </c>
      <c r="D1229" t="s">
        <v>11</v>
      </c>
      <c r="E1229" t="str">
        <f t="shared" si="257"/>
        <v>9</v>
      </c>
      <c r="F1229">
        <v>178345</v>
      </c>
      <c r="G1229">
        <v>109533</v>
      </c>
      <c r="H1229">
        <v>4019</v>
      </c>
      <c r="I1229" t="str">
        <f t="shared" si="260"/>
        <v>6</v>
      </c>
      <c r="J1229" t="str">
        <f t="shared" si="261"/>
        <v>Open Vld Limburg</v>
      </c>
      <c r="K1229">
        <v>1402</v>
      </c>
      <c r="L1229">
        <v>5592</v>
      </c>
      <c r="M1229">
        <v>6994</v>
      </c>
      <c r="N1229">
        <v>0</v>
      </c>
      <c r="O1229" t="str">
        <f>("4")</f>
        <v>4</v>
      </c>
      <c r="P1229" t="str">
        <f>("Vanheukelom Susy")</f>
        <v>Vanheukelom Susy</v>
      </c>
      <c r="Q1229">
        <v>862</v>
      </c>
    </row>
    <row r="1230" spans="1:19" x14ac:dyDescent="0.3">
      <c r="A1230" t="s">
        <v>0</v>
      </c>
      <c r="B1230" s="1">
        <v>45578</v>
      </c>
      <c r="C1230" t="str">
        <f t="shared" si="256"/>
        <v>72021</v>
      </c>
      <c r="D1230" t="s">
        <v>11</v>
      </c>
      <c r="E1230" t="str">
        <f t="shared" si="257"/>
        <v>9</v>
      </c>
      <c r="F1230">
        <v>178345</v>
      </c>
      <c r="G1230">
        <v>109533</v>
      </c>
      <c r="H1230">
        <v>4019</v>
      </c>
      <c r="I1230" t="str">
        <f t="shared" si="260"/>
        <v>6</v>
      </c>
      <c r="J1230" t="str">
        <f t="shared" si="261"/>
        <v>Open Vld Limburg</v>
      </c>
      <c r="K1230">
        <v>1402</v>
      </c>
      <c r="L1230">
        <v>5592</v>
      </c>
      <c r="M1230">
        <v>6994</v>
      </c>
      <c r="N1230">
        <v>0</v>
      </c>
      <c r="O1230" t="str">
        <f>("5")</f>
        <v>5</v>
      </c>
      <c r="P1230" t="str">
        <f>("Smolders Paul")</f>
        <v>Smolders Paul</v>
      </c>
      <c r="Q1230">
        <v>770</v>
      </c>
    </row>
    <row r="1231" spans="1:19" x14ac:dyDescent="0.3">
      <c r="A1231" t="s">
        <v>0</v>
      </c>
      <c r="B1231" s="1">
        <v>45578</v>
      </c>
      <c r="C1231" t="str">
        <f t="shared" si="256"/>
        <v>72021</v>
      </c>
      <c r="D1231" t="s">
        <v>11</v>
      </c>
      <c r="E1231" t="str">
        <f t="shared" si="257"/>
        <v>9</v>
      </c>
      <c r="F1231">
        <v>178345</v>
      </c>
      <c r="G1231">
        <v>109533</v>
      </c>
      <c r="H1231">
        <v>4019</v>
      </c>
      <c r="I1231" t="str">
        <f t="shared" si="260"/>
        <v>6</v>
      </c>
      <c r="J1231" t="str">
        <f t="shared" si="261"/>
        <v>Open Vld Limburg</v>
      </c>
      <c r="K1231">
        <v>1402</v>
      </c>
      <c r="L1231">
        <v>5592</v>
      </c>
      <c r="M1231">
        <v>6994</v>
      </c>
      <c r="N1231">
        <v>0</v>
      </c>
      <c r="O1231" t="str">
        <f>("6")</f>
        <v>6</v>
      </c>
      <c r="P1231" t="str">
        <f>("Raedschelders-Savelkoul Marie-Jeanne")</f>
        <v>Raedschelders-Savelkoul Marie-Jeanne</v>
      </c>
      <c r="Q1231">
        <v>1451</v>
      </c>
    </row>
    <row r="1232" spans="1:19" x14ac:dyDescent="0.3">
      <c r="A1232" t="s">
        <v>0</v>
      </c>
      <c r="B1232" s="1">
        <v>45578</v>
      </c>
      <c r="C1232" t="str">
        <f t="shared" si="256"/>
        <v>72021</v>
      </c>
      <c r="D1232" t="s">
        <v>11</v>
      </c>
      <c r="E1232" t="str">
        <f t="shared" si="257"/>
        <v>9</v>
      </c>
      <c r="F1232">
        <v>178345</v>
      </c>
      <c r="G1232">
        <v>109533</v>
      </c>
      <c r="H1232">
        <v>4019</v>
      </c>
      <c r="I1232" t="str">
        <f t="shared" si="260"/>
        <v>6</v>
      </c>
      <c r="J1232" t="str">
        <f t="shared" si="261"/>
        <v>Open Vld Limburg</v>
      </c>
      <c r="K1232">
        <v>1402</v>
      </c>
      <c r="L1232">
        <v>5592</v>
      </c>
      <c r="M1232">
        <v>6994</v>
      </c>
      <c r="N1232">
        <v>0</v>
      </c>
      <c r="O1232" t="str">
        <f>("7")</f>
        <v>7</v>
      </c>
      <c r="P1232" t="str">
        <f>("Nys Philippe")</f>
        <v>Nys Philippe</v>
      </c>
      <c r="Q1232">
        <v>1094</v>
      </c>
    </row>
    <row r="1233" spans="1:17" x14ac:dyDescent="0.3">
      <c r="A1233" t="s">
        <v>0</v>
      </c>
      <c r="B1233" s="1">
        <v>45578</v>
      </c>
      <c r="C1233" t="str">
        <f t="shared" si="256"/>
        <v>72021</v>
      </c>
      <c r="D1233" t="s">
        <v>11</v>
      </c>
      <c r="E1233" t="str">
        <f t="shared" si="257"/>
        <v>9</v>
      </c>
      <c r="F1233">
        <v>178345</v>
      </c>
      <c r="G1233">
        <v>109533</v>
      </c>
      <c r="H1233">
        <v>4019</v>
      </c>
      <c r="I1233" t="str">
        <f t="shared" si="260"/>
        <v>6</v>
      </c>
      <c r="J1233" t="str">
        <f t="shared" si="261"/>
        <v>Open Vld Limburg</v>
      </c>
      <c r="K1233">
        <v>1402</v>
      </c>
      <c r="L1233">
        <v>5592</v>
      </c>
      <c r="M1233">
        <v>6994</v>
      </c>
      <c r="N1233">
        <v>0</v>
      </c>
      <c r="O1233" t="str">
        <f>("8")</f>
        <v>8</v>
      </c>
      <c r="P1233" t="str">
        <f>("Peeters Lydia")</f>
        <v>Peeters Lydia</v>
      </c>
      <c r="Q1233">
        <v>2503</v>
      </c>
    </row>
    <row r="1234" spans="1:17" x14ac:dyDescent="0.3">
      <c r="A1234" t="s">
        <v>0</v>
      </c>
      <c r="B1234" s="1">
        <v>45578</v>
      </c>
      <c r="C1234" t="str">
        <f t="shared" si="256"/>
        <v>72021</v>
      </c>
      <c r="D1234" t="s">
        <v>11</v>
      </c>
      <c r="E1234" t="str">
        <f t="shared" si="257"/>
        <v>9</v>
      </c>
      <c r="F1234">
        <v>178345</v>
      </c>
      <c r="G1234">
        <v>109533</v>
      </c>
      <c r="H1234">
        <v>4019</v>
      </c>
      <c r="I1234" t="str">
        <f t="shared" si="260"/>
        <v>6</v>
      </c>
      <c r="J1234" t="str">
        <f t="shared" si="261"/>
        <v>Open Vld Limburg</v>
      </c>
      <c r="K1234">
        <v>1402</v>
      </c>
      <c r="L1234">
        <v>5592</v>
      </c>
      <c r="M1234">
        <v>6994</v>
      </c>
      <c r="N1234">
        <v>0</v>
      </c>
      <c r="O1234" t="str">
        <f>("9")</f>
        <v>9</v>
      </c>
      <c r="P1234" t="str">
        <f>("Dewael Patrick")</f>
        <v>Dewael Patrick</v>
      </c>
      <c r="Q1234">
        <v>1403</v>
      </c>
    </row>
    <row r="1235" spans="1:17" x14ac:dyDescent="0.3">
      <c r="A1235" t="s">
        <v>0</v>
      </c>
      <c r="B1235" s="1">
        <v>45578</v>
      </c>
      <c r="C1235" t="str">
        <f t="shared" si="256"/>
        <v>72021</v>
      </c>
      <c r="D1235" t="s">
        <v>11</v>
      </c>
      <c r="E1235" t="str">
        <f t="shared" si="257"/>
        <v>9</v>
      </c>
      <c r="F1235">
        <v>178345</v>
      </c>
      <c r="G1235">
        <v>109533</v>
      </c>
      <c r="H1235">
        <v>4019</v>
      </c>
      <c r="I1235" t="str">
        <f t="shared" ref="I1235:I1243" si="262">("7")</f>
        <v>7</v>
      </c>
      <c r="J1235" t="str">
        <f t="shared" ref="J1235:J1243" si="263">("GROEN")</f>
        <v>GROEN</v>
      </c>
      <c r="K1235">
        <v>2009</v>
      </c>
      <c r="L1235">
        <v>1779</v>
      </c>
      <c r="M1235">
        <v>3788</v>
      </c>
      <c r="N1235">
        <v>0</v>
      </c>
      <c r="O1235" t="str">
        <f>("1")</f>
        <v>1</v>
      </c>
      <c r="P1235" t="str">
        <f>("Van den Bergh Jan")</f>
        <v>Van den Bergh Jan</v>
      </c>
      <c r="Q1235">
        <v>758</v>
      </c>
    </row>
    <row r="1236" spans="1:17" x14ac:dyDescent="0.3">
      <c r="A1236" t="s">
        <v>0</v>
      </c>
      <c r="B1236" s="1">
        <v>45578</v>
      </c>
      <c r="C1236" t="str">
        <f t="shared" si="256"/>
        <v>72021</v>
      </c>
      <c r="D1236" t="s">
        <v>11</v>
      </c>
      <c r="E1236" t="str">
        <f t="shared" si="257"/>
        <v>9</v>
      </c>
      <c r="F1236">
        <v>178345</v>
      </c>
      <c r="G1236">
        <v>109533</v>
      </c>
      <c r="H1236">
        <v>4019</v>
      </c>
      <c r="I1236" t="str">
        <f t="shared" si="262"/>
        <v>7</v>
      </c>
      <c r="J1236" t="str">
        <f t="shared" si="263"/>
        <v>GROEN</v>
      </c>
      <c r="K1236">
        <v>2009</v>
      </c>
      <c r="L1236">
        <v>1779</v>
      </c>
      <c r="M1236">
        <v>3788</v>
      </c>
      <c r="N1236">
        <v>0</v>
      </c>
      <c r="O1236" t="str">
        <f>("2")</f>
        <v>2</v>
      </c>
      <c r="P1236" t="str">
        <f>("Zels Kristine")</f>
        <v>Zels Kristine</v>
      </c>
      <c r="Q1236">
        <v>806</v>
      </c>
    </row>
    <row r="1237" spans="1:17" x14ac:dyDescent="0.3">
      <c r="A1237" t="s">
        <v>0</v>
      </c>
      <c r="B1237" s="1">
        <v>45578</v>
      </c>
      <c r="C1237" t="str">
        <f t="shared" si="256"/>
        <v>72021</v>
      </c>
      <c r="D1237" t="s">
        <v>11</v>
      </c>
      <c r="E1237" t="str">
        <f t="shared" si="257"/>
        <v>9</v>
      </c>
      <c r="F1237">
        <v>178345</v>
      </c>
      <c r="G1237">
        <v>109533</v>
      </c>
      <c r="H1237">
        <v>4019</v>
      </c>
      <c r="I1237" t="str">
        <f t="shared" si="262"/>
        <v>7</v>
      </c>
      <c r="J1237" t="str">
        <f t="shared" si="263"/>
        <v>GROEN</v>
      </c>
      <c r="K1237">
        <v>2009</v>
      </c>
      <c r="L1237">
        <v>1779</v>
      </c>
      <c r="M1237">
        <v>3788</v>
      </c>
      <c r="N1237">
        <v>0</v>
      </c>
      <c r="O1237" t="str">
        <f>("3")</f>
        <v>3</v>
      </c>
      <c r="P1237" t="str">
        <f>("van Dael Tonny")</f>
        <v>van Dael Tonny</v>
      </c>
      <c r="Q1237">
        <v>411</v>
      </c>
    </row>
    <row r="1238" spans="1:17" x14ac:dyDescent="0.3">
      <c r="A1238" t="s">
        <v>0</v>
      </c>
      <c r="B1238" s="1">
        <v>45578</v>
      </c>
      <c r="C1238" t="str">
        <f t="shared" si="256"/>
        <v>72021</v>
      </c>
      <c r="D1238" t="s">
        <v>11</v>
      </c>
      <c r="E1238" t="str">
        <f t="shared" si="257"/>
        <v>9</v>
      </c>
      <c r="F1238">
        <v>178345</v>
      </c>
      <c r="G1238">
        <v>109533</v>
      </c>
      <c r="H1238">
        <v>4019</v>
      </c>
      <c r="I1238" t="str">
        <f t="shared" si="262"/>
        <v>7</v>
      </c>
      <c r="J1238" t="str">
        <f t="shared" si="263"/>
        <v>GROEN</v>
      </c>
      <c r="K1238">
        <v>2009</v>
      </c>
      <c r="L1238">
        <v>1779</v>
      </c>
      <c r="M1238">
        <v>3788</v>
      </c>
      <c r="N1238">
        <v>0</v>
      </c>
      <c r="O1238" t="str">
        <f>("4")</f>
        <v>4</v>
      </c>
      <c r="P1238" t="str">
        <f>("Opdekamp Annick")</f>
        <v>Opdekamp Annick</v>
      </c>
      <c r="Q1238">
        <v>688</v>
      </c>
    </row>
    <row r="1239" spans="1:17" x14ac:dyDescent="0.3">
      <c r="A1239" t="s">
        <v>0</v>
      </c>
      <c r="B1239" s="1">
        <v>45578</v>
      </c>
      <c r="C1239" t="str">
        <f t="shared" si="256"/>
        <v>72021</v>
      </c>
      <c r="D1239" t="s">
        <v>11</v>
      </c>
      <c r="E1239" t="str">
        <f t="shared" si="257"/>
        <v>9</v>
      </c>
      <c r="F1239">
        <v>178345</v>
      </c>
      <c r="G1239">
        <v>109533</v>
      </c>
      <c r="H1239">
        <v>4019</v>
      </c>
      <c r="I1239" t="str">
        <f t="shared" si="262"/>
        <v>7</v>
      </c>
      <c r="J1239" t="str">
        <f t="shared" si="263"/>
        <v>GROEN</v>
      </c>
      <c r="K1239">
        <v>2009</v>
      </c>
      <c r="L1239">
        <v>1779</v>
      </c>
      <c r="M1239">
        <v>3788</v>
      </c>
      <c r="N1239">
        <v>0</v>
      </c>
      <c r="O1239" t="str">
        <f>("5")</f>
        <v>5</v>
      </c>
      <c r="P1239" t="str">
        <f>("Knoops Paul")</f>
        <v>Knoops Paul</v>
      </c>
      <c r="Q1239">
        <v>441</v>
      </c>
    </row>
    <row r="1240" spans="1:17" x14ac:dyDescent="0.3">
      <c r="A1240" t="s">
        <v>0</v>
      </c>
      <c r="B1240" s="1">
        <v>45578</v>
      </c>
      <c r="C1240" t="str">
        <f t="shared" si="256"/>
        <v>72021</v>
      </c>
      <c r="D1240" t="s">
        <v>11</v>
      </c>
      <c r="E1240" t="str">
        <f t="shared" si="257"/>
        <v>9</v>
      </c>
      <c r="F1240">
        <v>178345</v>
      </c>
      <c r="G1240">
        <v>109533</v>
      </c>
      <c r="H1240">
        <v>4019</v>
      </c>
      <c r="I1240" t="str">
        <f t="shared" si="262"/>
        <v>7</v>
      </c>
      <c r="J1240" t="str">
        <f t="shared" si="263"/>
        <v>GROEN</v>
      </c>
      <c r="K1240">
        <v>2009</v>
      </c>
      <c r="L1240">
        <v>1779</v>
      </c>
      <c r="M1240">
        <v>3788</v>
      </c>
      <c r="N1240">
        <v>0</v>
      </c>
      <c r="O1240" t="str">
        <f>("6")</f>
        <v>6</v>
      </c>
      <c r="P1240" t="str">
        <f>("Stinkens Evelien")</f>
        <v>Stinkens Evelien</v>
      </c>
      <c r="Q1240">
        <v>739</v>
      </c>
    </row>
    <row r="1241" spans="1:17" x14ac:dyDescent="0.3">
      <c r="A1241" t="s">
        <v>0</v>
      </c>
      <c r="B1241" s="1">
        <v>45578</v>
      </c>
      <c r="C1241" t="str">
        <f t="shared" si="256"/>
        <v>72021</v>
      </c>
      <c r="D1241" t="s">
        <v>11</v>
      </c>
      <c r="E1241" t="str">
        <f t="shared" si="257"/>
        <v>9</v>
      </c>
      <c r="F1241">
        <v>178345</v>
      </c>
      <c r="G1241">
        <v>109533</v>
      </c>
      <c r="H1241">
        <v>4019</v>
      </c>
      <c r="I1241" t="str">
        <f t="shared" si="262"/>
        <v>7</v>
      </c>
      <c r="J1241" t="str">
        <f t="shared" si="263"/>
        <v>GROEN</v>
      </c>
      <c r="K1241">
        <v>2009</v>
      </c>
      <c r="L1241">
        <v>1779</v>
      </c>
      <c r="M1241">
        <v>3788</v>
      </c>
      <c r="N1241">
        <v>0</v>
      </c>
      <c r="O1241" t="str">
        <f>("7")</f>
        <v>7</v>
      </c>
      <c r="P1241" t="str">
        <f>("Huysmans Dirk")</f>
        <v>Huysmans Dirk</v>
      </c>
      <c r="Q1241">
        <v>439</v>
      </c>
    </row>
    <row r="1242" spans="1:17" x14ac:dyDescent="0.3">
      <c r="A1242" t="s">
        <v>0</v>
      </c>
      <c r="B1242" s="1">
        <v>45578</v>
      </c>
      <c r="C1242" t="str">
        <f t="shared" si="256"/>
        <v>72021</v>
      </c>
      <c r="D1242" t="s">
        <v>11</v>
      </c>
      <c r="E1242" t="str">
        <f t="shared" si="257"/>
        <v>9</v>
      </c>
      <c r="F1242">
        <v>178345</v>
      </c>
      <c r="G1242">
        <v>109533</v>
      </c>
      <c r="H1242">
        <v>4019</v>
      </c>
      <c r="I1242" t="str">
        <f t="shared" si="262"/>
        <v>7</v>
      </c>
      <c r="J1242" t="str">
        <f t="shared" si="263"/>
        <v>GROEN</v>
      </c>
      <c r="K1242">
        <v>2009</v>
      </c>
      <c r="L1242">
        <v>1779</v>
      </c>
      <c r="M1242">
        <v>3788</v>
      </c>
      <c r="N1242">
        <v>0</v>
      </c>
      <c r="O1242" t="str">
        <f>("8")</f>
        <v>8</v>
      </c>
      <c r="P1242" t="str">
        <f>("Creemers Barbara")</f>
        <v>Creemers Barbara</v>
      </c>
      <c r="Q1242">
        <v>764</v>
      </c>
    </row>
    <row r="1243" spans="1:17" x14ac:dyDescent="0.3">
      <c r="A1243" t="s">
        <v>0</v>
      </c>
      <c r="B1243" s="1">
        <v>45578</v>
      </c>
      <c r="C1243" t="str">
        <f t="shared" si="256"/>
        <v>72021</v>
      </c>
      <c r="D1243" t="s">
        <v>11</v>
      </c>
      <c r="E1243" t="str">
        <f t="shared" si="257"/>
        <v>9</v>
      </c>
      <c r="F1243">
        <v>178345</v>
      </c>
      <c r="G1243">
        <v>109533</v>
      </c>
      <c r="H1243">
        <v>4019</v>
      </c>
      <c r="I1243" t="str">
        <f t="shared" si="262"/>
        <v>7</v>
      </c>
      <c r="J1243" t="str">
        <f t="shared" si="263"/>
        <v>GROEN</v>
      </c>
      <c r="K1243">
        <v>2009</v>
      </c>
      <c r="L1243">
        <v>1779</v>
      </c>
      <c r="M1243">
        <v>3788</v>
      </c>
      <c r="N1243">
        <v>0</v>
      </c>
      <c r="O1243" t="str">
        <f>("9")</f>
        <v>9</v>
      </c>
      <c r="P1243" t="str">
        <f>("Saenen Sven")</f>
        <v>Saenen Sven</v>
      </c>
      <c r="Q1243">
        <v>612</v>
      </c>
    </row>
    <row r="1244" spans="1:17" x14ac:dyDescent="0.3">
      <c r="A1244" t="s">
        <v>0</v>
      </c>
      <c r="B1244" s="1">
        <v>45578</v>
      </c>
      <c r="C1244" t="str">
        <f t="shared" si="256"/>
        <v>72021</v>
      </c>
      <c r="D1244" t="s">
        <v>11</v>
      </c>
      <c r="E1244" t="str">
        <f t="shared" si="257"/>
        <v>9</v>
      </c>
      <c r="F1244">
        <v>178345</v>
      </c>
      <c r="G1244">
        <v>109533</v>
      </c>
      <c r="H1244">
        <v>4019</v>
      </c>
      <c r="I1244" t="str">
        <f t="shared" ref="I1244:I1252" si="264">("8")</f>
        <v>8</v>
      </c>
      <c r="J1244" t="str">
        <f t="shared" ref="J1244:J1252" si="265">("BBB")</f>
        <v>BBB</v>
      </c>
      <c r="K1244">
        <v>391</v>
      </c>
      <c r="L1244">
        <v>1120</v>
      </c>
      <c r="M1244">
        <v>1511</v>
      </c>
      <c r="N1244">
        <v>0</v>
      </c>
      <c r="O1244" t="str">
        <f>("1")</f>
        <v>1</v>
      </c>
      <c r="P1244" t="str">
        <f>("Indekeu Roger")</f>
        <v>Indekeu Roger</v>
      </c>
      <c r="Q1244">
        <v>695</v>
      </c>
    </row>
    <row r="1245" spans="1:17" x14ac:dyDescent="0.3">
      <c r="A1245" t="s">
        <v>0</v>
      </c>
      <c r="B1245" s="1">
        <v>45578</v>
      </c>
      <c r="C1245" t="str">
        <f t="shared" ref="C1245:C1254" si="266">("72021")</f>
        <v>72021</v>
      </c>
      <c r="D1245" t="s">
        <v>11</v>
      </c>
      <c r="E1245" t="str">
        <f t="shared" ref="E1245:E1254" si="267">("9")</f>
        <v>9</v>
      </c>
      <c r="F1245">
        <v>178345</v>
      </c>
      <c r="G1245">
        <v>109533</v>
      </c>
      <c r="H1245">
        <v>4019</v>
      </c>
      <c r="I1245" t="str">
        <f t="shared" si="264"/>
        <v>8</v>
      </c>
      <c r="J1245" t="str">
        <f t="shared" si="265"/>
        <v>BBB</v>
      </c>
      <c r="K1245">
        <v>391</v>
      </c>
      <c r="L1245">
        <v>1120</v>
      </c>
      <c r="M1245">
        <v>1511</v>
      </c>
      <c r="N1245">
        <v>0</v>
      </c>
      <c r="O1245" t="str">
        <f>("2")</f>
        <v>2</v>
      </c>
      <c r="P1245" t="str">
        <f>("Verpoorten Mia")</f>
        <v>Verpoorten Mia</v>
      </c>
      <c r="Q1245">
        <v>305</v>
      </c>
    </row>
    <row r="1246" spans="1:17" x14ac:dyDescent="0.3">
      <c r="A1246" t="s">
        <v>0</v>
      </c>
      <c r="B1246" s="1">
        <v>45578</v>
      </c>
      <c r="C1246" t="str">
        <f t="shared" si="266"/>
        <v>72021</v>
      </c>
      <c r="D1246" t="s">
        <v>11</v>
      </c>
      <c r="E1246" t="str">
        <f t="shared" si="267"/>
        <v>9</v>
      </c>
      <c r="F1246">
        <v>178345</v>
      </c>
      <c r="G1246">
        <v>109533</v>
      </c>
      <c r="H1246">
        <v>4019</v>
      </c>
      <c r="I1246" t="str">
        <f t="shared" si="264"/>
        <v>8</v>
      </c>
      <c r="J1246" t="str">
        <f t="shared" si="265"/>
        <v>BBB</v>
      </c>
      <c r="K1246">
        <v>391</v>
      </c>
      <c r="L1246">
        <v>1120</v>
      </c>
      <c r="M1246">
        <v>1511</v>
      </c>
      <c r="N1246">
        <v>0</v>
      </c>
      <c r="O1246" t="str">
        <f>("3")</f>
        <v>3</v>
      </c>
      <c r="P1246" t="str">
        <f>("Hertogs Rik")</f>
        <v>Hertogs Rik</v>
      </c>
      <c r="Q1246">
        <v>398</v>
      </c>
    </row>
    <row r="1247" spans="1:17" x14ac:dyDescent="0.3">
      <c r="A1247" t="s">
        <v>0</v>
      </c>
      <c r="B1247" s="1">
        <v>45578</v>
      </c>
      <c r="C1247" t="str">
        <f t="shared" si="266"/>
        <v>72021</v>
      </c>
      <c r="D1247" t="s">
        <v>11</v>
      </c>
      <c r="E1247" t="str">
        <f t="shared" si="267"/>
        <v>9</v>
      </c>
      <c r="F1247">
        <v>178345</v>
      </c>
      <c r="G1247">
        <v>109533</v>
      </c>
      <c r="H1247">
        <v>4019</v>
      </c>
      <c r="I1247" t="str">
        <f t="shared" si="264"/>
        <v>8</v>
      </c>
      <c r="J1247" t="str">
        <f t="shared" si="265"/>
        <v>BBB</v>
      </c>
      <c r="K1247">
        <v>391</v>
      </c>
      <c r="L1247">
        <v>1120</v>
      </c>
      <c r="M1247">
        <v>1511</v>
      </c>
      <c r="N1247">
        <v>0</v>
      </c>
      <c r="O1247" t="str">
        <f>("4")</f>
        <v>4</v>
      </c>
      <c r="P1247" t="str">
        <f>("Haels Kristel")</f>
        <v>Haels Kristel</v>
      </c>
      <c r="Q1247">
        <v>238</v>
      </c>
    </row>
    <row r="1248" spans="1:17" x14ac:dyDescent="0.3">
      <c r="A1248" t="s">
        <v>0</v>
      </c>
      <c r="B1248" s="1">
        <v>45578</v>
      </c>
      <c r="C1248" t="str">
        <f t="shared" si="266"/>
        <v>72021</v>
      </c>
      <c r="D1248" t="s">
        <v>11</v>
      </c>
      <c r="E1248" t="str">
        <f t="shared" si="267"/>
        <v>9</v>
      </c>
      <c r="F1248">
        <v>178345</v>
      </c>
      <c r="G1248">
        <v>109533</v>
      </c>
      <c r="H1248">
        <v>4019</v>
      </c>
      <c r="I1248" t="str">
        <f t="shared" si="264"/>
        <v>8</v>
      </c>
      <c r="J1248" t="str">
        <f t="shared" si="265"/>
        <v>BBB</v>
      </c>
      <c r="K1248">
        <v>391</v>
      </c>
      <c r="L1248">
        <v>1120</v>
      </c>
      <c r="M1248">
        <v>1511</v>
      </c>
      <c r="N1248">
        <v>0</v>
      </c>
      <c r="O1248" t="str">
        <f>("5")</f>
        <v>5</v>
      </c>
      <c r="P1248" t="str">
        <f>("Vanhaeren Wesley")</f>
        <v>Vanhaeren Wesley</v>
      </c>
      <c r="Q1248">
        <v>235</v>
      </c>
    </row>
    <row r="1249" spans="1:19" x14ac:dyDescent="0.3">
      <c r="A1249" t="s">
        <v>0</v>
      </c>
      <c r="B1249" s="1">
        <v>45578</v>
      </c>
      <c r="C1249" t="str">
        <f t="shared" si="266"/>
        <v>72021</v>
      </c>
      <c r="D1249" t="s">
        <v>11</v>
      </c>
      <c r="E1249" t="str">
        <f t="shared" si="267"/>
        <v>9</v>
      </c>
      <c r="F1249">
        <v>178345</v>
      </c>
      <c r="G1249">
        <v>109533</v>
      </c>
      <c r="H1249">
        <v>4019</v>
      </c>
      <c r="I1249" t="str">
        <f t="shared" si="264"/>
        <v>8</v>
      </c>
      <c r="J1249" t="str">
        <f t="shared" si="265"/>
        <v>BBB</v>
      </c>
      <c r="K1249">
        <v>391</v>
      </c>
      <c r="L1249">
        <v>1120</v>
      </c>
      <c r="M1249">
        <v>1511</v>
      </c>
      <c r="N1249">
        <v>0</v>
      </c>
      <c r="O1249" t="str">
        <f>("6")</f>
        <v>6</v>
      </c>
      <c r="P1249" t="str">
        <f>("Winters Sandy")</f>
        <v>Winters Sandy</v>
      </c>
      <c r="Q1249">
        <v>253</v>
      </c>
    </row>
    <row r="1250" spans="1:19" x14ac:dyDescent="0.3">
      <c r="A1250" t="s">
        <v>0</v>
      </c>
      <c r="B1250" s="1">
        <v>45578</v>
      </c>
      <c r="C1250" t="str">
        <f t="shared" si="266"/>
        <v>72021</v>
      </c>
      <c r="D1250" t="s">
        <v>11</v>
      </c>
      <c r="E1250" t="str">
        <f t="shared" si="267"/>
        <v>9</v>
      </c>
      <c r="F1250">
        <v>178345</v>
      </c>
      <c r="G1250">
        <v>109533</v>
      </c>
      <c r="H1250">
        <v>4019</v>
      </c>
      <c r="I1250" t="str">
        <f t="shared" si="264"/>
        <v>8</v>
      </c>
      <c r="J1250" t="str">
        <f t="shared" si="265"/>
        <v>BBB</v>
      </c>
      <c r="K1250">
        <v>391</v>
      </c>
      <c r="L1250">
        <v>1120</v>
      </c>
      <c r="M1250">
        <v>1511</v>
      </c>
      <c r="N1250">
        <v>0</v>
      </c>
      <c r="O1250" t="str">
        <f>("7")</f>
        <v>7</v>
      </c>
      <c r="P1250" t="str">
        <f>("Nullens Robin")</f>
        <v>Nullens Robin</v>
      </c>
      <c r="Q1250">
        <v>222</v>
      </c>
    </row>
    <row r="1251" spans="1:19" x14ac:dyDescent="0.3">
      <c r="A1251" t="s">
        <v>0</v>
      </c>
      <c r="B1251" s="1">
        <v>45578</v>
      </c>
      <c r="C1251" t="str">
        <f t="shared" si="266"/>
        <v>72021</v>
      </c>
      <c r="D1251" t="s">
        <v>11</v>
      </c>
      <c r="E1251" t="str">
        <f t="shared" si="267"/>
        <v>9</v>
      </c>
      <c r="F1251">
        <v>178345</v>
      </c>
      <c r="G1251">
        <v>109533</v>
      </c>
      <c r="H1251">
        <v>4019</v>
      </c>
      <c r="I1251" t="str">
        <f t="shared" si="264"/>
        <v>8</v>
      </c>
      <c r="J1251" t="str">
        <f t="shared" si="265"/>
        <v>BBB</v>
      </c>
      <c r="K1251">
        <v>391</v>
      </c>
      <c r="L1251">
        <v>1120</v>
      </c>
      <c r="M1251">
        <v>1511</v>
      </c>
      <c r="N1251">
        <v>0</v>
      </c>
      <c r="O1251" t="str">
        <f>("8")</f>
        <v>8</v>
      </c>
      <c r="P1251" t="str">
        <f>("Akkermans Ramona")</f>
        <v>Akkermans Ramona</v>
      </c>
      <c r="Q1251">
        <v>224</v>
      </c>
    </row>
    <row r="1252" spans="1:19" x14ac:dyDescent="0.3">
      <c r="A1252" t="s">
        <v>0</v>
      </c>
      <c r="B1252" s="1">
        <v>45578</v>
      </c>
      <c r="C1252" t="str">
        <f t="shared" si="266"/>
        <v>72021</v>
      </c>
      <c r="D1252" t="s">
        <v>11</v>
      </c>
      <c r="E1252" t="str">
        <f t="shared" si="267"/>
        <v>9</v>
      </c>
      <c r="F1252">
        <v>178345</v>
      </c>
      <c r="G1252">
        <v>109533</v>
      </c>
      <c r="H1252">
        <v>4019</v>
      </c>
      <c r="I1252" t="str">
        <f t="shared" si="264"/>
        <v>8</v>
      </c>
      <c r="J1252" t="str">
        <f t="shared" si="265"/>
        <v>BBB</v>
      </c>
      <c r="K1252">
        <v>391</v>
      </c>
      <c r="L1252">
        <v>1120</v>
      </c>
      <c r="M1252">
        <v>1511</v>
      </c>
      <c r="N1252">
        <v>0</v>
      </c>
      <c r="O1252" t="str">
        <f>("9")</f>
        <v>9</v>
      </c>
      <c r="P1252" t="str">
        <f>("Smeets Peter")</f>
        <v>Smeets Peter</v>
      </c>
      <c r="Q1252">
        <v>337</v>
      </c>
    </row>
    <row r="1253" spans="1:19" x14ac:dyDescent="0.3">
      <c r="A1253" t="s">
        <v>0</v>
      </c>
      <c r="B1253" s="1">
        <v>45578</v>
      </c>
      <c r="C1253" t="str">
        <f t="shared" si="266"/>
        <v>72021</v>
      </c>
      <c r="D1253" t="s">
        <v>11</v>
      </c>
      <c r="E1253" t="str">
        <f t="shared" si="267"/>
        <v>9</v>
      </c>
      <c r="F1253">
        <v>178345</v>
      </c>
      <c r="G1253">
        <v>109533</v>
      </c>
      <c r="H1253">
        <v>4019</v>
      </c>
      <c r="I1253" t="str">
        <f>("9")</f>
        <v>9</v>
      </c>
      <c r="J1253" t="str">
        <f>("B.U.B. Limburg")</f>
        <v>B.U.B. Limburg</v>
      </c>
      <c r="K1253">
        <v>75</v>
      </c>
      <c r="L1253">
        <v>113</v>
      </c>
      <c r="M1253">
        <v>188</v>
      </c>
      <c r="N1253">
        <v>0</v>
      </c>
      <c r="O1253" t="str">
        <f>("1")</f>
        <v>1</v>
      </c>
      <c r="P1253" t="str">
        <f>("Breyssem François")</f>
        <v>Breyssem François</v>
      </c>
      <c r="Q1253">
        <v>113</v>
      </c>
    </row>
    <row r="1254" spans="1:19" x14ac:dyDescent="0.3">
      <c r="A1254" t="s">
        <v>0</v>
      </c>
      <c r="B1254" s="1">
        <v>45578</v>
      </c>
      <c r="C1254" t="str">
        <f t="shared" si="266"/>
        <v>72021</v>
      </c>
      <c r="D1254" t="s">
        <v>11</v>
      </c>
      <c r="E1254" t="str">
        <f t="shared" si="267"/>
        <v>9</v>
      </c>
      <c r="F1254">
        <v>178345</v>
      </c>
      <c r="G1254">
        <v>109533</v>
      </c>
      <c r="H1254">
        <v>4019</v>
      </c>
      <c r="I1254" t="str">
        <f>("10")</f>
        <v>10</v>
      </c>
      <c r="J1254" t="str">
        <f>("Volt")</f>
        <v>Volt</v>
      </c>
      <c r="K1254">
        <v>56</v>
      </c>
      <c r="L1254">
        <v>80</v>
      </c>
      <c r="M1254">
        <v>136</v>
      </c>
      <c r="N1254">
        <v>0</v>
      </c>
      <c r="O1254" t="str">
        <f>("1")</f>
        <v>1</v>
      </c>
      <c r="P1254" t="str">
        <f>("Zeevaert Fausto")</f>
        <v>Zeevaert Fausto</v>
      </c>
      <c r="Q1254">
        <v>80</v>
      </c>
    </row>
    <row r="1255" spans="1:19" x14ac:dyDescent="0.3">
      <c r="A1255" t="s">
        <v>0</v>
      </c>
      <c r="B1255" s="1">
        <v>45578</v>
      </c>
      <c r="C1255" t="str">
        <f t="shared" ref="C1255:C1286" si="268">("12025")</f>
        <v>12025</v>
      </c>
      <c r="D1255" t="s">
        <v>12</v>
      </c>
      <c r="E1255" t="str">
        <f t="shared" ref="E1255:E1286" si="269">("7")</f>
        <v>7</v>
      </c>
      <c r="F1255">
        <v>268172</v>
      </c>
      <c r="G1255">
        <v>169028</v>
      </c>
      <c r="H1255">
        <v>5368</v>
      </c>
      <c r="I1255" t="str">
        <f t="shared" ref="I1255:I1261" si="270">("1")</f>
        <v>1</v>
      </c>
      <c r="J1255" t="str">
        <f t="shared" ref="J1255:J1261" si="271">("Vooruit")</f>
        <v>Vooruit</v>
      </c>
      <c r="K1255">
        <v>9633</v>
      </c>
      <c r="L1255">
        <v>7830</v>
      </c>
      <c r="M1255">
        <v>17463</v>
      </c>
      <c r="N1255">
        <v>1</v>
      </c>
      <c r="O1255" t="str">
        <f>("1")</f>
        <v>1</v>
      </c>
      <c r="P1255" t="str">
        <f>("Bennasser Farid")</f>
        <v>Bennasser Farid</v>
      </c>
      <c r="Q1255">
        <v>2485</v>
      </c>
      <c r="R1255">
        <v>1</v>
      </c>
    </row>
    <row r="1256" spans="1:19" x14ac:dyDescent="0.3">
      <c r="A1256" t="s">
        <v>0</v>
      </c>
      <c r="B1256" s="1">
        <v>45578</v>
      </c>
      <c r="C1256" t="str">
        <f t="shared" si="268"/>
        <v>12025</v>
      </c>
      <c r="D1256" t="s">
        <v>12</v>
      </c>
      <c r="E1256" t="str">
        <f t="shared" si="269"/>
        <v>7</v>
      </c>
      <c r="F1256">
        <v>268172</v>
      </c>
      <c r="G1256">
        <v>169028</v>
      </c>
      <c r="H1256">
        <v>5368</v>
      </c>
      <c r="I1256" t="str">
        <f t="shared" si="270"/>
        <v>1</v>
      </c>
      <c r="J1256" t="str">
        <f t="shared" si="271"/>
        <v>Vooruit</v>
      </c>
      <c r="K1256">
        <v>9633</v>
      </c>
      <c r="L1256">
        <v>7830</v>
      </c>
      <c r="M1256">
        <v>17463</v>
      </c>
      <c r="N1256">
        <v>1</v>
      </c>
      <c r="O1256" t="str">
        <f>("2")</f>
        <v>2</v>
      </c>
      <c r="P1256" t="str">
        <f>("Amini Hasina")</f>
        <v>Amini Hasina</v>
      </c>
      <c r="Q1256">
        <v>1830</v>
      </c>
      <c r="S1256">
        <v>3</v>
      </c>
    </row>
    <row r="1257" spans="1:19" x14ac:dyDescent="0.3">
      <c r="A1257" t="s">
        <v>0</v>
      </c>
      <c r="B1257" s="1">
        <v>45578</v>
      </c>
      <c r="C1257" t="str">
        <f t="shared" si="268"/>
        <v>12025</v>
      </c>
      <c r="D1257" t="s">
        <v>12</v>
      </c>
      <c r="E1257" t="str">
        <f t="shared" si="269"/>
        <v>7</v>
      </c>
      <c r="F1257">
        <v>268172</v>
      </c>
      <c r="G1257">
        <v>169028</v>
      </c>
      <c r="H1257">
        <v>5368</v>
      </c>
      <c r="I1257" t="str">
        <f t="shared" si="270"/>
        <v>1</v>
      </c>
      <c r="J1257" t="str">
        <f t="shared" si="271"/>
        <v>Vooruit</v>
      </c>
      <c r="K1257">
        <v>9633</v>
      </c>
      <c r="L1257">
        <v>7830</v>
      </c>
      <c r="M1257">
        <v>17463</v>
      </c>
      <c r="N1257">
        <v>1</v>
      </c>
      <c r="O1257" t="str">
        <f>("3")</f>
        <v>3</v>
      </c>
      <c r="P1257" t="str">
        <f>("Van der Taelen Ivan")</f>
        <v>Van der Taelen Ivan</v>
      </c>
      <c r="Q1257">
        <v>2227</v>
      </c>
      <c r="S1257">
        <v>1</v>
      </c>
    </row>
    <row r="1258" spans="1:19" x14ac:dyDescent="0.3">
      <c r="A1258" t="s">
        <v>0</v>
      </c>
      <c r="B1258" s="1">
        <v>45578</v>
      </c>
      <c r="C1258" t="str">
        <f t="shared" si="268"/>
        <v>12025</v>
      </c>
      <c r="D1258" t="s">
        <v>12</v>
      </c>
      <c r="E1258" t="str">
        <f t="shared" si="269"/>
        <v>7</v>
      </c>
      <c r="F1258">
        <v>268172</v>
      </c>
      <c r="G1258">
        <v>169028</v>
      </c>
      <c r="H1258">
        <v>5368</v>
      </c>
      <c r="I1258" t="str">
        <f t="shared" si="270"/>
        <v>1</v>
      </c>
      <c r="J1258" t="str">
        <f t="shared" si="271"/>
        <v>Vooruit</v>
      </c>
      <c r="K1258">
        <v>9633</v>
      </c>
      <c r="L1258">
        <v>7830</v>
      </c>
      <c r="M1258">
        <v>17463</v>
      </c>
      <c r="N1258">
        <v>1</v>
      </c>
      <c r="O1258" t="str">
        <f>("4")</f>
        <v>4</v>
      </c>
      <c r="P1258" t="str">
        <f>("Andries Caroline")</f>
        <v>Andries Caroline</v>
      </c>
      <c r="Q1258">
        <v>2178</v>
      </c>
      <c r="S1258">
        <v>2</v>
      </c>
    </row>
    <row r="1259" spans="1:19" x14ac:dyDescent="0.3">
      <c r="A1259" t="s">
        <v>0</v>
      </c>
      <c r="B1259" s="1">
        <v>45578</v>
      </c>
      <c r="C1259" t="str">
        <f t="shared" si="268"/>
        <v>12025</v>
      </c>
      <c r="D1259" t="s">
        <v>12</v>
      </c>
      <c r="E1259" t="str">
        <f t="shared" si="269"/>
        <v>7</v>
      </c>
      <c r="F1259">
        <v>268172</v>
      </c>
      <c r="G1259">
        <v>169028</v>
      </c>
      <c r="H1259">
        <v>5368</v>
      </c>
      <c r="I1259" t="str">
        <f t="shared" si="270"/>
        <v>1</v>
      </c>
      <c r="J1259" t="str">
        <f t="shared" si="271"/>
        <v>Vooruit</v>
      </c>
      <c r="K1259">
        <v>9633</v>
      </c>
      <c r="L1259">
        <v>7830</v>
      </c>
      <c r="M1259">
        <v>17463</v>
      </c>
      <c r="N1259">
        <v>1</v>
      </c>
      <c r="O1259" t="str">
        <f>("5")</f>
        <v>5</v>
      </c>
      <c r="P1259" t="str">
        <f>("Van der Veken Patrick")</f>
        <v>Van der Veken Patrick</v>
      </c>
      <c r="Q1259">
        <v>1044</v>
      </c>
      <c r="S1259">
        <v>6</v>
      </c>
    </row>
    <row r="1260" spans="1:19" x14ac:dyDescent="0.3">
      <c r="A1260" t="s">
        <v>0</v>
      </c>
      <c r="B1260" s="1">
        <v>45578</v>
      </c>
      <c r="C1260" t="str">
        <f t="shared" si="268"/>
        <v>12025</v>
      </c>
      <c r="D1260" t="s">
        <v>12</v>
      </c>
      <c r="E1260" t="str">
        <f t="shared" si="269"/>
        <v>7</v>
      </c>
      <c r="F1260">
        <v>268172</v>
      </c>
      <c r="G1260">
        <v>169028</v>
      </c>
      <c r="H1260">
        <v>5368</v>
      </c>
      <c r="I1260" t="str">
        <f t="shared" si="270"/>
        <v>1</v>
      </c>
      <c r="J1260" t="str">
        <f t="shared" si="271"/>
        <v>Vooruit</v>
      </c>
      <c r="K1260">
        <v>9633</v>
      </c>
      <c r="L1260">
        <v>7830</v>
      </c>
      <c r="M1260">
        <v>17463</v>
      </c>
      <c r="N1260">
        <v>1</v>
      </c>
      <c r="O1260" t="str">
        <f>("6")</f>
        <v>6</v>
      </c>
      <c r="P1260" t="str">
        <f>("Langenus Sandra")</f>
        <v>Langenus Sandra</v>
      </c>
      <c r="Q1260">
        <v>1545</v>
      </c>
      <c r="S1260">
        <v>4</v>
      </c>
    </row>
    <row r="1261" spans="1:19" x14ac:dyDescent="0.3">
      <c r="A1261" t="s">
        <v>0</v>
      </c>
      <c r="B1261" s="1">
        <v>45578</v>
      </c>
      <c r="C1261" t="str">
        <f t="shared" si="268"/>
        <v>12025</v>
      </c>
      <c r="D1261" t="s">
        <v>12</v>
      </c>
      <c r="E1261" t="str">
        <f t="shared" si="269"/>
        <v>7</v>
      </c>
      <c r="F1261">
        <v>268172</v>
      </c>
      <c r="G1261">
        <v>169028</v>
      </c>
      <c r="H1261">
        <v>5368</v>
      </c>
      <c r="I1261" t="str">
        <f t="shared" si="270"/>
        <v>1</v>
      </c>
      <c r="J1261" t="str">
        <f t="shared" si="271"/>
        <v>Vooruit</v>
      </c>
      <c r="K1261">
        <v>9633</v>
      </c>
      <c r="L1261">
        <v>7830</v>
      </c>
      <c r="M1261">
        <v>17463</v>
      </c>
      <c r="N1261">
        <v>1</v>
      </c>
      <c r="O1261" t="str">
        <f>("7")</f>
        <v>7</v>
      </c>
      <c r="P1261" t="str">
        <f>("Anaf Hannes")</f>
        <v>Anaf Hannes</v>
      </c>
      <c r="Q1261">
        <v>1246</v>
      </c>
      <c r="S1261">
        <v>5</v>
      </c>
    </row>
    <row r="1262" spans="1:19" x14ac:dyDescent="0.3">
      <c r="A1262" t="s">
        <v>0</v>
      </c>
      <c r="B1262" s="1">
        <v>45578</v>
      </c>
      <c r="C1262" t="str">
        <f t="shared" si="268"/>
        <v>12025</v>
      </c>
      <c r="D1262" t="s">
        <v>12</v>
      </c>
      <c r="E1262" t="str">
        <f t="shared" si="269"/>
        <v>7</v>
      </c>
      <c r="F1262">
        <v>268172</v>
      </c>
      <c r="G1262">
        <v>169028</v>
      </c>
      <c r="H1262">
        <v>5368</v>
      </c>
      <c r="I1262" t="str">
        <f t="shared" ref="I1262:I1268" si="272">("2")</f>
        <v>2</v>
      </c>
      <c r="J1262" t="str">
        <f t="shared" ref="J1262:J1268" si="273">("PVDA")</f>
        <v>PVDA</v>
      </c>
      <c r="K1262">
        <v>4635</v>
      </c>
      <c r="L1262">
        <v>3933</v>
      </c>
      <c r="M1262">
        <v>8568</v>
      </c>
      <c r="N1262">
        <v>0</v>
      </c>
      <c r="O1262" t="str">
        <f>("1")</f>
        <v>1</v>
      </c>
      <c r="P1262" t="str">
        <f>("Janssens Sandra")</f>
        <v>Janssens Sandra</v>
      </c>
      <c r="Q1262">
        <v>2883</v>
      </c>
    </row>
    <row r="1263" spans="1:19" x14ac:dyDescent="0.3">
      <c r="A1263" t="s">
        <v>0</v>
      </c>
      <c r="B1263" s="1">
        <v>45578</v>
      </c>
      <c r="C1263" t="str">
        <f t="shared" si="268"/>
        <v>12025</v>
      </c>
      <c r="D1263" t="s">
        <v>12</v>
      </c>
      <c r="E1263" t="str">
        <f t="shared" si="269"/>
        <v>7</v>
      </c>
      <c r="F1263">
        <v>268172</v>
      </c>
      <c r="G1263">
        <v>169028</v>
      </c>
      <c r="H1263">
        <v>5368</v>
      </c>
      <c r="I1263" t="str">
        <f t="shared" si="272"/>
        <v>2</v>
      </c>
      <c r="J1263" t="str">
        <f t="shared" si="273"/>
        <v>PVDA</v>
      </c>
      <c r="K1263">
        <v>4635</v>
      </c>
      <c r="L1263">
        <v>3933</v>
      </c>
      <c r="M1263">
        <v>8568</v>
      </c>
      <c r="N1263">
        <v>0</v>
      </c>
      <c r="O1263" t="str">
        <f>("2")</f>
        <v>2</v>
      </c>
      <c r="P1263" t="str">
        <f>("Tengrootenhuyzen Jan")</f>
        <v>Tengrootenhuyzen Jan</v>
      </c>
      <c r="Q1263">
        <v>905</v>
      </c>
    </row>
    <row r="1264" spans="1:19" x14ac:dyDescent="0.3">
      <c r="A1264" t="s">
        <v>0</v>
      </c>
      <c r="B1264" s="1">
        <v>45578</v>
      </c>
      <c r="C1264" t="str">
        <f t="shared" si="268"/>
        <v>12025</v>
      </c>
      <c r="D1264" t="s">
        <v>12</v>
      </c>
      <c r="E1264" t="str">
        <f t="shared" si="269"/>
        <v>7</v>
      </c>
      <c r="F1264">
        <v>268172</v>
      </c>
      <c r="G1264">
        <v>169028</v>
      </c>
      <c r="H1264">
        <v>5368</v>
      </c>
      <c r="I1264" t="str">
        <f t="shared" si="272"/>
        <v>2</v>
      </c>
      <c r="J1264" t="str">
        <f t="shared" si="273"/>
        <v>PVDA</v>
      </c>
      <c r="K1264">
        <v>4635</v>
      </c>
      <c r="L1264">
        <v>3933</v>
      </c>
      <c r="M1264">
        <v>8568</v>
      </c>
      <c r="N1264">
        <v>0</v>
      </c>
      <c r="O1264" t="str">
        <f>("3")</f>
        <v>3</v>
      </c>
      <c r="P1264" t="str">
        <f>("Van Everbroeck Roxanne")</f>
        <v>Van Everbroeck Roxanne</v>
      </c>
      <c r="Q1264">
        <v>974</v>
      </c>
    </row>
    <row r="1265" spans="1:19" x14ac:dyDescent="0.3">
      <c r="A1265" t="s">
        <v>0</v>
      </c>
      <c r="B1265" s="1">
        <v>45578</v>
      </c>
      <c r="C1265" t="str">
        <f t="shared" si="268"/>
        <v>12025</v>
      </c>
      <c r="D1265" t="s">
        <v>12</v>
      </c>
      <c r="E1265" t="str">
        <f t="shared" si="269"/>
        <v>7</v>
      </c>
      <c r="F1265">
        <v>268172</v>
      </c>
      <c r="G1265">
        <v>169028</v>
      </c>
      <c r="H1265">
        <v>5368</v>
      </c>
      <c r="I1265" t="str">
        <f t="shared" si="272"/>
        <v>2</v>
      </c>
      <c r="J1265" t="str">
        <f t="shared" si="273"/>
        <v>PVDA</v>
      </c>
      <c r="K1265">
        <v>4635</v>
      </c>
      <c r="L1265">
        <v>3933</v>
      </c>
      <c r="M1265">
        <v>8568</v>
      </c>
      <c r="N1265">
        <v>0</v>
      </c>
      <c r="O1265" t="str">
        <f>("4")</f>
        <v>4</v>
      </c>
      <c r="P1265" t="str">
        <f>("van den Elshout Michiel")</f>
        <v>van den Elshout Michiel</v>
      </c>
      <c r="Q1265">
        <v>693</v>
      </c>
    </row>
    <row r="1266" spans="1:19" x14ac:dyDescent="0.3">
      <c r="A1266" t="s">
        <v>0</v>
      </c>
      <c r="B1266" s="1">
        <v>45578</v>
      </c>
      <c r="C1266" t="str">
        <f t="shared" si="268"/>
        <v>12025</v>
      </c>
      <c r="D1266" t="s">
        <v>12</v>
      </c>
      <c r="E1266" t="str">
        <f t="shared" si="269"/>
        <v>7</v>
      </c>
      <c r="F1266">
        <v>268172</v>
      </c>
      <c r="G1266">
        <v>169028</v>
      </c>
      <c r="H1266">
        <v>5368</v>
      </c>
      <c r="I1266" t="str">
        <f t="shared" si="272"/>
        <v>2</v>
      </c>
      <c r="J1266" t="str">
        <f t="shared" si="273"/>
        <v>PVDA</v>
      </c>
      <c r="K1266">
        <v>4635</v>
      </c>
      <c r="L1266">
        <v>3933</v>
      </c>
      <c r="M1266">
        <v>8568</v>
      </c>
      <c r="N1266">
        <v>0</v>
      </c>
      <c r="O1266" t="str">
        <f>("5")</f>
        <v>5</v>
      </c>
      <c r="P1266" t="str">
        <f>("Gernaey Katrien")</f>
        <v>Gernaey Katrien</v>
      </c>
      <c r="Q1266">
        <v>903</v>
      </c>
    </row>
    <row r="1267" spans="1:19" x14ac:dyDescent="0.3">
      <c r="A1267" t="s">
        <v>0</v>
      </c>
      <c r="B1267" s="1">
        <v>45578</v>
      </c>
      <c r="C1267" t="str">
        <f t="shared" si="268"/>
        <v>12025</v>
      </c>
      <c r="D1267" t="s">
        <v>12</v>
      </c>
      <c r="E1267" t="str">
        <f t="shared" si="269"/>
        <v>7</v>
      </c>
      <c r="F1267">
        <v>268172</v>
      </c>
      <c r="G1267">
        <v>169028</v>
      </c>
      <c r="H1267">
        <v>5368</v>
      </c>
      <c r="I1267" t="str">
        <f t="shared" si="272"/>
        <v>2</v>
      </c>
      <c r="J1267" t="str">
        <f t="shared" si="273"/>
        <v>PVDA</v>
      </c>
      <c r="K1267">
        <v>4635</v>
      </c>
      <c r="L1267">
        <v>3933</v>
      </c>
      <c r="M1267">
        <v>8568</v>
      </c>
      <c r="N1267">
        <v>0</v>
      </c>
      <c r="O1267" t="str">
        <f>("6")</f>
        <v>6</v>
      </c>
      <c r="P1267" t="str">
        <f>("Verbist Nico")</f>
        <v>Verbist Nico</v>
      </c>
      <c r="Q1267">
        <v>650</v>
      </c>
    </row>
    <row r="1268" spans="1:19" x14ac:dyDescent="0.3">
      <c r="A1268" t="s">
        <v>0</v>
      </c>
      <c r="B1268" s="1">
        <v>45578</v>
      </c>
      <c r="C1268" t="str">
        <f t="shared" si="268"/>
        <v>12025</v>
      </c>
      <c r="D1268" t="s">
        <v>12</v>
      </c>
      <c r="E1268" t="str">
        <f t="shared" si="269"/>
        <v>7</v>
      </c>
      <c r="F1268">
        <v>268172</v>
      </c>
      <c r="G1268">
        <v>169028</v>
      </c>
      <c r="H1268">
        <v>5368</v>
      </c>
      <c r="I1268" t="str">
        <f t="shared" si="272"/>
        <v>2</v>
      </c>
      <c r="J1268" t="str">
        <f t="shared" si="273"/>
        <v>PVDA</v>
      </c>
      <c r="K1268">
        <v>4635</v>
      </c>
      <c r="L1268">
        <v>3933</v>
      </c>
      <c r="M1268">
        <v>8568</v>
      </c>
      <c r="N1268">
        <v>0</v>
      </c>
      <c r="O1268" t="str">
        <f>("7")</f>
        <v>7</v>
      </c>
      <c r="P1268" t="str">
        <f>("De Cock Francine")</f>
        <v>De Cock Francine</v>
      </c>
      <c r="Q1268">
        <v>872</v>
      </c>
    </row>
    <row r="1269" spans="1:19" x14ac:dyDescent="0.3">
      <c r="A1269" t="s">
        <v>0</v>
      </c>
      <c r="B1269" s="1">
        <v>45578</v>
      </c>
      <c r="C1269" t="str">
        <f t="shared" si="268"/>
        <v>12025</v>
      </c>
      <c r="D1269" t="s">
        <v>12</v>
      </c>
      <c r="E1269" t="str">
        <f t="shared" si="269"/>
        <v>7</v>
      </c>
      <c r="F1269">
        <v>268172</v>
      </c>
      <c r="G1269">
        <v>169028</v>
      </c>
      <c r="H1269">
        <v>5368</v>
      </c>
      <c r="I1269" t="str">
        <f t="shared" ref="I1269:I1275" si="274">("3")</f>
        <v>3</v>
      </c>
      <c r="J1269" t="str">
        <f t="shared" ref="J1269:J1275" si="275">("cd&amp;v")</f>
        <v>cd&amp;v</v>
      </c>
      <c r="K1269">
        <v>11781</v>
      </c>
      <c r="L1269">
        <v>15143</v>
      </c>
      <c r="M1269">
        <v>26924</v>
      </c>
      <c r="N1269">
        <v>1</v>
      </c>
      <c r="O1269" t="str">
        <f>("1")</f>
        <v>1</v>
      </c>
      <c r="P1269" t="str">
        <f>("Stevens Lili")</f>
        <v>Stevens Lili</v>
      </c>
      <c r="Q1269">
        <v>6519</v>
      </c>
      <c r="R1269">
        <v>1</v>
      </c>
    </row>
    <row r="1270" spans="1:19" x14ac:dyDescent="0.3">
      <c r="A1270" t="s">
        <v>0</v>
      </c>
      <c r="B1270" s="1">
        <v>45578</v>
      </c>
      <c r="C1270" t="str">
        <f t="shared" si="268"/>
        <v>12025</v>
      </c>
      <c r="D1270" t="s">
        <v>12</v>
      </c>
      <c r="E1270" t="str">
        <f t="shared" si="269"/>
        <v>7</v>
      </c>
      <c r="F1270">
        <v>268172</v>
      </c>
      <c r="G1270">
        <v>169028</v>
      </c>
      <c r="H1270">
        <v>5368</v>
      </c>
      <c r="I1270" t="str">
        <f t="shared" si="274"/>
        <v>3</v>
      </c>
      <c r="J1270" t="str">
        <f t="shared" si="275"/>
        <v>cd&amp;v</v>
      </c>
      <c r="K1270">
        <v>11781</v>
      </c>
      <c r="L1270">
        <v>15143</v>
      </c>
      <c r="M1270">
        <v>26924</v>
      </c>
      <c r="N1270">
        <v>1</v>
      </c>
      <c r="O1270" t="str">
        <f>("2")</f>
        <v>2</v>
      </c>
      <c r="P1270" t="str">
        <f>("Deleus Stefaan")</f>
        <v>Deleus Stefaan</v>
      </c>
      <c r="Q1270">
        <v>2533</v>
      </c>
      <c r="S1270">
        <v>5</v>
      </c>
    </row>
    <row r="1271" spans="1:19" x14ac:dyDescent="0.3">
      <c r="A1271" t="s">
        <v>0</v>
      </c>
      <c r="B1271" s="1">
        <v>45578</v>
      </c>
      <c r="C1271" t="str">
        <f t="shared" si="268"/>
        <v>12025</v>
      </c>
      <c r="D1271" t="s">
        <v>12</v>
      </c>
      <c r="E1271" t="str">
        <f t="shared" si="269"/>
        <v>7</v>
      </c>
      <c r="F1271">
        <v>268172</v>
      </c>
      <c r="G1271">
        <v>169028</v>
      </c>
      <c r="H1271">
        <v>5368</v>
      </c>
      <c r="I1271" t="str">
        <f t="shared" si="274"/>
        <v>3</v>
      </c>
      <c r="J1271" t="str">
        <f t="shared" si="275"/>
        <v>cd&amp;v</v>
      </c>
      <c r="K1271">
        <v>11781</v>
      </c>
      <c r="L1271">
        <v>15143</v>
      </c>
      <c r="M1271">
        <v>26924</v>
      </c>
      <c r="N1271">
        <v>1</v>
      </c>
      <c r="O1271" t="str">
        <f>("3")</f>
        <v>3</v>
      </c>
      <c r="P1271" t="str">
        <f>("Van Noten Eva")</f>
        <v>Van Noten Eva</v>
      </c>
      <c r="Q1271">
        <v>4048</v>
      </c>
      <c r="S1271">
        <v>1</v>
      </c>
    </row>
    <row r="1272" spans="1:19" x14ac:dyDescent="0.3">
      <c r="A1272" t="s">
        <v>0</v>
      </c>
      <c r="B1272" s="1">
        <v>45578</v>
      </c>
      <c r="C1272" t="str">
        <f t="shared" si="268"/>
        <v>12025</v>
      </c>
      <c r="D1272" t="s">
        <v>12</v>
      </c>
      <c r="E1272" t="str">
        <f t="shared" si="269"/>
        <v>7</v>
      </c>
      <c r="F1272">
        <v>268172</v>
      </c>
      <c r="G1272">
        <v>169028</v>
      </c>
      <c r="H1272">
        <v>5368</v>
      </c>
      <c r="I1272" t="str">
        <f t="shared" si="274"/>
        <v>3</v>
      </c>
      <c r="J1272" t="str">
        <f t="shared" si="275"/>
        <v>cd&amp;v</v>
      </c>
      <c r="K1272">
        <v>11781</v>
      </c>
      <c r="L1272">
        <v>15143</v>
      </c>
      <c r="M1272">
        <v>26924</v>
      </c>
      <c r="N1272">
        <v>1</v>
      </c>
      <c r="O1272" t="str">
        <f>("4")</f>
        <v>4</v>
      </c>
      <c r="P1272" t="str">
        <f>("Heymans Elise")</f>
        <v>Heymans Elise</v>
      </c>
      <c r="Q1272">
        <v>2746</v>
      </c>
      <c r="S1272">
        <v>4</v>
      </c>
    </row>
    <row r="1273" spans="1:19" x14ac:dyDescent="0.3">
      <c r="A1273" t="s">
        <v>0</v>
      </c>
      <c r="B1273" s="1">
        <v>45578</v>
      </c>
      <c r="C1273" t="str">
        <f t="shared" si="268"/>
        <v>12025</v>
      </c>
      <c r="D1273" t="s">
        <v>12</v>
      </c>
      <c r="E1273" t="str">
        <f t="shared" si="269"/>
        <v>7</v>
      </c>
      <c r="F1273">
        <v>268172</v>
      </c>
      <c r="G1273">
        <v>169028</v>
      </c>
      <c r="H1273">
        <v>5368</v>
      </c>
      <c r="I1273" t="str">
        <f t="shared" si="274"/>
        <v>3</v>
      </c>
      <c r="J1273" t="str">
        <f t="shared" si="275"/>
        <v>cd&amp;v</v>
      </c>
      <c r="K1273">
        <v>11781</v>
      </c>
      <c r="L1273">
        <v>15143</v>
      </c>
      <c r="M1273">
        <v>26924</v>
      </c>
      <c r="N1273">
        <v>1</v>
      </c>
      <c r="O1273" t="str">
        <f>("5")</f>
        <v>5</v>
      </c>
      <c r="P1273" t="str">
        <f>("Geeroms Willem")</f>
        <v>Geeroms Willem</v>
      </c>
      <c r="Q1273">
        <v>3227</v>
      </c>
      <c r="S1273">
        <v>2</v>
      </c>
    </row>
    <row r="1274" spans="1:19" x14ac:dyDescent="0.3">
      <c r="A1274" t="s">
        <v>0</v>
      </c>
      <c r="B1274" s="1">
        <v>45578</v>
      </c>
      <c r="C1274" t="str">
        <f t="shared" si="268"/>
        <v>12025</v>
      </c>
      <c r="D1274" t="s">
        <v>12</v>
      </c>
      <c r="E1274" t="str">
        <f t="shared" si="269"/>
        <v>7</v>
      </c>
      <c r="F1274">
        <v>268172</v>
      </c>
      <c r="G1274">
        <v>169028</v>
      </c>
      <c r="H1274">
        <v>5368</v>
      </c>
      <c r="I1274" t="str">
        <f t="shared" si="274"/>
        <v>3</v>
      </c>
      <c r="J1274" t="str">
        <f t="shared" si="275"/>
        <v>cd&amp;v</v>
      </c>
      <c r="K1274">
        <v>11781</v>
      </c>
      <c r="L1274">
        <v>15143</v>
      </c>
      <c r="M1274">
        <v>26924</v>
      </c>
      <c r="N1274">
        <v>1</v>
      </c>
      <c r="O1274" t="str">
        <f>("6")</f>
        <v>6</v>
      </c>
      <c r="P1274" t="str">
        <f>("Kenens Simon")</f>
        <v>Kenens Simon</v>
      </c>
      <c r="Q1274">
        <v>1225</v>
      </c>
      <c r="S1274">
        <v>6</v>
      </c>
    </row>
    <row r="1275" spans="1:19" x14ac:dyDescent="0.3">
      <c r="A1275" t="s">
        <v>0</v>
      </c>
      <c r="B1275" s="1">
        <v>45578</v>
      </c>
      <c r="C1275" t="str">
        <f t="shared" si="268"/>
        <v>12025</v>
      </c>
      <c r="D1275" t="s">
        <v>12</v>
      </c>
      <c r="E1275" t="str">
        <f t="shared" si="269"/>
        <v>7</v>
      </c>
      <c r="F1275">
        <v>268172</v>
      </c>
      <c r="G1275">
        <v>169028</v>
      </c>
      <c r="H1275">
        <v>5368</v>
      </c>
      <c r="I1275" t="str">
        <f t="shared" si="274"/>
        <v>3</v>
      </c>
      <c r="J1275" t="str">
        <f t="shared" si="275"/>
        <v>cd&amp;v</v>
      </c>
      <c r="K1275">
        <v>11781</v>
      </c>
      <c r="L1275">
        <v>15143</v>
      </c>
      <c r="M1275">
        <v>26924</v>
      </c>
      <c r="N1275">
        <v>1</v>
      </c>
      <c r="O1275" t="str">
        <f>("7")</f>
        <v>7</v>
      </c>
      <c r="P1275" t="str">
        <f>("Sommen Liesbet")</f>
        <v>Sommen Liesbet</v>
      </c>
      <c r="Q1275">
        <v>2854</v>
      </c>
      <c r="S1275">
        <v>3</v>
      </c>
    </row>
    <row r="1276" spans="1:19" x14ac:dyDescent="0.3">
      <c r="A1276" t="s">
        <v>0</v>
      </c>
      <c r="B1276" s="1">
        <v>45578</v>
      </c>
      <c r="C1276" t="str">
        <f t="shared" si="268"/>
        <v>12025</v>
      </c>
      <c r="D1276" t="s">
        <v>12</v>
      </c>
      <c r="E1276" t="str">
        <f t="shared" si="269"/>
        <v>7</v>
      </c>
      <c r="F1276">
        <v>268172</v>
      </c>
      <c r="G1276">
        <v>169028</v>
      </c>
      <c r="H1276">
        <v>5368</v>
      </c>
      <c r="I1276" t="str">
        <f t="shared" ref="I1276:I1282" si="276">("4")</f>
        <v>4</v>
      </c>
      <c r="J1276" t="str">
        <f t="shared" ref="J1276:J1282" si="277">("VLAAMS BELANG")</f>
        <v>VLAAMS BELANG</v>
      </c>
      <c r="K1276">
        <v>17278</v>
      </c>
      <c r="L1276">
        <v>11948</v>
      </c>
      <c r="M1276">
        <v>29226</v>
      </c>
      <c r="N1276">
        <v>1</v>
      </c>
      <c r="O1276" t="str">
        <f>("1")</f>
        <v>1</v>
      </c>
      <c r="P1276" t="str">
        <f>("François Catherine")</f>
        <v>François Catherine</v>
      </c>
      <c r="Q1276">
        <v>6621</v>
      </c>
      <c r="R1276">
        <v>1</v>
      </c>
    </row>
    <row r="1277" spans="1:19" x14ac:dyDescent="0.3">
      <c r="A1277" t="s">
        <v>0</v>
      </c>
      <c r="B1277" s="1">
        <v>45578</v>
      </c>
      <c r="C1277" t="str">
        <f t="shared" si="268"/>
        <v>12025</v>
      </c>
      <c r="D1277" t="s">
        <v>12</v>
      </c>
      <c r="E1277" t="str">
        <f t="shared" si="269"/>
        <v>7</v>
      </c>
      <c r="F1277">
        <v>268172</v>
      </c>
      <c r="G1277">
        <v>169028</v>
      </c>
      <c r="H1277">
        <v>5368</v>
      </c>
      <c r="I1277" t="str">
        <f t="shared" si="276"/>
        <v>4</v>
      </c>
      <c r="J1277" t="str">
        <f t="shared" si="277"/>
        <v>VLAAMS BELANG</v>
      </c>
      <c r="K1277">
        <v>17278</v>
      </c>
      <c r="L1277">
        <v>11948</v>
      </c>
      <c r="M1277">
        <v>29226</v>
      </c>
      <c r="N1277">
        <v>1</v>
      </c>
      <c r="O1277" t="str">
        <f>("2")</f>
        <v>2</v>
      </c>
      <c r="P1277" t="str">
        <f>("Roelandt Sander")</f>
        <v>Roelandt Sander</v>
      </c>
      <c r="Q1277">
        <v>2659</v>
      </c>
      <c r="S1277">
        <v>3</v>
      </c>
    </row>
    <row r="1278" spans="1:19" x14ac:dyDescent="0.3">
      <c r="A1278" t="s">
        <v>0</v>
      </c>
      <c r="B1278" s="1">
        <v>45578</v>
      </c>
      <c r="C1278" t="str">
        <f t="shared" si="268"/>
        <v>12025</v>
      </c>
      <c r="D1278" t="s">
        <v>12</v>
      </c>
      <c r="E1278" t="str">
        <f t="shared" si="269"/>
        <v>7</v>
      </c>
      <c r="F1278">
        <v>268172</v>
      </c>
      <c r="G1278">
        <v>169028</v>
      </c>
      <c r="H1278">
        <v>5368</v>
      </c>
      <c r="I1278" t="str">
        <f t="shared" si="276"/>
        <v>4</v>
      </c>
      <c r="J1278" t="str">
        <f t="shared" si="277"/>
        <v>VLAAMS BELANG</v>
      </c>
      <c r="K1278">
        <v>17278</v>
      </c>
      <c r="L1278">
        <v>11948</v>
      </c>
      <c r="M1278">
        <v>29226</v>
      </c>
      <c r="N1278">
        <v>1</v>
      </c>
      <c r="O1278" t="str">
        <f>("3")</f>
        <v>3</v>
      </c>
      <c r="P1278" t="str">
        <f>("Ceuppens Tamara")</f>
        <v>Ceuppens Tamara</v>
      </c>
      <c r="Q1278">
        <v>3172</v>
      </c>
      <c r="S1278">
        <v>2</v>
      </c>
    </row>
    <row r="1279" spans="1:19" x14ac:dyDescent="0.3">
      <c r="A1279" t="s">
        <v>0</v>
      </c>
      <c r="B1279" s="1">
        <v>45578</v>
      </c>
      <c r="C1279" t="str">
        <f t="shared" si="268"/>
        <v>12025</v>
      </c>
      <c r="D1279" t="s">
        <v>12</v>
      </c>
      <c r="E1279" t="str">
        <f t="shared" si="269"/>
        <v>7</v>
      </c>
      <c r="F1279">
        <v>268172</v>
      </c>
      <c r="G1279">
        <v>169028</v>
      </c>
      <c r="H1279">
        <v>5368</v>
      </c>
      <c r="I1279" t="str">
        <f t="shared" si="276"/>
        <v>4</v>
      </c>
      <c r="J1279" t="str">
        <f t="shared" si="277"/>
        <v>VLAAMS BELANG</v>
      </c>
      <c r="K1279">
        <v>17278</v>
      </c>
      <c r="L1279">
        <v>11948</v>
      </c>
      <c r="M1279">
        <v>29226</v>
      </c>
      <c r="N1279">
        <v>1</v>
      </c>
      <c r="O1279" t="str">
        <f>("4")</f>
        <v>4</v>
      </c>
      <c r="P1279" t="str">
        <f>("Van Goethem Enzo")</f>
        <v>Van Goethem Enzo</v>
      </c>
      <c r="Q1279">
        <v>1990</v>
      </c>
      <c r="S1279">
        <v>5</v>
      </c>
    </row>
    <row r="1280" spans="1:19" x14ac:dyDescent="0.3">
      <c r="A1280" t="s">
        <v>0</v>
      </c>
      <c r="B1280" s="1">
        <v>45578</v>
      </c>
      <c r="C1280" t="str">
        <f t="shared" si="268"/>
        <v>12025</v>
      </c>
      <c r="D1280" t="s">
        <v>12</v>
      </c>
      <c r="E1280" t="str">
        <f t="shared" si="269"/>
        <v>7</v>
      </c>
      <c r="F1280">
        <v>268172</v>
      </c>
      <c r="G1280">
        <v>169028</v>
      </c>
      <c r="H1280">
        <v>5368</v>
      </c>
      <c r="I1280" t="str">
        <f t="shared" si="276"/>
        <v>4</v>
      </c>
      <c r="J1280" t="str">
        <f t="shared" si="277"/>
        <v>VLAAMS BELANG</v>
      </c>
      <c r="K1280">
        <v>17278</v>
      </c>
      <c r="L1280">
        <v>11948</v>
      </c>
      <c r="M1280">
        <v>29226</v>
      </c>
      <c r="N1280">
        <v>1</v>
      </c>
      <c r="O1280" t="str">
        <f>("5")</f>
        <v>5</v>
      </c>
      <c r="P1280" t="str">
        <f>("Silvester Sylvia")</f>
        <v>Silvester Sylvia</v>
      </c>
      <c r="Q1280">
        <v>2306</v>
      </c>
      <c r="S1280">
        <v>4</v>
      </c>
    </row>
    <row r="1281" spans="1:19" x14ac:dyDescent="0.3">
      <c r="A1281" t="s">
        <v>0</v>
      </c>
      <c r="B1281" s="1">
        <v>45578</v>
      </c>
      <c r="C1281" t="str">
        <f t="shared" si="268"/>
        <v>12025</v>
      </c>
      <c r="D1281" t="s">
        <v>12</v>
      </c>
      <c r="E1281" t="str">
        <f t="shared" si="269"/>
        <v>7</v>
      </c>
      <c r="F1281">
        <v>268172</v>
      </c>
      <c r="G1281">
        <v>169028</v>
      </c>
      <c r="H1281">
        <v>5368</v>
      </c>
      <c r="I1281" t="str">
        <f t="shared" si="276"/>
        <v>4</v>
      </c>
      <c r="J1281" t="str">
        <f t="shared" si="277"/>
        <v>VLAAMS BELANG</v>
      </c>
      <c r="K1281">
        <v>17278</v>
      </c>
      <c r="L1281">
        <v>11948</v>
      </c>
      <c r="M1281">
        <v>29226</v>
      </c>
      <c r="N1281">
        <v>1</v>
      </c>
      <c r="O1281" t="str">
        <f>("6")</f>
        <v>6</v>
      </c>
      <c r="P1281" t="str">
        <f>("Beckx Patrick")</f>
        <v>Beckx Patrick</v>
      </c>
      <c r="Q1281">
        <v>1873</v>
      </c>
      <c r="S1281">
        <v>6</v>
      </c>
    </row>
    <row r="1282" spans="1:19" x14ac:dyDescent="0.3">
      <c r="A1282" t="s">
        <v>0</v>
      </c>
      <c r="B1282" s="1">
        <v>45578</v>
      </c>
      <c r="C1282" t="str">
        <f t="shared" si="268"/>
        <v>12025</v>
      </c>
      <c r="D1282" t="s">
        <v>12</v>
      </c>
      <c r="E1282" t="str">
        <f t="shared" si="269"/>
        <v>7</v>
      </c>
      <c r="F1282">
        <v>268172</v>
      </c>
      <c r="G1282">
        <v>169028</v>
      </c>
      <c r="H1282">
        <v>5368</v>
      </c>
      <c r="I1282" t="str">
        <f t="shared" si="276"/>
        <v>4</v>
      </c>
      <c r="J1282" t="str">
        <f t="shared" si="277"/>
        <v>VLAAMS BELANG</v>
      </c>
      <c r="K1282">
        <v>17278</v>
      </c>
      <c r="L1282">
        <v>11948</v>
      </c>
      <c r="M1282">
        <v>29226</v>
      </c>
      <c r="N1282">
        <v>1</v>
      </c>
      <c r="O1282" t="str">
        <f>("7")</f>
        <v>7</v>
      </c>
      <c r="P1282" t="str">
        <f>("Verheyden Wim")</f>
        <v>Verheyden Wim</v>
      </c>
      <c r="Q1282">
        <v>4249</v>
      </c>
      <c r="S1282">
        <v>1</v>
      </c>
    </row>
    <row r="1283" spans="1:19" x14ac:dyDescent="0.3">
      <c r="A1283" t="s">
        <v>0</v>
      </c>
      <c r="B1283" s="1">
        <v>45578</v>
      </c>
      <c r="C1283" t="str">
        <f t="shared" si="268"/>
        <v>12025</v>
      </c>
      <c r="D1283" t="s">
        <v>12</v>
      </c>
      <c r="E1283" t="str">
        <f t="shared" si="269"/>
        <v>7</v>
      </c>
      <c r="F1283">
        <v>268172</v>
      </c>
      <c r="G1283">
        <v>169028</v>
      </c>
      <c r="H1283">
        <v>5368</v>
      </c>
      <c r="I1283" t="str">
        <f t="shared" ref="I1283:I1289" si="278">("5")</f>
        <v>5</v>
      </c>
      <c r="J1283" t="str">
        <f t="shared" ref="J1283:J1289" si="279">("N-VA")</f>
        <v>N-VA</v>
      </c>
      <c r="K1283">
        <v>20061</v>
      </c>
      <c r="L1283">
        <v>31408</v>
      </c>
      <c r="M1283">
        <v>51469</v>
      </c>
      <c r="N1283">
        <v>3</v>
      </c>
      <c r="O1283" t="str">
        <f>("1")</f>
        <v>1</v>
      </c>
      <c r="P1283" t="str">
        <f>("De Haes Jan")</f>
        <v>De Haes Jan</v>
      </c>
      <c r="Q1283">
        <v>7843</v>
      </c>
      <c r="R1283">
        <v>2</v>
      </c>
    </row>
    <row r="1284" spans="1:19" x14ac:dyDescent="0.3">
      <c r="A1284" t="s">
        <v>0</v>
      </c>
      <c r="B1284" s="1">
        <v>45578</v>
      </c>
      <c r="C1284" t="str">
        <f t="shared" si="268"/>
        <v>12025</v>
      </c>
      <c r="D1284" t="s">
        <v>12</v>
      </c>
      <c r="E1284" t="str">
        <f t="shared" si="269"/>
        <v>7</v>
      </c>
      <c r="F1284">
        <v>268172</v>
      </c>
      <c r="G1284">
        <v>169028</v>
      </c>
      <c r="H1284">
        <v>5368</v>
      </c>
      <c r="I1284" t="str">
        <f t="shared" si="278"/>
        <v>5</v>
      </c>
      <c r="J1284" t="str">
        <f t="shared" si="279"/>
        <v>N-VA</v>
      </c>
      <c r="K1284">
        <v>20061</v>
      </c>
      <c r="L1284">
        <v>31408</v>
      </c>
      <c r="M1284">
        <v>51469</v>
      </c>
      <c r="N1284">
        <v>3</v>
      </c>
      <c r="O1284" t="str">
        <f>("2")</f>
        <v>2</v>
      </c>
      <c r="P1284" t="str">
        <f>("Rombauts Kathleen")</f>
        <v>Rombauts Kathleen</v>
      </c>
      <c r="Q1284">
        <v>4492</v>
      </c>
      <c r="R1284">
        <v>3</v>
      </c>
    </row>
    <row r="1285" spans="1:19" x14ac:dyDescent="0.3">
      <c r="A1285" t="s">
        <v>0</v>
      </c>
      <c r="B1285" s="1">
        <v>45578</v>
      </c>
      <c r="C1285" t="str">
        <f t="shared" si="268"/>
        <v>12025</v>
      </c>
      <c r="D1285" t="s">
        <v>12</v>
      </c>
      <c r="E1285" t="str">
        <f t="shared" si="269"/>
        <v>7</v>
      </c>
      <c r="F1285">
        <v>268172</v>
      </c>
      <c r="G1285">
        <v>169028</v>
      </c>
      <c r="H1285">
        <v>5368</v>
      </c>
      <c r="I1285" t="str">
        <f t="shared" si="278"/>
        <v>5</v>
      </c>
      <c r="J1285" t="str">
        <f t="shared" si="279"/>
        <v>N-VA</v>
      </c>
      <c r="K1285">
        <v>20061</v>
      </c>
      <c r="L1285">
        <v>31408</v>
      </c>
      <c r="M1285">
        <v>51469</v>
      </c>
      <c r="N1285">
        <v>3</v>
      </c>
      <c r="O1285" t="str">
        <f>("3")</f>
        <v>3</v>
      </c>
      <c r="P1285" t="str">
        <f>("Hendrickx Marc")</f>
        <v>Hendrickx Marc</v>
      </c>
      <c r="Q1285">
        <v>4158</v>
      </c>
      <c r="S1285">
        <v>1</v>
      </c>
    </row>
    <row r="1286" spans="1:19" x14ac:dyDescent="0.3">
      <c r="A1286" t="s">
        <v>0</v>
      </c>
      <c r="B1286" s="1">
        <v>45578</v>
      </c>
      <c r="C1286" t="str">
        <f t="shared" si="268"/>
        <v>12025</v>
      </c>
      <c r="D1286" t="s">
        <v>12</v>
      </c>
      <c r="E1286" t="str">
        <f t="shared" si="269"/>
        <v>7</v>
      </c>
      <c r="F1286">
        <v>268172</v>
      </c>
      <c r="G1286">
        <v>169028</v>
      </c>
      <c r="H1286">
        <v>5368</v>
      </c>
      <c r="I1286" t="str">
        <f t="shared" si="278"/>
        <v>5</v>
      </c>
      <c r="J1286" t="str">
        <f t="shared" si="279"/>
        <v>N-VA</v>
      </c>
      <c r="K1286">
        <v>20061</v>
      </c>
      <c r="L1286">
        <v>31408</v>
      </c>
      <c r="M1286">
        <v>51469</v>
      </c>
      <c r="N1286">
        <v>3</v>
      </c>
      <c r="O1286" t="str">
        <f>("4")</f>
        <v>4</v>
      </c>
      <c r="P1286" t="str">
        <f>("Mertens Erwin")</f>
        <v>Mertens Erwin</v>
      </c>
      <c r="Q1286">
        <v>2155</v>
      </c>
      <c r="S1286">
        <v>4</v>
      </c>
    </row>
    <row r="1287" spans="1:19" x14ac:dyDescent="0.3">
      <c r="A1287" t="s">
        <v>0</v>
      </c>
      <c r="B1287" s="1">
        <v>45578</v>
      </c>
      <c r="C1287" t="str">
        <f t="shared" ref="C1287:C1317" si="280">("12025")</f>
        <v>12025</v>
      </c>
      <c r="D1287" t="s">
        <v>12</v>
      </c>
      <c r="E1287" t="str">
        <f t="shared" ref="E1287:E1318" si="281">("7")</f>
        <v>7</v>
      </c>
      <c r="F1287">
        <v>268172</v>
      </c>
      <c r="G1287">
        <v>169028</v>
      </c>
      <c r="H1287">
        <v>5368</v>
      </c>
      <c r="I1287" t="str">
        <f t="shared" si="278"/>
        <v>5</v>
      </c>
      <c r="J1287" t="str">
        <f t="shared" si="279"/>
        <v>N-VA</v>
      </c>
      <c r="K1287">
        <v>20061</v>
      </c>
      <c r="L1287">
        <v>31408</v>
      </c>
      <c r="M1287">
        <v>51469</v>
      </c>
      <c r="N1287">
        <v>3</v>
      </c>
      <c r="O1287" t="str">
        <f>("5")</f>
        <v>5</v>
      </c>
      <c r="P1287" t="str">
        <f>("Henderickx Ilse")</f>
        <v>Henderickx Ilse</v>
      </c>
      <c r="Q1287">
        <v>2993</v>
      </c>
      <c r="S1287">
        <v>2</v>
      </c>
    </row>
    <row r="1288" spans="1:19" x14ac:dyDescent="0.3">
      <c r="A1288" t="s">
        <v>0</v>
      </c>
      <c r="B1288" s="1">
        <v>45578</v>
      </c>
      <c r="C1288" t="str">
        <f t="shared" si="280"/>
        <v>12025</v>
      </c>
      <c r="D1288" t="s">
        <v>12</v>
      </c>
      <c r="E1288" t="str">
        <f t="shared" si="281"/>
        <v>7</v>
      </c>
      <c r="F1288">
        <v>268172</v>
      </c>
      <c r="G1288">
        <v>169028</v>
      </c>
      <c r="H1288">
        <v>5368</v>
      </c>
      <c r="I1288" t="str">
        <f t="shared" si="278"/>
        <v>5</v>
      </c>
      <c r="J1288" t="str">
        <f t="shared" si="279"/>
        <v>N-VA</v>
      </c>
      <c r="K1288">
        <v>20061</v>
      </c>
      <c r="L1288">
        <v>31408</v>
      </c>
      <c r="M1288">
        <v>51469</v>
      </c>
      <c r="N1288">
        <v>3</v>
      </c>
      <c r="O1288" t="str">
        <f>("6")</f>
        <v>6</v>
      </c>
      <c r="P1288" t="str">
        <f>("Cottenie Christ'l")</f>
        <v>Cottenie Christ'l</v>
      </c>
      <c r="Q1288">
        <v>2963</v>
      </c>
      <c r="S1288">
        <v>3</v>
      </c>
    </row>
    <row r="1289" spans="1:19" x14ac:dyDescent="0.3">
      <c r="A1289" t="s">
        <v>0</v>
      </c>
      <c r="B1289" s="1">
        <v>45578</v>
      </c>
      <c r="C1289" t="str">
        <f t="shared" si="280"/>
        <v>12025</v>
      </c>
      <c r="D1289" t="s">
        <v>12</v>
      </c>
      <c r="E1289" t="str">
        <f t="shared" si="281"/>
        <v>7</v>
      </c>
      <c r="F1289">
        <v>268172</v>
      </c>
      <c r="G1289">
        <v>169028</v>
      </c>
      <c r="H1289">
        <v>5368</v>
      </c>
      <c r="I1289" t="str">
        <f t="shared" si="278"/>
        <v>5</v>
      </c>
      <c r="J1289" t="str">
        <f t="shared" si="279"/>
        <v>N-VA</v>
      </c>
      <c r="K1289">
        <v>20061</v>
      </c>
      <c r="L1289">
        <v>31408</v>
      </c>
      <c r="M1289">
        <v>51469</v>
      </c>
      <c r="N1289">
        <v>3</v>
      </c>
      <c r="O1289" t="str">
        <f>("7")</f>
        <v>7</v>
      </c>
      <c r="P1289" t="str">
        <f>("De Wever Bart")</f>
        <v>De Wever Bart</v>
      </c>
      <c r="Q1289">
        <v>21651</v>
      </c>
      <c r="R1289">
        <v>1</v>
      </c>
    </row>
    <row r="1290" spans="1:19" x14ac:dyDescent="0.3">
      <c r="A1290" t="s">
        <v>0</v>
      </c>
      <c r="B1290" s="1">
        <v>45578</v>
      </c>
      <c r="C1290" t="str">
        <f t="shared" si="280"/>
        <v>12025</v>
      </c>
      <c r="D1290" t="s">
        <v>12</v>
      </c>
      <c r="E1290" t="str">
        <f t="shared" si="281"/>
        <v>7</v>
      </c>
      <c r="F1290">
        <v>268172</v>
      </c>
      <c r="G1290">
        <v>169028</v>
      </c>
      <c r="H1290">
        <v>5368</v>
      </c>
      <c r="I1290" t="str">
        <f t="shared" ref="I1290:I1296" si="282">("6")</f>
        <v>6</v>
      </c>
      <c r="J1290" t="str">
        <f t="shared" ref="J1290:J1296" si="283">("Open Vld")</f>
        <v>Open Vld</v>
      </c>
      <c r="K1290">
        <v>4126</v>
      </c>
      <c r="L1290">
        <v>6305</v>
      </c>
      <c r="M1290">
        <v>10431</v>
      </c>
      <c r="N1290">
        <v>0</v>
      </c>
      <c r="O1290" t="str">
        <f>("1")</f>
        <v>1</v>
      </c>
      <c r="P1290" t="str">
        <f>("Anciaux Koen")</f>
        <v>Anciaux Koen</v>
      </c>
      <c r="Q1290">
        <v>2765</v>
      </c>
    </row>
    <row r="1291" spans="1:19" x14ac:dyDescent="0.3">
      <c r="A1291" t="s">
        <v>0</v>
      </c>
      <c r="B1291" s="1">
        <v>45578</v>
      </c>
      <c r="C1291" t="str">
        <f t="shared" si="280"/>
        <v>12025</v>
      </c>
      <c r="D1291" t="s">
        <v>12</v>
      </c>
      <c r="E1291" t="str">
        <f t="shared" si="281"/>
        <v>7</v>
      </c>
      <c r="F1291">
        <v>268172</v>
      </c>
      <c r="G1291">
        <v>169028</v>
      </c>
      <c r="H1291">
        <v>5368</v>
      </c>
      <c r="I1291" t="str">
        <f t="shared" si="282"/>
        <v>6</v>
      </c>
      <c r="J1291" t="str">
        <f t="shared" si="283"/>
        <v>Open Vld</v>
      </c>
      <c r="K1291">
        <v>4126</v>
      </c>
      <c r="L1291">
        <v>6305</v>
      </c>
      <c r="M1291">
        <v>10431</v>
      </c>
      <c r="N1291">
        <v>0</v>
      </c>
      <c r="O1291" t="str">
        <f>("2")</f>
        <v>2</v>
      </c>
      <c r="P1291" t="str">
        <f>("Van den Brande Eva")</f>
        <v>Van den Brande Eva</v>
      </c>
      <c r="Q1291">
        <v>1787</v>
      </c>
    </row>
    <row r="1292" spans="1:19" x14ac:dyDescent="0.3">
      <c r="A1292" t="s">
        <v>0</v>
      </c>
      <c r="B1292" s="1">
        <v>45578</v>
      </c>
      <c r="C1292" t="str">
        <f t="shared" si="280"/>
        <v>12025</v>
      </c>
      <c r="D1292" t="s">
        <v>12</v>
      </c>
      <c r="E1292" t="str">
        <f t="shared" si="281"/>
        <v>7</v>
      </c>
      <c r="F1292">
        <v>268172</v>
      </c>
      <c r="G1292">
        <v>169028</v>
      </c>
      <c r="H1292">
        <v>5368</v>
      </c>
      <c r="I1292" t="str">
        <f t="shared" si="282"/>
        <v>6</v>
      </c>
      <c r="J1292" t="str">
        <f t="shared" si="283"/>
        <v>Open Vld</v>
      </c>
      <c r="K1292">
        <v>4126</v>
      </c>
      <c r="L1292">
        <v>6305</v>
      </c>
      <c r="M1292">
        <v>10431</v>
      </c>
      <c r="N1292">
        <v>0</v>
      </c>
      <c r="O1292" t="str">
        <f>("3")</f>
        <v>3</v>
      </c>
      <c r="P1292" t="str">
        <f>("Cleymans Laura")</f>
        <v>Cleymans Laura</v>
      </c>
      <c r="Q1292">
        <v>869</v>
      </c>
    </row>
    <row r="1293" spans="1:19" x14ac:dyDescent="0.3">
      <c r="A1293" t="s">
        <v>0</v>
      </c>
      <c r="B1293" s="1">
        <v>45578</v>
      </c>
      <c r="C1293" t="str">
        <f t="shared" si="280"/>
        <v>12025</v>
      </c>
      <c r="D1293" t="s">
        <v>12</v>
      </c>
      <c r="E1293" t="str">
        <f t="shared" si="281"/>
        <v>7</v>
      </c>
      <c r="F1293">
        <v>268172</v>
      </c>
      <c r="G1293">
        <v>169028</v>
      </c>
      <c r="H1293">
        <v>5368</v>
      </c>
      <c r="I1293" t="str">
        <f t="shared" si="282"/>
        <v>6</v>
      </c>
      <c r="J1293" t="str">
        <f t="shared" si="283"/>
        <v>Open Vld</v>
      </c>
      <c r="K1293">
        <v>4126</v>
      </c>
      <c r="L1293">
        <v>6305</v>
      </c>
      <c r="M1293">
        <v>10431</v>
      </c>
      <c r="N1293">
        <v>0</v>
      </c>
      <c r="O1293" t="str">
        <f>("4")</f>
        <v>4</v>
      </c>
      <c r="P1293" t="str">
        <f>("Hendrickx Johan")</f>
        <v>Hendrickx Johan</v>
      </c>
      <c r="Q1293">
        <v>593</v>
      </c>
    </row>
    <row r="1294" spans="1:19" x14ac:dyDescent="0.3">
      <c r="A1294" t="s">
        <v>0</v>
      </c>
      <c r="B1294" s="1">
        <v>45578</v>
      </c>
      <c r="C1294" t="str">
        <f t="shared" si="280"/>
        <v>12025</v>
      </c>
      <c r="D1294" t="s">
        <v>12</v>
      </c>
      <c r="E1294" t="str">
        <f t="shared" si="281"/>
        <v>7</v>
      </c>
      <c r="F1294">
        <v>268172</v>
      </c>
      <c r="G1294">
        <v>169028</v>
      </c>
      <c r="H1294">
        <v>5368</v>
      </c>
      <c r="I1294" t="str">
        <f t="shared" si="282"/>
        <v>6</v>
      </c>
      <c r="J1294" t="str">
        <f t="shared" si="283"/>
        <v>Open Vld</v>
      </c>
      <c r="K1294">
        <v>4126</v>
      </c>
      <c r="L1294">
        <v>6305</v>
      </c>
      <c r="M1294">
        <v>10431</v>
      </c>
      <c r="N1294">
        <v>0</v>
      </c>
      <c r="O1294" t="str">
        <f>("5")</f>
        <v>5</v>
      </c>
      <c r="P1294" t="str">
        <f>("Grootaers Layla")</f>
        <v>Grootaers Layla</v>
      </c>
      <c r="Q1294">
        <v>1153</v>
      </c>
    </row>
    <row r="1295" spans="1:19" x14ac:dyDescent="0.3">
      <c r="A1295" t="s">
        <v>0</v>
      </c>
      <c r="B1295" s="1">
        <v>45578</v>
      </c>
      <c r="C1295" t="str">
        <f t="shared" si="280"/>
        <v>12025</v>
      </c>
      <c r="D1295" t="s">
        <v>12</v>
      </c>
      <c r="E1295" t="str">
        <f t="shared" si="281"/>
        <v>7</v>
      </c>
      <c r="F1295">
        <v>268172</v>
      </c>
      <c r="G1295">
        <v>169028</v>
      </c>
      <c r="H1295">
        <v>5368</v>
      </c>
      <c r="I1295" t="str">
        <f t="shared" si="282"/>
        <v>6</v>
      </c>
      <c r="J1295" t="str">
        <f t="shared" si="283"/>
        <v>Open Vld</v>
      </c>
      <c r="K1295">
        <v>4126</v>
      </c>
      <c r="L1295">
        <v>6305</v>
      </c>
      <c r="M1295">
        <v>10431</v>
      </c>
      <c r="N1295">
        <v>0</v>
      </c>
      <c r="O1295" t="str">
        <f>("6")</f>
        <v>6</v>
      </c>
      <c r="P1295" t="str">
        <f>("Davtyan Liana")</f>
        <v>Davtyan Liana</v>
      </c>
      <c r="Q1295">
        <v>707</v>
      </c>
    </row>
    <row r="1296" spans="1:19" x14ac:dyDescent="0.3">
      <c r="A1296" t="s">
        <v>0</v>
      </c>
      <c r="B1296" s="1">
        <v>45578</v>
      </c>
      <c r="C1296" t="str">
        <f t="shared" si="280"/>
        <v>12025</v>
      </c>
      <c r="D1296" t="s">
        <v>12</v>
      </c>
      <c r="E1296" t="str">
        <f t="shared" si="281"/>
        <v>7</v>
      </c>
      <c r="F1296">
        <v>268172</v>
      </c>
      <c r="G1296">
        <v>169028</v>
      </c>
      <c r="H1296">
        <v>5368</v>
      </c>
      <c r="I1296" t="str">
        <f t="shared" si="282"/>
        <v>6</v>
      </c>
      <c r="J1296" t="str">
        <f t="shared" si="283"/>
        <v>Open Vld</v>
      </c>
      <c r="K1296">
        <v>4126</v>
      </c>
      <c r="L1296">
        <v>6305</v>
      </c>
      <c r="M1296">
        <v>10431</v>
      </c>
      <c r="N1296">
        <v>0</v>
      </c>
      <c r="O1296" t="str">
        <f>("7")</f>
        <v>7</v>
      </c>
      <c r="P1296" t="str">
        <f>("Ongena Tom")</f>
        <v>Ongena Tom</v>
      </c>
      <c r="Q1296">
        <v>1822</v>
      </c>
    </row>
    <row r="1297" spans="1:19" x14ac:dyDescent="0.3">
      <c r="A1297" t="s">
        <v>0</v>
      </c>
      <c r="B1297" s="1">
        <v>45578</v>
      </c>
      <c r="C1297" t="str">
        <f t="shared" si="280"/>
        <v>12025</v>
      </c>
      <c r="D1297" t="s">
        <v>12</v>
      </c>
      <c r="E1297" t="str">
        <f t="shared" si="281"/>
        <v>7</v>
      </c>
      <c r="F1297">
        <v>268172</v>
      </c>
      <c r="G1297">
        <v>169028</v>
      </c>
      <c r="H1297">
        <v>5368</v>
      </c>
      <c r="I1297" t="str">
        <f t="shared" ref="I1297:I1303" si="284">("7")</f>
        <v>7</v>
      </c>
      <c r="J1297" t="str">
        <f t="shared" ref="J1297:J1303" si="285">("GROEN")</f>
        <v>GROEN</v>
      </c>
      <c r="K1297">
        <v>9401</v>
      </c>
      <c r="L1297">
        <v>7732</v>
      </c>
      <c r="M1297">
        <v>17133</v>
      </c>
      <c r="N1297">
        <v>1</v>
      </c>
      <c r="O1297" t="str">
        <f>("1")</f>
        <v>1</v>
      </c>
      <c r="P1297" t="str">
        <f>("Reydams Daan")</f>
        <v>Reydams Daan</v>
      </c>
      <c r="Q1297">
        <v>2821</v>
      </c>
      <c r="S1297">
        <v>1</v>
      </c>
    </row>
    <row r="1298" spans="1:19" x14ac:dyDescent="0.3">
      <c r="A1298" t="s">
        <v>0</v>
      </c>
      <c r="B1298" s="1">
        <v>45578</v>
      </c>
      <c r="C1298" t="str">
        <f t="shared" si="280"/>
        <v>12025</v>
      </c>
      <c r="D1298" t="s">
        <v>12</v>
      </c>
      <c r="E1298" t="str">
        <f t="shared" si="281"/>
        <v>7</v>
      </c>
      <c r="F1298">
        <v>268172</v>
      </c>
      <c r="G1298">
        <v>169028</v>
      </c>
      <c r="H1298">
        <v>5368</v>
      </c>
      <c r="I1298" t="str">
        <f t="shared" si="284"/>
        <v>7</v>
      </c>
      <c r="J1298" t="str">
        <f t="shared" si="285"/>
        <v>GROEN</v>
      </c>
      <c r="K1298">
        <v>9401</v>
      </c>
      <c r="L1298">
        <v>7732</v>
      </c>
      <c r="M1298">
        <v>17133</v>
      </c>
      <c r="N1298">
        <v>1</v>
      </c>
      <c r="O1298" t="str">
        <f>("2")</f>
        <v>2</v>
      </c>
      <c r="P1298" t="str">
        <f>("Koukas Mina")</f>
        <v>Koukas Mina</v>
      </c>
      <c r="Q1298">
        <v>2733</v>
      </c>
      <c r="S1298">
        <v>2</v>
      </c>
    </row>
    <row r="1299" spans="1:19" x14ac:dyDescent="0.3">
      <c r="A1299" t="s">
        <v>0</v>
      </c>
      <c r="B1299" s="1">
        <v>45578</v>
      </c>
      <c r="C1299" t="str">
        <f t="shared" si="280"/>
        <v>12025</v>
      </c>
      <c r="D1299" t="s">
        <v>12</v>
      </c>
      <c r="E1299" t="str">
        <f t="shared" si="281"/>
        <v>7</v>
      </c>
      <c r="F1299">
        <v>268172</v>
      </c>
      <c r="G1299">
        <v>169028</v>
      </c>
      <c r="H1299">
        <v>5368</v>
      </c>
      <c r="I1299" t="str">
        <f t="shared" si="284"/>
        <v>7</v>
      </c>
      <c r="J1299" t="str">
        <f t="shared" si="285"/>
        <v>GROEN</v>
      </c>
      <c r="K1299">
        <v>9401</v>
      </c>
      <c r="L1299">
        <v>7732</v>
      </c>
      <c r="M1299">
        <v>17133</v>
      </c>
      <c r="N1299">
        <v>1</v>
      </c>
      <c r="O1299" t="str">
        <f>("3")</f>
        <v>3</v>
      </c>
      <c r="P1299" t="str">
        <f>("Kerremans Koenraad")</f>
        <v>Kerremans Koenraad</v>
      </c>
      <c r="Q1299">
        <v>1779</v>
      </c>
      <c r="S1299">
        <v>4</v>
      </c>
    </row>
    <row r="1300" spans="1:19" x14ac:dyDescent="0.3">
      <c r="A1300" t="s">
        <v>0</v>
      </c>
      <c r="B1300" s="1">
        <v>45578</v>
      </c>
      <c r="C1300" t="str">
        <f t="shared" si="280"/>
        <v>12025</v>
      </c>
      <c r="D1300" t="s">
        <v>12</v>
      </c>
      <c r="E1300" t="str">
        <f t="shared" si="281"/>
        <v>7</v>
      </c>
      <c r="F1300">
        <v>268172</v>
      </c>
      <c r="G1300">
        <v>169028</v>
      </c>
      <c r="H1300">
        <v>5368</v>
      </c>
      <c r="I1300" t="str">
        <f t="shared" si="284"/>
        <v>7</v>
      </c>
      <c r="J1300" t="str">
        <f t="shared" si="285"/>
        <v>GROEN</v>
      </c>
      <c r="K1300">
        <v>9401</v>
      </c>
      <c r="L1300">
        <v>7732</v>
      </c>
      <c r="M1300">
        <v>17133</v>
      </c>
      <c r="N1300">
        <v>1</v>
      </c>
      <c r="O1300" t="str">
        <f>("4")</f>
        <v>4</v>
      </c>
      <c r="P1300" t="str">
        <f>("Pepermans Joan")</f>
        <v>Pepermans Joan</v>
      </c>
      <c r="Q1300">
        <v>1566</v>
      </c>
      <c r="S1300">
        <v>5</v>
      </c>
    </row>
    <row r="1301" spans="1:19" x14ac:dyDescent="0.3">
      <c r="A1301" t="s">
        <v>0</v>
      </c>
      <c r="B1301" s="1">
        <v>45578</v>
      </c>
      <c r="C1301" t="str">
        <f t="shared" si="280"/>
        <v>12025</v>
      </c>
      <c r="D1301" t="s">
        <v>12</v>
      </c>
      <c r="E1301" t="str">
        <f t="shared" si="281"/>
        <v>7</v>
      </c>
      <c r="F1301">
        <v>268172</v>
      </c>
      <c r="G1301">
        <v>169028</v>
      </c>
      <c r="H1301">
        <v>5368</v>
      </c>
      <c r="I1301" t="str">
        <f t="shared" si="284"/>
        <v>7</v>
      </c>
      <c r="J1301" t="str">
        <f t="shared" si="285"/>
        <v>GROEN</v>
      </c>
      <c r="K1301">
        <v>9401</v>
      </c>
      <c r="L1301">
        <v>7732</v>
      </c>
      <c r="M1301">
        <v>17133</v>
      </c>
      <c r="N1301">
        <v>1</v>
      </c>
      <c r="O1301" t="str">
        <f>("5")</f>
        <v>5</v>
      </c>
      <c r="P1301" t="str">
        <f>("Sillis Hellen")</f>
        <v>Sillis Hellen</v>
      </c>
      <c r="Q1301">
        <v>1865</v>
      </c>
      <c r="S1301">
        <v>3</v>
      </c>
    </row>
    <row r="1302" spans="1:19" x14ac:dyDescent="0.3">
      <c r="A1302" t="s">
        <v>0</v>
      </c>
      <c r="B1302" s="1">
        <v>45578</v>
      </c>
      <c r="C1302" t="str">
        <f t="shared" si="280"/>
        <v>12025</v>
      </c>
      <c r="D1302" t="s">
        <v>12</v>
      </c>
      <c r="E1302" t="str">
        <f t="shared" si="281"/>
        <v>7</v>
      </c>
      <c r="F1302">
        <v>268172</v>
      </c>
      <c r="G1302">
        <v>169028</v>
      </c>
      <c r="H1302">
        <v>5368</v>
      </c>
      <c r="I1302" t="str">
        <f t="shared" si="284"/>
        <v>7</v>
      </c>
      <c r="J1302" t="str">
        <f t="shared" si="285"/>
        <v>GROEN</v>
      </c>
      <c r="K1302">
        <v>9401</v>
      </c>
      <c r="L1302">
        <v>7732</v>
      </c>
      <c r="M1302">
        <v>17133</v>
      </c>
      <c r="N1302">
        <v>1</v>
      </c>
      <c r="O1302" t="str">
        <f>("6")</f>
        <v>6</v>
      </c>
      <c r="P1302" t="str">
        <f>("Smets Henk")</f>
        <v>Smets Henk</v>
      </c>
      <c r="Q1302">
        <v>1185</v>
      </c>
      <c r="S1302">
        <v>6</v>
      </c>
    </row>
    <row r="1303" spans="1:19" x14ac:dyDescent="0.3">
      <c r="A1303" t="s">
        <v>0</v>
      </c>
      <c r="B1303" s="1">
        <v>45578</v>
      </c>
      <c r="C1303" t="str">
        <f t="shared" si="280"/>
        <v>12025</v>
      </c>
      <c r="D1303" t="s">
        <v>12</v>
      </c>
      <c r="E1303" t="str">
        <f t="shared" si="281"/>
        <v>7</v>
      </c>
      <c r="F1303">
        <v>268172</v>
      </c>
      <c r="G1303">
        <v>169028</v>
      </c>
      <c r="H1303">
        <v>5368</v>
      </c>
      <c r="I1303" t="str">
        <f t="shared" si="284"/>
        <v>7</v>
      </c>
      <c r="J1303" t="str">
        <f t="shared" si="285"/>
        <v>GROEN</v>
      </c>
      <c r="K1303">
        <v>9401</v>
      </c>
      <c r="L1303">
        <v>7732</v>
      </c>
      <c r="M1303">
        <v>17133</v>
      </c>
      <c r="N1303">
        <v>1</v>
      </c>
      <c r="O1303" t="str">
        <f>("7")</f>
        <v>7</v>
      </c>
      <c r="P1303" t="str">
        <f>("Almaci Meyrem")</f>
        <v>Almaci Meyrem</v>
      </c>
      <c r="Q1303">
        <v>3786</v>
      </c>
      <c r="R1303">
        <v>1</v>
      </c>
    </row>
    <row r="1304" spans="1:19" x14ac:dyDescent="0.3">
      <c r="A1304" t="s">
        <v>0</v>
      </c>
      <c r="B1304" s="1">
        <v>45578</v>
      </c>
      <c r="C1304" t="str">
        <f t="shared" si="280"/>
        <v>12025</v>
      </c>
      <c r="D1304" t="s">
        <v>12</v>
      </c>
      <c r="E1304" t="str">
        <f t="shared" si="281"/>
        <v>7</v>
      </c>
      <c r="F1304">
        <v>268172</v>
      </c>
      <c r="G1304">
        <v>169028</v>
      </c>
      <c r="H1304">
        <v>5368</v>
      </c>
      <c r="I1304" t="str">
        <f t="shared" ref="I1304:I1310" si="286">("8")</f>
        <v>8</v>
      </c>
      <c r="J1304" t="str">
        <f t="shared" ref="J1304:J1310" si="287">("Volt België")</f>
        <v>Volt België</v>
      </c>
      <c r="K1304">
        <v>569</v>
      </c>
      <c r="L1304">
        <v>458</v>
      </c>
      <c r="M1304">
        <v>1027</v>
      </c>
      <c r="N1304">
        <v>0</v>
      </c>
      <c r="O1304" t="str">
        <f>("1")</f>
        <v>1</v>
      </c>
      <c r="P1304" t="str">
        <f>("Meuldermans Frederik")</f>
        <v>Meuldermans Frederik</v>
      </c>
      <c r="Q1304">
        <v>188</v>
      </c>
    </row>
    <row r="1305" spans="1:19" x14ac:dyDescent="0.3">
      <c r="A1305" t="s">
        <v>0</v>
      </c>
      <c r="B1305" s="1">
        <v>45578</v>
      </c>
      <c r="C1305" t="str">
        <f t="shared" si="280"/>
        <v>12025</v>
      </c>
      <c r="D1305" t="s">
        <v>12</v>
      </c>
      <c r="E1305" t="str">
        <f t="shared" si="281"/>
        <v>7</v>
      </c>
      <c r="F1305">
        <v>268172</v>
      </c>
      <c r="G1305">
        <v>169028</v>
      </c>
      <c r="H1305">
        <v>5368</v>
      </c>
      <c r="I1305" t="str">
        <f t="shared" si="286"/>
        <v>8</v>
      </c>
      <c r="J1305" t="str">
        <f t="shared" si="287"/>
        <v>Volt België</v>
      </c>
      <c r="K1305">
        <v>569</v>
      </c>
      <c r="L1305">
        <v>458</v>
      </c>
      <c r="M1305">
        <v>1027</v>
      </c>
      <c r="N1305">
        <v>0</v>
      </c>
      <c r="O1305" t="str">
        <f>("2")</f>
        <v>2</v>
      </c>
      <c r="P1305" t="str">
        <f>("Vande Velde Maja")</f>
        <v>Vande Velde Maja</v>
      </c>
      <c r="Q1305">
        <v>169</v>
      </c>
    </row>
    <row r="1306" spans="1:19" x14ac:dyDescent="0.3">
      <c r="A1306" t="s">
        <v>0</v>
      </c>
      <c r="B1306" s="1">
        <v>45578</v>
      </c>
      <c r="C1306" t="str">
        <f t="shared" si="280"/>
        <v>12025</v>
      </c>
      <c r="D1306" t="s">
        <v>12</v>
      </c>
      <c r="E1306" t="str">
        <f t="shared" si="281"/>
        <v>7</v>
      </c>
      <c r="F1306">
        <v>268172</v>
      </c>
      <c r="G1306">
        <v>169028</v>
      </c>
      <c r="H1306">
        <v>5368</v>
      </c>
      <c r="I1306" t="str">
        <f t="shared" si="286"/>
        <v>8</v>
      </c>
      <c r="J1306" t="str">
        <f t="shared" si="287"/>
        <v>Volt België</v>
      </c>
      <c r="K1306">
        <v>569</v>
      </c>
      <c r="L1306">
        <v>458</v>
      </c>
      <c r="M1306">
        <v>1027</v>
      </c>
      <c r="N1306">
        <v>0</v>
      </c>
      <c r="O1306" t="str">
        <f>("3")</f>
        <v>3</v>
      </c>
      <c r="P1306" t="str">
        <f>("Stiens Freddy")</f>
        <v>Stiens Freddy</v>
      </c>
      <c r="Q1306">
        <v>72</v>
      </c>
    </row>
    <row r="1307" spans="1:19" x14ac:dyDescent="0.3">
      <c r="A1307" t="s">
        <v>0</v>
      </c>
      <c r="B1307" s="1">
        <v>45578</v>
      </c>
      <c r="C1307" t="str">
        <f t="shared" si="280"/>
        <v>12025</v>
      </c>
      <c r="D1307" t="s">
        <v>12</v>
      </c>
      <c r="E1307" t="str">
        <f t="shared" si="281"/>
        <v>7</v>
      </c>
      <c r="F1307">
        <v>268172</v>
      </c>
      <c r="G1307">
        <v>169028</v>
      </c>
      <c r="H1307">
        <v>5368</v>
      </c>
      <c r="I1307" t="str">
        <f t="shared" si="286"/>
        <v>8</v>
      </c>
      <c r="J1307" t="str">
        <f t="shared" si="287"/>
        <v>Volt België</v>
      </c>
      <c r="K1307">
        <v>569</v>
      </c>
      <c r="L1307">
        <v>458</v>
      </c>
      <c r="M1307">
        <v>1027</v>
      </c>
      <c r="N1307">
        <v>0</v>
      </c>
      <c r="O1307" t="str">
        <f>("4")</f>
        <v>4</v>
      </c>
      <c r="P1307" t="str">
        <f>("Laurent Kelly")</f>
        <v>Laurent Kelly</v>
      </c>
      <c r="Q1307">
        <v>110</v>
      </c>
    </row>
    <row r="1308" spans="1:19" x14ac:dyDescent="0.3">
      <c r="A1308" t="s">
        <v>0</v>
      </c>
      <c r="B1308" s="1">
        <v>45578</v>
      </c>
      <c r="C1308" t="str">
        <f t="shared" si="280"/>
        <v>12025</v>
      </c>
      <c r="D1308" t="s">
        <v>12</v>
      </c>
      <c r="E1308" t="str">
        <f t="shared" si="281"/>
        <v>7</v>
      </c>
      <c r="F1308">
        <v>268172</v>
      </c>
      <c r="G1308">
        <v>169028</v>
      </c>
      <c r="H1308">
        <v>5368</v>
      </c>
      <c r="I1308" t="str">
        <f t="shared" si="286"/>
        <v>8</v>
      </c>
      <c r="J1308" t="str">
        <f t="shared" si="287"/>
        <v>Volt België</v>
      </c>
      <c r="K1308">
        <v>569</v>
      </c>
      <c r="L1308">
        <v>458</v>
      </c>
      <c r="M1308">
        <v>1027</v>
      </c>
      <c r="N1308">
        <v>0</v>
      </c>
      <c r="O1308" t="str">
        <f>("5")</f>
        <v>5</v>
      </c>
      <c r="P1308" t="str">
        <f>("Vandeninden Bram")</f>
        <v>Vandeninden Bram</v>
      </c>
      <c r="Q1308">
        <v>78</v>
      </c>
    </row>
    <row r="1309" spans="1:19" x14ac:dyDescent="0.3">
      <c r="A1309" t="s">
        <v>0</v>
      </c>
      <c r="B1309" s="1">
        <v>45578</v>
      </c>
      <c r="C1309" t="str">
        <f t="shared" si="280"/>
        <v>12025</v>
      </c>
      <c r="D1309" t="s">
        <v>12</v>
      </c>
      <c r="E1309" t="str">
        <f t="shared" si="281"/>
        <v>7</v>
      </c>
      <c r="F1309">
        <v>268172</v>
      </c>
      <c r="G1309">
        <v>169028</v>
      </c>
      <c r="H1309">
        <v>5368</v>
      </c>
      <c r="I1309" t="str">
        <f t="shared" si="286"/>
        <v>8</v>
      </c>
      <c r="J1309" t="str">
        <f t="shared" si="287"/>
        <v>Volt België</v>
      </c>
      <c r="K1309">
        <v>569</v>
      </c>
      <c r="L1309">
        <v>458</v>
      </c>
      <c r="M1309">
        <v>1027</v>
      </c>
      <c r="N1309">
        <v>0</v>
      </c>
      <c r="O1309" t="str">
        <f>("6")</f>
        <v>6</v>
      </c>
      <c r="P1309" t="str">
        <f>("Vandeputte Sueann")</f>
        <v>Vandeputte Sueann</v>
      </c>
      <c r="Q1309">
        <v>86</v>
      </c>
    </row>
    <row r="1310" spans="1:19" x14ac:dyDescent="0.3">
      <c r="A1310" t="s">
        <v>0</v>
      </c>
      <c r="B1310" s="1">
        <v>45578</v>
      </c>
      <c r="C1310" t="str">
        <f t="shared" si="280"/>
        <v>12025</v>
      </c>
      <c r="D1310" t="s">
        <v>12</v>
      </c>
      <c r="E1310" t="str">
        <f t="shared" si="281"/>
        <v>7</v>
      </c>
      <c r="F1310">
        <v>268172</v>
      </c>
      <c r="G1310">
        <v>169028</v>
      </c>
      <c r="H1310">
        <v>5368</v>
      </c>
      <c r="I1310" t="str">
        <f t="shared" si="286"/>
        <v>8</v>
      </c>
      <c r="J1310" t="str">
        <f t="shared" si="287"/>
        <v>Volt België</v>
      </c>
      <c r="K1310">
        <v>569</v>
      </c>
      <c r="L1310">
        <v>458</v>
      </c>
      <c r="M1310">
        <v>1027</v>
      </c>
      <c r="N1310">
        <v>0</v>
      </c>
      <c r="O1310" t="str">
        <f>("7")</f>
        <v>7</v>
      </c>
      <c r="P1310" t="str">
        <f>("Vervaeck Sam")</f>
        <v>Vervaeck Sam</v>
      </c>
      <c r="Q1310">
        <v>97</v>
      </c>
    </row>
    <row r="1311" spans="1:19" x14ac:dyDescent="0.3">
      <c r="A1311" t="s">
        <v>0</v>
      </c>
      <c r="B1311" s="1">
        <v>45578</v>
      </c>
      <c r="C1311" t="str">
        <f t="shared" si="280"/>
        <v>12025</v>
      </c>
      <c r="D1311" t="s">
        <v>12</v>
      </c>
      <c r="E1311" t="str">
        <f t="shared" si="281"/>
        <v>7</v>
      </c>
      <c r="F1311">
        <v>268172</v>
      </c>
      <c r="G1311">
        <v>169028</v>
      </c>
      <c r="H1311">
        <v>5368</v>
      </c>
      <c r="I1311" t="str">
        <f t="shared" ref="I1311:I1317" si="288">("9")</f>
        <v>9</v>
      </c>
      <c r="J1311" t="str">
        <f t="shared" ref="J1311:J1317" si="289">("eta+")</f>
        <v>eta+</v>
      </c>
      <c r="K1311">
        <v>422</v>
      </c>
      <c r="L1311">
        <v>997</v>
      </c>
      <c r="M1311">
        <v>1419</v>
      </c>
      <c r="N1311">
        <v>0</v>
      </c>
      <c r="O1311" t="str">
        <f>("1")</f>
        <v>1</v>
      </c>
      <c r="P1311" t="str">
        <f>("Arblaster Emma")</f>
        <v>Arblaster Emma</v>
      </c>
      <c r="Q1311">
        <v>259</v>
      </c>
    </row>
    <row r="1312" spans="1:19" x14ac:dyDescent="0.3">
      <c r="A1312" t="s">
        <v>0</v>
      </c>
      <c r="B1312" s="1">
        <v>45578</v>
      </c>
      <c r="C1312" t="str">
        <f t="shared" si="280"/>
        <v>12025</v>
      </c>
      <c r="D1312" t="s">
        <v>12</v>
      </c>
      <c r="E1312" t="str">
        <f t="shared" si="281"/>
        <v>7</v>
      </c>
      <c r="F1312">
        <v>268172</v>
      </c>
      <c r="G1312">
        <v>169028</v>
      </c>
      <c r="H1312">
        <v>5368</v>
      </c>
      <c r="I1312" t="str">
        <f t="shared" si="288"/>
        <v>9</v>
      </c>
      <c r="J1312" t="str">
        <f t="shared" si="289"/>
        <v>eta+</v>
      </c>
      <c r="K1312">
        <v>422</v>
      </c>
      <c r="L1312">
        <v>997</v>
      </c>
      <c r="M1312">
        <v>1419</v>
      </c>
      <c r="N1312">
        <v>0</v>
      </c>
      <c r="O1312" t="str">
        <f>("2")</f>
        <v>2</v>
      </c>
      <c r="P1312" t="str">
        <f>("Baestaens Jan")</f>
        <v>Baestaens Jan</v>
      </c>
      <c r="Q1312">
        <v>730</v>
      </c>
    </row>
    <row r="1313" spans="1:19" x14ac:dyDescent="0.3">
      <c r="A1313" t="s">
        <v>0</v>
      </c>
      <c r="B1313" s="1">
        <v>45578</v>
      </c>
      <c r="C1313" t="str">
        <f t="shared" si="280"/>
        <v>12025</v>
      </c>
      <c r="D1313" t="s">
        <v>12</v>
      </c>
      <c r="E1313" t="str">
        <f t="shared" si="281"/>
        <v>7</v>
      </c>
      <c r="F1313">
        <v>268172</v>
      </c>
      <c r="G1313">
        <v>169028</v>
      </c>
      <c r="H1313">
        <v>5368</v>
      </c>
      <c r="I1313" t="str">
        <f t="shared" si="288"/>
        <v>9</v>
      </c>
      <c r="J1313" t="str">
        <f t="shared" si="289"/>
        <v>eta+</v>
      </c>
      <c r="K1313">
        <v>422</v>
      </c>
      <c r="L1313">
        <v>997</v>
      </c>
      <c r="M1313">
        <v>1419</v>
      </c>
      <c r="N1313">
        <v>0</v>
      </c>
      <c r="O1313" t="str">
        <f>("3")</f>
        <v>3</v>
      </c>
      <c r="P1313" t="str">
        <f>("Vervoort Ann")</f>
        <v>Vervoort Ann</v>
      </c>
      <c r="Q1313">
        <v>153</v>
      </c>
    </row>
    <row r="1314" spans="1:19" x14ac:dyDescent="0.3">
      <c r="A1314" t="s">
        <v>0</v>
      </c>
      <c r="B1314" s="1">
        <v>45578</v>
      </c>
      <c r="C1314" t="str">
        <f t="shared" si="280"/>
        <v>12025</v>
      </c>
      <c r="D1314" t="s">
        <v>12</v>
      </c>
      <c r="E1314" t="str">
        <f t="shared" si="281"/>
        <v>7</v>
      </c>
      <c r="F1314">
        <v>268172</v>
      </c>
      <c r="G1314">
        <v>169028</v>
      </c>
      <c r="H1314">
        <v>5368</v>
      </c>
      <c r="I1314" t="str">
        <f t="shared" si="288"/>
        <v>9</v>
      </c>
      <c r="J1314" t="str">
        <f t="shared" si="289"/>
        <v>eta+</v>
      </c>
      <c r="K1314">
        <v>422</v>
      </c>
      <c r="L1314">
        <v>997</v>
      </c>
      <c r="M1314">
        <v>1419</v>
      </c>
      <c r="N1314">
        <v>0</v>
      </c>
      <c r="O1314" t="str">
        <f>("4")</f>
        <v>4</v>
      </c>
      <c r="P1314" t="str">
        <f>("Van den Vonder Annemie")</f>
        <v>Van den Vonder Annemie</v>
      </c>
      <c r="Q1314">
        <v>102</v>
      </c>
    </row>
    <row r="1315" spans="1:19" x14ac:dyDescent="0.3">
      <c r="A1315" t="s">
        <v>0</v>
      </c>
      <c r="B1315" s="1">
        <v>45578</v>
      </c>
      <c r="C1315" t="str">
        <f t="shared" si="280"/>
        <v>12025</v>
      </c>
      <c r="D1315" t="s">
        <v>12</v>
      </c>
      <c r="E1315" t="str">
        <f t="shared" si="281"/>
        <v>7</v>
      </c>
      <c r="F1315">
        <v>268172</v>
      </c>
      <c r="G1315">
        <v>169028</v>
      </c>
      <c r="H1315">
        <v>5368</v>
      </c>
      <c r="I1315" t="str">
        <f t="shared" si="288"/>
        <v>9</v>
      </c>
      <c r="J1315" t="str">
        <f t="shared" si="289"/>
        <v>eta+</v>
      </c>
      <c r="K1315">
        <v>422</v>
      </c>
      <c r="L1315">
        <v>997</v>
      </c>
      <c r="M1315">
        <v>1419</v>
      </c>
      <c r="N1315">
        <v>0</v>
      </c>
      <c r="O1315" t="str">
        <f>("5")</f>
        <v>5</v>
      </c>
      <c r="P1315" t="str">
        <f>("Hofmans Bruno")</f>
        <v>Hofmans Bruno</v>
      </c>
      <c r="Q1315">
        <v>75</v>
      </c>
    </row>
    <row r="1316" spans="1:19" x14ac:dyDescent="0.3">
      <c r="A1316" t="s">
        <v>0</v>
      </c>
      <c r="B1316" s="1">
        <v>45578</v>
      </c>
      <c r="C1316" t="str">
        <f t="shared" si="280"/>
        <v>12025</v>
      </c>
      <c r="D1316" t="s">
        <v>12</v>
      </c>
      <c r="E1316" t="str">
        <f t="shared" si="281"/>
        <v>7</v>
      </c>
      <c r="F1316">
        <v>268172</v>
      </c>
      <c r="G1316">
        <v>169028</v>
      </c>
      <c r="H1316">
        <v>5368</v>
      </c>
      <c r="I1316" t="str">
        <f t="shared" si="288"/>
        <v>9</v>
      </c>
      <c r="J1316" t="str">
        <f t="shared" si="289"/>
        <v>eta+</v>
      </c>
      <c r="K1316">
        <v>422</v>
      </c>
      <c r="L1316">
        <v>997</v>
      </c>
      <c r="M1316">
        <v>1419</v>
      </c>
      <c r="N1316">
        <v>0</v>
      </c>
      <c r="O1316" t="str">
        <f>("6")</f>
        <v>6</v>
      </c>
      <c r="P1316" t="str">
        <f>("Lefebre Carina")</f>
        <v>Lefebre Carina</v>
      </c>
      <c r="Q1316">
        <v>116</v>
      </c>
    </row>
    <row r="1317" spans="1:19" x14ac:dyDescent="0.3">
      <c r="A1317" t="s">
        <v>0</v>
      </c>
      <c r="B1317" s="1">
        <v>45578</v>
      </c>
      <c r="C1317" t="str">
        <f t="shared" si="280"/>
        <v>12025</v>
      </c>
      <c r="D1317" t="s">
        <v>12</v>
      </c>
      <c r="E1317" t="str">
        <f t="shared" si="281"/>
        <v>7</v>
      </c>
      <c r="F1317">
        <v>268172</v>
      </c>
      <c r="G1317">
        <v>169028</v>
      </c>
      <c r="H1317">
        <v>5368</v>
      </c>
      <c r="I1317" t="str">
        <f t="shared" si="288"/>
        <v>9</v>
      </c>
      <c r="J1317" t="str">
        <f t="shared" si="289"/>
        <v>eta+</v>
      </c>
      <c r="K1317">
        <v>422</v>
      </c>
      <c r="L1317">
        <v>997</v>
      </c>
      <c r="M1317">
        <v>1419</v>
      </c>
      <c r="N1317">
        <v>0</v>
      </c>
      <c r="O1317" t="str">
        <f>("7")</f>
        <v>7</v>
      </c>
      <c r="P1317" t="str">
        <f>("De Weerdt Bjorn")</f>
        <v>De Weerdt Bjorn</v>
      </c>
      <c r="Q1317">
        <v>144</v>
      </c>
    </row>
    <row r="1318" spans="1:19" x14ac:dyDescent="0.3">
      <c r="A1318" t="s">
        <v>0</v>
      </c>
      <c r="B1318" s="1">
        <v>45578</v>
      </c>
      <c r="C1318" t="str">
        <f t="shared" ref="C1318:C1349" si="290">("73083")</f>
        <v>73083</v>
      </c>
      <c r="D1318" t="s">
        <v>13</v>
      </c>
      <c r="E1318" t="str">
        <f t="shared" si="281"/>
        <v>7</v>
      </c>
      <c r="F1318">
        <v>140772</v>
      </c>
      <c r="G1318">
        <v>91118</v>
      </c>
      <c r="H1318">
        <v>4498</v>
      </c>
      <c r="I1318" t="str">
        <f t="shared" ref="I1318:I1324" si="291">("1")</f>
        <v>1</v>
      </c>
      <c r="J1318" t="str">
        <f t="shared" ref="J1318:J1324" si="292">("Vooruit")</f>
        <v>Vooruit</v>
      </c>
      <c r="K1318">
        <v>4046</v>
      </c>
      <c r="L1318">
        <v>6361</v>
      </c>
      <c r="M1318">
        <v>10407</v>
      </c>
      <c r="N1318">
        <v>1</v>
      </c>
      <c r="O1318" t="str">
        <f>("1")</f>
        <v>1</v>
      </c>
      <c r="P1318" t="str">
        <f>("Deneuker Danny")</f>
        <v>Deneuker Danny</v>
      </c>
      <c r="Q1318">
        <v>3935</v>
      </c>
      <c r="R1318">
        <v>1</v>
      </c>
    </row>
    <row r="1319" spans="1:19" x14ac:dyDescent="0.3">
      <c r="A1319" t="s">
        <v>0</v>
      </c>
      <c r="B1319" s="1">
        <v>45578</v>
      </c>
      <c r="C1319" t="str">
        <f t="shared" si="290"/>
        <v>73083</v>
      </c>
      <c r="D1319" t="s">
        <v>13</v>
      </c>
      <c r="E1319" t="str">
        <f t="shared" ref="E1319:E1350" si="293">("7")</f>
        <v>7</v>
      </c>
      <c r="F1319">
        <v>140772</v>
      </c>
      <c r="G1319">
        <v>91118</v>
      </c>
      <c r="H1319">
        <v>4498</v>
      </c>
      <c r="I1319" t="str">
        <f t="shared" si="291"/>
        <v>1</v>
      </c>
      <c r="J1319" t="str">
        <f t="shared" si="292"/>
        <v>Vooruit</v>
      </c>
      <c r="K1319">
        <v>4046</v>
      </c>
      <c r="L1319">
        <v>6361</v>
      </c>
      <c r="M1319">
        <v>10407</v>
      </c>
      <c r="N1319">
        <v>1</v>
      </c>
      <c r="O1319" t="str">
        <f>("2")</f>
        <v>2</v>
      </c>
      <c r="P1319" t="str">
        <f>("Martens Elvire")</f>
        <v>Martens Elvire</v>
      </c>
      <c r="Q1319">
        <v>1539</v>
      </c>
      <c r="S1319">
        <v>3</v>
      </c>
    </row>
    <row r="1320" spans="1:19" x14ac:dyDescent="0.3">
      <c r="A1320" t="s">
        <v>0</v>
      </c>
      <c r="B1320" s="1">
        <v>45578</v>
      </c>
      <c r="C1320" t="str">
        <f t="shared" si="290"/>
        <v>73083</v>
      </c>
      <c r="D1320" t="s">
        <v>13</v>
      </c>
      <c r="E1320" t="str">
        <f t="shared" si="293"/>
        <v>7</v>
      </c>
      <c r="F1320">
        <v>140772</v>
      </c>
      <c r="G1320">
        <v>91118</v>
      </c>
      <c r="H1320">
        <v>4498</v>
      </c>
      <c r="I1320" t="str">
        <f t="shared" si="291"/>
        <v>1</v>
      </c>
      <c r="J1320" t="str">
        <f t="shared" si="292"/>
        <v>Vooruit</v>
      </c>
      <c r="K1320">
        <v>4046</v>
      </c>
      <c r="L1320">
        <v>6361</v>
      </c>
      <c r="M1320">
        <v>10407</v>
      </c>
      <c r="N1320">
        <v>1</v>
      </c>
      <c r="O1320" t="str">
        <f>("3")</f>
        <v>3</v>
      </c>
      <c r="P1320" t="str">
        <f>("Van Roosendael Laura")</f>
        <v>Van Roosendael Laura</v>
      </c>
      <c r="Q1320">
        <v>1819</v>
      </c>
      <c r="S1320">
        <v>2</v>
      </c>
    </row>
    <row r="1321" spans="1:19" x14ac:dyDescent="0.3">
      <c r="A1321" t="s">
        <v>0</v>
      </c>
      <c r="B1321" s="1">
        <v>45578</v>
      </c>
      <c r="C1321" t="str">
        <f t="shared" si="290"/>
        <v>73083</v>
      </c>
      <c r="D1321" t="s">
        <v>13</v>
      </c>
      <c r="E1321" t="str">
        <f t="shared" si="293"/>
        <v>7</v>
      </c>
      <c r="F1321">
        <v>140772</v>
      </c>
      <c r="G1321">
        <v>91118</v>
      </c>
      <c r="H1321">
        <v>4498</v>
      </c>
      <c r="I1321" t="str">
        <f t="shared" si="291"/>
        <v>1</v>
      </c>
      <c r="J1321" t="str">
        <f t="shared" si="292"/>
        <v>Vooruit</v>
      </c>
      <c r="K1321">
        <v>4046</v>
      </c>
      <c r="L1321">
        <v>6361</v>
      </c>
      <c r="M1321">
        <v>10407</v>
      </c>
      <c r="N1321">
        <v>1</v>
      </c>
      <c r="O1321" t="str">
        <f>("4")</f>
        <v>4</v>
      </c>
      <c r="P1321" t="str">
        <f>("Jans Gregory")</f>
        <v>Jans Gregory</v>
      </c>
      <c r="Q1321">
        <v>1072</v>
      </c>
      <c r="S1321">
        <v>6</v>
      </c>
    </row>
    <row r="1322" spans="1:19" x14ac:dyDescent="0.3">
      <c r="A1322" t="s">
        <v>0</v>
      </c>
      <c r="B1322" s="1">
        <v>45578</v>
      </c>
      <c r="C1322" t="str">
        <f t="shared" si="290"/>
        <v>73083</v>
      </c>
      <c r="D1322" t="s">
        <v>13</v>
      </c>
      <c r="E1322" t="str">
        <f t="shared" si="293"/>
        <v>7</v>
      </c>
      <c r="F1322">
        <v>140772</v>
      </c>
      <c r="G1322">
        <v>91118</v>
      </c>
      <c r="H1322">
        <v>4498</v>
      </c>
      <c r="I1322" t="str">
        <f t="shared" si="291"/>
        <v>1</v>
      </c>
      <c r="J1322" t="str">
        <f t="shared" si="292"/>
        <v>Vooruit</v>
      </c>
      <c r="K1322">
        <v>4046</v>
      </c>
      <c r="L1322">
        <v>6361</v>
      </c>
      <c r="M1322">
        <v>10407</v>
      </c>
      <c r="N1322">
        <v>1</v>
      </c>
      <c r="O1322" t="str">
        <f>("5")</f>
        <v>5</v>
      </c>
      <c r="P1322" t="str">
        <f>("Bemelmans Lorenza")</f>
        <v>Bemelmans Lorenza</v>
      </c>
      <c r="Q1322">
        <v>1272</v>
      </c>
      <c r="S1322">
        <v>4</v>
      </c>
    </row>
    <row r="1323" spans="1:19" x14ac:dyDescent="0.3">
      <c r="A1323" t="s">
        <v>0</v>
      </c>
      <c r="B1323" s="1">
        <v>45578</v>
      </c>
      <c r="C1323" t="str">
        <f t="shared" si="290"/>
        <v>73083</v>
      </c>
      <c r="D1323" t="s">
        <v>13</v>
      </c>
      <c r="E1323" t="str">
        <f t="shared" si="293"/>
        <v>7</v>
      </c>
      <c r="F1323">
        <v>140772</v>
      </c>
      <c r="G1323">
        <v>91118</v>
      </c>
      <c r="H1323">
        <v>4498</v>
      </c>
      <c r="I1323" t="str">
        <f t="shared" si="291"/>
        <v>1</v>
      </c>
      <c r="J1323" t="str">
        <f t="shared" si="292"/>
        <v>Vooruit</v>
      </c>
      <c r="K1323">
        <v>4046</v>
      </c>
      <c r="L1323">
        <v>6361</v>
      </c>
      <c r="M1323">
        <v>10407</v>
      </c>
      <c r="N1323">
        <v>1</v>
      </c>
      <c r="O1323" t="str">
        <f>("6")</f>
        <v>6</v>
      </c>
      <c r="P1323" t="str">
        <f>("Muroni Antonio")</f>
        <v>Muroni Antonio</v>
      </c>
      <c r="Q1323">
        <v>1075</v>
      </c>
      <c r="S1323">
        <v>5</v>
      </c>
    </row>
    <row r="1324" spans="1:19" x14ac:dyDescent="0.3">
      <c r="A1324" t="s">
        <v>0</v>
      </c>
      <c r="B1324" s="1">
        <v>45578</v>
      </c>
      <c r="C1324" t="str">
        <f t="shared" si="290"/>
        <v>73083</v>
      </c>
      <c r="D1324" t="s">
        <v>13</v>
      </c>
      <c r="E1324" t="str">
        <f t="shared" si="293"/>
        <v>7</v>
      </c>
      <c r="F1324">
        <v>140772</v>
      </c>
      <c r="G1324">
        <v>91118</v>
      </c>
      <c r="H1324">
        <v>4498</v>
      </c>
      <c r="I1324" t="str">
        <f t="shared" si="291"/>
        <v>1</v>
      </c>
      <c r="J1324" t="str">
        <f t="shared" si="292"/>
        <v>Vooruit</v>
      </c>
      <c r="K1324">
        <v>4046</v>
      </c>
      <c r="L1324">
        <v>6361</v>
      </c>
      <c r="M1324">
        <v>10407</v>
      </c>
      <c r="N1324">
        <v>1</v>
      </c>
      <c r="O1324" t="str">
        <f>("7")</f>
        <v>7</v>
      </c>
      <c r="P1324" t="str">
        <f>("Vandenhove Ludwig")</f>
        <v>Vandenhove Ludwig</v>
      </c>
      <c r="Q1324">
        <v>2210</v>
      </c>
      <c r="S1324">
        <v>1</v>
      </c>
    </row>
    <row r="1325" spans="1:19" x14ac:dyDescent="0.3">
      <c r="A1325" t="s">
        <v>0</v>
      </c>
      <c r="B1325" s="1">
        <v>45578</v>
      </c>
      <c r="C1325" t="str">
        <f t="shared" si="290"/>
        <v>73083</v>
      </c>
      <c r="D1325" t="s">
        <v>13</v>
      </c>
      <c r="E1325" t="str">
        <f t="shared" si="293"/>
        <v>7</v>
      </c>
      <c r="F1325">
        <v>140772</v>
      </c>
      <c r="G1325">
        <v>91118</v>
      </c>
      <c r="H1325">
        <v>4498</v>
      </c>
      <c r="I1325" t="str">
        <f t="shared" ref="I1325:I1331" si="294">("2")</f>
        <v>2</v>
      </c>
      <c r="J1325" t="str">
        <f t="shared" ref="J1325:J1331" si="295">("PVDA")</f>
        <v>PVDA</v>
      </c>
      <c r="K1325">
        <v>1346</v>
      </c>
      <c r="L1325">
        <v>1706</v>
      </c>
      <c r="M1325">
        <v>3052</v>
      </c>
      <c r="N1325">
        <v>0</v>
      </c>
      <c r="O1325" t="str">
        <f>("1")</f>
        <v>1</v>
      </c>
      <c r="P1325" t="str">
        <f>("Heijens Michelle")</f>
        <v>Heijens Michelle</v>
      </c>
      <c r="Q1325">
        <v>837</v>
      </c>
    </row>
    <row r="1326" spans="1:19" x14ac:dyDescent="0.3">
      <c r="A1326" t="s">
        <v>0</v>
      </c>
      <c r="B1326" s="1">
        <v>45578</v>
      </c>
      <c r="C1326" t="str">
        <f t="shared" si="290"/>
        <v>73083</v>
      </c>
      <c r="D1326" t="s">
        <v>13</v>
      </c>
      <c r="E1326" t="str">
        <f t="shared" si="293"/>
        <v>7</v>
      </c>
      <c r="F1326">
        <v>140772</v>
      </c>
      <c r="G1326">
        <v>91118</v>
      </c>
      <c r="H1326">
        <v>4498</v>
      </c>
      <c r="I1326" t="str">
        <f t="shared" si="294"/>
        <v>2</v>
      </c>
      <c r="J1326" t="str">
        <f t="shared" si="295"/>
        <v>PVDA</v>
      </c>
      <c r="K1326">
        <v>1346</v>
      </c>
      <c r="L1326">
        <v>1706</v>
      </c>
      <c r="M1326">
        <v>3052</v>
      </c>
      <c r="N1326">
        <v>0</v>
      </c>
      <c r="O1326" t="str">
        <f>("2")</f>
        <v>2</v>
      </c>
      <c r="P1326" t="str">
        <f>("Palabiyik Hasan")</f>
        <v>Palabiyik Hasan</v>
      </c>
      <c r="Q1326">
        <v>813</v>
      </c>
    </row>
    <row r="1327" spans="1:19" x14ac:dyDescent="0.3">
      <c r="A1327" t="s">
        <v>0</v>
      </c>
      <c r="B1327" s="1">
        <v>45578</v>
      </c>
      <c r="C1327" t="str">
        <f t="shared" si="290"/>
        <v>73083</v>
      </c>
      <c r="D1327" t="s">
        <v>13</v>
      </c>
      <c r="E1327" t="str">
        <f t="shared" si="293"/>
        <v>7</v>
      </c>
      <c r="F1327">
        <v>140772</v>
      </c>
      <c r="G1327">
        <v>91118</v>
      </c>
      <c r="H1327">
        <v>4498</v>
      </c>
      <c r="I1327" t="str">
        <f t="shared" si="294"/>
        <v>2</v>
      </c>
      <c r="J1327" t="str">
        <f t="shared" si="295"/>
        <v>PVDA</v>
      </c>
      <c r="K1327">
        <v>1346</v>
      </c>
      <c r="L1327">
        <v>1706</v>
      </c>
      <c r="M1327">
        <v>3052</v>
      </c>
      <c r="N1327">
        <v>0</v>
      </c>
      <c r="O1327" t="str">
        <f>("3")</f>
        <v>3</v>
      </c>
      <c r="P1327" t="str">
        <f>("Lino Evelina")</f>
        <v>Lino Evelina</v>
      </c>
      <c r="Q1327">
        <v>412</v>
      </c>
    </row>
    <row r="1328" spans="1:19" x14ac:dyDescent="0.3">
      <c r="A1328" t="s">
        <v>0</v>
      </c>
      <c r="B1328" s="1">
        <v>45578</v>
      </c>
      <c r="C1328" t="str">
        <f t="shared" si="290"/>
        <v>73083</v>
      </c>
      <c r="D1328" t="s">
        <v>13</v>
      </c>
      <c r="E1328" t="str">
        <f t="shared" si="293"/>
        <v>7</v>
      </c>
      <c r="F1328">
        <v>140772</v>
      </c>
      <c r="G1328">
        <v>91118</v>
      </c>
      <c r="H1328">
        <v>4498</v>
      </c>
      <c r="I1328" t="str">
        <f t="shared" si="294"/>
        <v>2</v>
      </c>
      <c r="J1328" t="str">
        <f t="shared" si="295"/>
        <v>PVDA</v>
      </c>
      <c r="K1328">
        <v>1346</v>
      </c>
      <c r="L1328">
        <v>1706</v>
      </c>
      <c r="M1328">
        <v>3052</v>
      </c>
      <c r="N1328">
        <v>0</v>
      </c>
      <c r="O1328" t="str">
        <f>("4")</f>
        <v>4</v>
      </c>
      <c r="P1328" t="str">
        <f>("Vandevelde Peter")</f>
        <v>Vandevelde Peter</v>
      </c>
      <c r="Q1328">
        <v>433</v>
      </c>
    </row>
    <row r="1329" spans="1:19" x14ac:dyDescent="0.3">
      <c r="A1329" t="s">
        <v>0</v>
      </c>
      <c r="B1329" s="1">
        <v>45578</v>
      </c>
      <c r="C1329" t="str">
        <f t="shared" si="290"/>
        <v>73083</v>
      </c>
      <c r="D1329" t="s">
        <v>13</v>
      </c>
      <c r="E1329" t="str">
        <f t="shared" si="293"/>
        <v>7</v>
      </c>
      <c r="F1329">
        <v>140772</v>
      </c>
      <c r="G1329">
        <v>91118</v>
      </c>
      <c r="H1329">
        <v>4498</v>
      </c>
      <c r="I1329" t="str">
        <f t="shared" si="294"/>
        <v>2</v>
      </c>
      <c r="J1329" t="str">
        <f t="shared" si="295"/>
        <v>PVDA</v>
      </c>
      <c r="K1329">
        <v>1346</v>
      </c>
      <c r="L1329">
        <v>1706</v>
      </c>
      <c r="M1329">
        <v>3052</v>
      </c>
      <c r="N1329">
        <v>0</v>
      </c>
      <c r="O1329" t="str">
        <f>("5")</f>
        <v>5</v>
      </c>
      <c r="P1329" t="str">
        <f>("Linten Jeske")</f>
        <v>Linten Jeske</v>
      </c>
      <c r="Q1329">
        <v>363</v>
      </c>
    </row>
    <row r="1330" spans="1:19" x14ac:dyDescent="0.3">
      <c r="A1330" t="s">
        <v>0</v>
      </c>
      <c r="B1330" s="1">
        <v>45578</v>
      </c>
      <c r="C1330" t="str">
        <f t="shared" si="290"/>
        <v>73083</v>
      </c>
      <c r="D1330" t="s">
        <v>13</v>
      </c>
      <c r="E1330" t="str">
        <f t="shared" si="293"/>
        <v>7</v>
      </c>
      <c r="F1330">
        <v>140772</v>
      </c>
      <c r="G1330">
        <v>91118</v>
      </c>
      <c r="H1330">
        <v>4498</v>
      </c>
      <c r="I1330" t="str">
        <f t="shared" si="294"/>
        <v>2</v>
      </c>
      <c r="J1330" t="str">
        <f t="shared" si="295"/>
        <v>PVDA</v>
      </c>
      <c r="K1330">
        <v>1346</v>
      </c>
      <c r="L1330">
        <v>1706</v>
      </c>
      <c r="M1330">
        <v>3052</v>
      </c>
      <c r="N1330">
        <v>0</v>
      </c>
      <c r="O1330" t="str">
        <f>("6")</f>
        <v>6</v>
      </c>
      <c r="P1330" t="str">
        <f>("Moro Arturo")</f>
        <v>Moro Arturo</v>
      </c>
      <c r="Q1330">
        <v>390</v>
      </c>
    </row>
    <row r="1331" spans="1:19" x14ac:dyDescent="0.3">
      <c r="A1331" t="s">
        <v>0</v>
      </c>
      <c r="B1331" s="1">
        <v>45578</v>
      </c>
      <c r="C1331" t="str">
        <f t="shared" si="290"/>
        <v>73083</v>
      </c>
      <c r="D1331" t="s">
        <v>13</v>
      </c>
      <c r="E1331" t="str">
        <f t="shared" si="293"/>
        <v>7</v>
      </c>
      <c r="F1331">
        <v>140772</v>
      </c>
      <c r="G1331">
        <v>91118</v>
      </c>
      <c r="H1331">
        <v>4498</v>
      </c>
      <c r="I1331" t="str">
        <f t="shared" si="294"/>
        <v>2</v>
      </c>
      <c r="J1331" t="str">
        <f t="shared" si="295"/>
        <v>PVDA</v>
      </c>
      <c r="K1331">
        <v>1346</v>
      </c>
      <c r="L1331">
        <v>1706</v>
      </c>
      <c r="M1331">
        <v>3052</v>
      </c>
      <c r="N1331">
        <v>0</v>
      </c>
      <c r="O1331" t="str">
        <f>("7")</f>
        <v>7</v>
      </c>
      <c r="P1331" t="str">
        <f>("Janssen Marij")</f>
        <v>Janssen Marij</v>
      </c>
      <c r="Q1331">
        <v>500</v>
      </c>
    </row>
    <row r="1332" spans="1:19" x14ac:dyDescent="0.3">
      <c r="A1332" t="s">
        <v>0</v>
      </c>
      <c r="B1332" s="1">
        <v>45578</v>
      </c>
      <c r="C1332" t="str">
        <f t="shared" si="290"/>
        <v>73083</v>
      </c>
      <c r="D1332" t="s">
        <v>13</v>
      </c>
      <c r="E1332" t="str">
        <f t="shared" si="293"/>
        <v>7</v>
      </c>
      <c r="F1332">
        <v>140772</v>
      </c>
      <c r="G1332">
        <v>91118</v>
      </c>
      <c r="H1332">
        <v>4498</v>
      </c>
      <c r="I1332" t="str">
        <f t="shared" ref="I1332:I1338" si="296">("3")</f>
        <v>3</v>
      </c>
      <c r="J1332" t="str">
        <f t="shared" ref="J1332:J1338" si="297">("cd&amp;v")</f>
        <v>cd&amp;v</v>
      </c>
      <c r="K1332">
        <v>4083</v>
      </c>
      <c r="L1332">
        <v>14975</v>
      </c>
      <c r="M1332">
        <v>19058</v>
      </c>
      <c r="N1332">
        <v>2</v>
      </c>
      <c r="O1332" t="str">
        <f>("1")</f>
        <v>1</v>
      </c>
      <c r="P1332" t="str">
        <f>("Moors Inge")</f>
        <v>Moors Inge</v>
      </c>
      <c r="Q1332">
        <v>9067</v>
      </c>
      <c r="R1332">
        <v>1</v>
      </c>
    </row>
    <row r="1333" spans="1:19" x14ac:dyDescent="0.3">
      <c r="A1333" t="s">
        <v>0</v>
      </c>
      <c r="B1333" s="1">
        <v>45578</v>
      </c>
      <c r="C1333" t="str">
        <f t="shared" si="290"/>
        <v>73083</v>
      </c>
      <c r="D1333" t="s">
        <v>13</v>
      </c>
      <c r="E1333" t="str">
        <f t="shared" si="293"/>
        <v>7</v>
      </c>
      <c r="F1333">
        <v>140772</v>
      </c>
      <c r="G1333">
        <v>91118</v>
      </c>
      <c r="H1333">
        <v>4498</v>
      </c>
      <c r="I1333" t="str">
        <f t="shared" si="296"/>
        <v>3</v>
      </c>
      <c r="J1333" t="str">
        <f t="shared" si="297"/>
        <v>cd&amp;v</v>
      </c>
      <c r="K1333">
        <v>4083</v>
      </c>
      <c r="L1333">
        <v>14975</v>
      </c>
      <c r="M1333">
        <v>19058</v>
      </c>
      <c r="N1333">
        <v>2</v>
      </c>
      <c r="O1333" t="str">
        <f>("2")</f>
        <v>2</v>
      </c>
      <c r="P1333" t="str">
        <f>("Peters Roderick")</f>
        <v>Peters Roderick</v>
      </c>
      <c r="Q1333">
        <v>2140</v>
      </c>
      <c r="S1333">
        <v>5</v>
      </c>
    </row>
    <row r="1334" spans="1:19" x14ac:dyDescent="0.3">
      <c r="A1334" t="s">
        <v>0</v>
      </c>
      <c r="B1334" s="1">
        <v>45578</v>
      </c>
      <c r="C1334" t="str">
        <f t="shared" si="290"/>
        <v>73083</v>
      </c>
      <c r="D1334" t="s">
        <v>13</v>
      </c>
      <c r="E1334" t="str">
        <f t="shared" si="293"/>
        <v>7</v>
      </c>
      <c r="F1334">
        <v>140772</v>
      </c>
      <c r="G1334">
        <v>91118</v>
      </c>
      <c r="H1334">
        <v>4498</v>
      </c>
      <c r="I1334" t="str">
        <f t="shared" si="296"/>
        <v>3</v>
      </c>
      <c r="J1334" t="str">
        <f t="shared" si="297"/>
        <v>cd&amp;v</v>
      </c>
      <c r="K1334">
        <v>4083</v>
      </c>
      <c r="L1334">
        <v>14975</v>
      </c>
      <c r="M1334">
        <v>19058</v>
      </c>
      <c r="N1334">
        <v>2</v>
      </c>
      <c r="O1334" t="str">
        <f>("3")</f>
        <v>3</v>
      </c>
      <c r="P1334" t="str">
        <f>("Massot Anneleen")</f>
        <v>Massot Anneleen</v>
      </c>
      <c r="Q1334">
        <v>2419</v>
      </c>
      <c r="S1334">
        <v>2</v>
      </c>
    </row>
    <row r="1335" spans="1:19" x14ac:dyDescent="0.3">
      <c r="A1335" t="s">
        <v>0</v>
      </c>
      <c r="B1335" s="1">
        <v>45578</v>
      </c>
      <c r="C1335" t="str">
        <f t="shared" si="290"/>
        <v>73083</v>
      </c>
      <c r="D1335" t="s">
        <v>13</v>
      </c>
      <c r="E1335" t="str">
        <f t="shared" si="293"/>
        <v>7</v>
      </c>
      <c r="F1335">
        <v>140772</v>
      </c>
      <c r="G1335">
        <v>91118</v>
      </c>
      <c r="H1335">
        <v>4498</v>
      </c>
      <c r="I1335" t="str">
        <f t="shared" si="296"/>
        <v>3</v>
      </c>
      <c r="J1335" t="str">
        <f t="shared" si="297"/>
        <v>cd&amp;v</v>
      </c>
      <c r="K1335">
        <v>4083</v>
      </c>
      <c r="L1335">
        <v>14975</v>
      </c>
      <c r="M1335">
        <v>19058</v>
      </c>
      <c r="N1335">
        <v>2</v>
      </c>
      <c r="O1335" t="str">
        <f>("4")</f>
        <v>4</v>
      </c>
      <c r="P1335" t="str">
        <f>("Renkens Davy")</f>
        <v>Renkens Davy</v>
      </c>
      <c r="Q1335">
        <v>2398</v>
      </c>
      <c r="S1335">
        <v>3</v>
      </c>
    </row>
    <row r="1336" spans="1:19" x14ac:dyDescent="0.3">
      <c r="A1336" t="s">
        <v>0</v>
      </c>
      <c r="B1336" s="1">
        <v>45578</v>
      </c>
      <c r="C1336" t="str">
        <f t="shared" si="290"/>
        <v>73083</v>
      </c>
      <c r="D1336" t="s">
        <v>13</v>
      </c>
      <c r="E1336" t="str">
        <f t="shared" si="293"/>
        <v>7</v>
      </c>
      <c r="F1336">
        <v>140772</v>
      </c>
      <c r="G1336">
        <v>91118</v>
      </c>
      <c r="H1336">
        <v>4498</v>
      </c>
      <c r="I1336" t="str">
        <f t="shared" si="296"/>
        <v>3</v>
      </c>
      <c r="J1336" t="str">
        <f t="shared" si="297"/>
        <v>cd&amp;v</v>
      </c>
      <c r="K1336">
        <v>4083</v>
      </c>
      <c r="L1336">
        <v>14975</v>
      </c>
      <c r="M1336">
        <v>19058</v>
      </c>
      <c r="N1336">
        <v>2</v>
      </c>
      <c r="O1336" t="str">
        <f>("5")</f>
        <v>5</v>
      </c>
      <c r="P1336" t="str">
        <f>("Bosmans Ilse")</f>
        <v>Bosmans Ilse</v>
      </c>
      <c r="Q1336">
        <v>2203</v>
      </c>
      <c r="S1336">
        <v>4</v>
      </c>
    </row>
    <row r="1337" spans="1:19" x14ac:dyDescent="0.3">
      <c r="A1337" t="s">
        <v>0</v>
      </c>
      <c r="B1337" s="1">
        <v>45578</v>
      </c>
      <c r="C1337" t="str">
        <f t="shared" si="290"/>
        <v>73083</v>
      </c>
      <c r="D1337" t="s">
        <v>13</v>
      </c>
      <c r="E1337" t="str">
        <f t="shared" si="293"/>
        <v>7</v>
      </c>
      <c r="F1337">
        <v>140772</v>
      </c>
      <c r="G1337">
        <v>91118</v>
      </c>
      <c r="H1337">
        <v>4498</v>
      </c>
      <c r="I1337" t="str">
        <f t="shared" si="296"/>
        <v>3</v>
      </c>
      <c r="J1337" t="str">
        <f t="shared" si="297"/>
        <v>cd&amp;v</v>
      </c>
      <c r="K1337">
        <v>4083</v>
      </c>
      <c r="L1337">
        <v>14975</v>
      </c>
      <c r="M1337">
        <v>19058</v>
      </c>
      <c r="N1337">
        <v>2</v>
      </c>
      <c r="O1337" t="str">
        <f>("6")</f>
        <v>6</v>
      </c>
      <c r="P1337" t="str">
        <f>("Christiaens An")</f>
        <v>Christiaens An</v>
      </c>
      <c r="Q1337">
        <v>4456</v>
      </c>
      <c r="S1337">
        <v>1</v>
      </c>
    </row>
    <row r="1338" spans="1:19" x14ac:dyDescent="0.3">
      <c r="A1338" t="s">
        <v>0</v>
      </c>
      <c r="B1338" s="1">
        <v>45578</v>
      </c>
      <c r="C1338" t="str">
        <f t="shared" si="290"/>
        <v>73083</v>
      </c>
      <c r="D1338" t="s">
        <v>13</v>
      </c>
      <c r="E1338" t="str">
        <f t="shared" si="293"/>
        <v>7</v>
      </c>
      <c r="F1338">
        <v>140772</v>
      </c>
      <c r="G1338">
        <v>91118</v>
      </c>
      <c r="H1338">
        <v>4498</v>
      </c>
      <c r="I1338" t="str">
        <f t="shared" si="296"/>
        <v>3</v>
      </c>
      <c r="J1338" t="str">
        <f t="shared" si="297"/>
        <v>cd&amp;v</v>
      </c>
      <c r="K1338">
        <v>4083</v>
      </c>
      <c r="L1338">
        <v>14975</v>
      </c>
      <c r="M1338">
        <v>19058</v>
      </c>
      <c r="N1338">
        <v>2</v>
      </c>
      <c r="O1338" t="str">
        <f>("7")</f>
        <v>7</v>
      </c>
      <c r="P1338" t="str">
        <f>("Terwingen Raf")</f>
        <v>Terwingen Raf</v>
      </c>
      <c r="Q1338">
        <v>5677</v>
      </c>
      <c r="R1338">
        <v>2</v>
      </c>
    </row>
    <row r="1339" spans="1:19" x14ac:dyDescent="0.3">
      <c r="A1339" t="s">
        <v>0</v>
      </c>
      <c r="B1339" s="1">
        <v>45578</v>
      </c>
      <c r="C1339" t="str">
        <f t="shared" si="290"/>
        <v>73083</v>
      </c>
      <c r="D1339" t="s">
        <v>13</v>
      </c>
      <c r="E1339" t="str">
        <f t="shared" si="293"/>
        <v>7</v>
      </c>
      <c r="F1339">
        <v>140772</v>
      </c>
      <c r="G1339">
        <v>91118</v>
      </c>
      <c r="H1339">
        <v>4498</v>
      </c>
      <c r="I1339" t="str">
        <f t="shared" ref="I1339:I1345" si="298">("4")</f>
        <v>4</v>
      </c>
      <c r="J1339" t="str">
        <f t="shared" ref="J1339:J1345" si="299">("VLAAMS BELANG")</f>
        <v>VLAAMS BELANG</v>
      </c>
      <c r="K1339">
        <v>8847</v>
      </c>
      <c r="L1339">
        <v>6997</v>
      </c>
      <c r="M1339">
        <v>15844</v>
      </c>
      <c r="N1339">
        <v>1</v>
      </c>
      <c r="O1339" t="str">
        <f>("1")</f>
        <v>1</v>
      </c>
      <c r="P1339" t="str">
        <f>("Van Wettere Bruno")</f>
        <v>Van Wettere Bruno</v>
      </c>
      <c r="Q1339">
        <v>4263</v>
      </c>
      <c r="R1339">
        <v>1</v>
      </c>
    </row>
    <row r="1340" spans="1:19" x14ac:dyDescent="0.3">
      <c r="A1340" t="s">
        <v>0</v>
      </c>
      <c r="B1340" s="1">
        <v>45578</v>
      </c>
      <c r="C1340" t="str">
        <f t="shared" si="290"/>
        <v>73083</v>
      </c>
      <c r="D1340" t="s">
        <v>13</v>
      </c>
      <c r="E1340" t="str">
        <f t="shared" si="293"/>
        <v>7</v>
      </c>
      <c r="F1340">
        <v>140772</v>
      </c>
      <c r="G1340">
        <v>91118</v>
      </c>
      <c r="H1340">
        <v>4498</v>
      </c>
      <c r="I1340" t="str">
        <f t="shared" si="298"/>
        <v>4</v>
      </c>
      <c r="J1340" t="str">
        <f t="shared" si="299"/>
        <v>VLAAMS BELANG</v>
      </c>
      <c r="K1340">
        <v>8847</v>
      </c>
      <c r="L1340">
        <v>6997</v>
      </c>
      <c r="M1340">
        <v>15844</v>
      </c>
      <c r="N1340">
        <v>1</v>
      </c>
      <c r="O1340" t="str">
        <f>("2")</f>
        <v>2</v>
      </c>
      <c r="P1340" t="str">
        <f>("Waters Susan")</f>
        <v>Waters Susan</v>
      </c>
      <c r="Q1340">
        <v>2775</v>
      </c>
      <c r="S1340">
        <v>4</v>
      </c>
    </row>
    <row r="1341" spans="1:19" x14ac:dyDescent="0.3">
      <c r="A1341" t="s">
        <v>0</v>
      </c>
      <c r="B1341" s="1">
        <v>45578</v>
      </c>
      <c r="C1341" t="str">
        <f t="shared" si="290"/>
        <v>73083</v>
      </c>
      <c r="D1341" t="s">
        <v>13</v>
      </c>
      <c r="E1341" t="str">
        <f t="shared" si="293"/>
        <v>7</v>
      </c>
      <c r="F1341">
        <v>140772</v>
      </c>
      <c r="G1341">
        <v>91118</v>
      </c>
      <c r="H1341">
        <v>4498</v>
      </c>
      <c r="I1341" t="str">
        <f t="shared" si="298"/>
        <v>4</v>
      </c>
      <c r="J1341" t="str">
        <f t="shared" si="299"/>
        <v>VLAAMS BELANG</v>
      </c>
      <c r="K1341">
        <v>8847</v>
      </c>
      <c r="L1341">
        <v>6997</v>
      </c>
      <c r="M1341">
        <v>15844</v>
      </c>
      <c r="N1341">
        <v>1</v>
      </c>
      <c r="O1341" t="str">
        <f>("3")</f>
        <v>3</v>
      </c>
      <c r="P1341" t="str">
        <f>("Vossen Alex")</f>
        <v>Vossen Alex</v>
      </c>
      <c r="Q1341">
        <v>3100</v>
      </c>
      <c r="S1341">
        <v>2</v>
      </c>
    </row>
    <row r="1342" spans="1:19" x14ac:dyDescent="0.3">
      <c r="A1342" t="s">
        <v>0</v>
      </c>
      <c r="B1342" s="1">
        <v>45578</v>
      </c>
      <c r="C1342" t="str">
        <f t="shared" si="290"/>
        <v>73083</v>
      </c>
      <c r="D1342" t="s">
        <v>13</v>
      </c>
      <c r="E1342" t="str">
        <f t="shared" si="293"/>
        <v>7</v>
      </c>
      <c r="F1342">
        <v>140772</v>
      </c>
      <c r="G1342">
        <v>91118</v>
      </c>
      <c r="H1342">
        <v>4498</v>
      </c>
      <c r="I1342" t="str">
        <f t="shared" si="298"/>
        <v>4</v>
      </c>
      <c r="J1342" t="str">
        <f t="shared" si="299"/>
        <v>VLAAMS BELANG</v>
      </c>
      <c r="K1342">
        <v>8847</v>
      </c>
      <c r="L1342">
        <v>6997</v>
      </c>
      <c r="M1342">
        <v>15844</v>
      </c>
      <c r="N1342">
        <v>1</v>
      </c>
      <c r="O1342" t="str">
        <f>("4")</f>
        <v>4</v>
      </c>
      <c r="P1342" t="str">
        <f>("Machiels Jurgen")</f>
        <v>Machiels Jurgen</v>
      </c>
      <c r="Q1342">
        <v>2636</v>
      </c>
      <c r="S1342">
        <v>6</v>
      </c>
    </row>
    <row r="1343" spans="1:19" x14ac:dyDescent="0.3">
      <c r="A1343" t="s">
        <v>0</v>
      </c>
      <c r="B1343" s="1">
        <v>45578</v>
      </c>
      <c r="C1343" t="str">
        <f t="shared" si="290"/>
        <v>73083</v>
      </c>
      <c r="D1343" t="s">
        <v>13</v>
      </c>
      <c r="E1343" t="str">
        <f t="shared" si="293"/>
        <v>7</v>
      </c>
      <c r="F1343">
        <v>140772</v>
      </c>
      <c r="G1343">
        <v>91118</v>
      </c>
      <c r="H1343">
        <v>4498</v>
      </c>
      <c r="I1343" t="str">
        <f t="shared" si="298"/>
        <v>4</v>
      </c>
      <c r="J1343" t="str">
        <f t="shared" si="299"/>
        <v>VLAAMS BELANG</v>
      </c>
      <c r="K1343">
        <v>8847</v>
      </c>
      <c r="L1343">
        <v>6997</v>
      </c>
      <c r="M1343">
        <v>15844</v>
      </c>
      <c r="N1343">
        <v>1</v>
      </c>
      <c r="O1343" t="str">
        <f>("5")</f>
        <v>5</v>
      </c>
      <c r="P1343" t="str">
        <f>("Joosten Leo")</f>
        <v>Joosten Leo</v>
      </c>
      <c r="Q1343">
        <v>2841</v>
      </c>
      <c r="S1343">
        <v>3</v>
      </c>
    </row>
    <row r="1344" spans="1:19" x14ac:dyDescent="0.3">
      <c r="A1344" t="s">
        <v>0</v>
      </c>
      <c r="B1344" s="1">
        <v>45578</v>
      </c>
      <c r="C1344" t="str">
        <f t="shared" si="290"/>
        <v>73083</v>
      </c>
      <c r="D1344" t="s">
        <v>13</v>
      </c>
      <c r="E1344" t="str">
        <f t="shared" si="293"/>
        <v>7</v>
      </c>
      <c r="F1344">
        <v>140772</v>
      </c>
      <c r="G1344">
        <v>91118</v>
      </c>
      <c r="H1344">
        <v>4498</v>
      </c>
      <c r="I1344" t="str">
        <f t="shared" si="298"/>
        <v>4</v>
      </c>
      <c r="J1344" t="str">
        <f t="shared" si="299"/>
        <v>VLAAMS BELANG</v>
      </c>
      <c r="K1344">
        <v>8847</v>
      </c>
      <c r="L1344">
        <v>6997</v>
      </c>
      <c r="M1344">
        <v>15844</v>
      </c>
      <c r="N1344">
        <v>1</v>
      </c>
      <c r="O1344" t="str">
        <f>("6")</f>
        <v>6</v>
      </c>
      <c r="P1344" t="str">
        <f>("Claesen Mercina")</f>
        <v>Claesen Mercina</v>
      </c>
      <c r="Q1344">
        <v>2717</v>
      </c>
      <c r="S1344">
        <v>5</v>
      </c>
    </row>
    <row r="1345" spans="1:19" x14ac:dyDescent="0.3">
      <c r="A1345" t="s">
        <v>0</v>
      </c>
      <c r="B1345" s="1">
        <v>45578</v>
      </c>
      <c r="C1345" t="str">
        <f t="shared" si="290"/>
        <v>73083</v>
      </c>
      <c r="D1345" t="s">
        <v>13</v>
      </c>
      <c r="E1345" t="str">
        <f t="shared" si="293"/>
        <v>7</v>
      </c>
      <c r="F1345">
        <v>140772</v>
      </c>
      <c r="G1345">
        <v>91118</v>
      </c>
      <c r="H1345">
        <v>4498</v>
      </c>
      <c r="I1345" t="str">
        <f t="shared" si="298"/>
        <v>4</v>
      </c>
      <c r="J1345" t="str">
        <f t="shared" si="299"/>
        <v>VLAAMS BELANG</v>
      </c>
      <c r="K1345">
        <v>8847</v>
      </c>
      <c r="L1345">
        <v>6997</v>
      </c>
      <c r="M1345">
        <v>15844</v>
      </c>
      <c r="N1345">
        <v>1</v>
      </c>
      <c r="O1345" t="str">
        <f>("7")</f>
        <v>7</v>
      </c>
      <c r="P1345" t="str">
        <f>("Ponthier Annick")</f>
        <v>Ponthier Annick</v>
      </c>
      <c r="Q1345">
        <v>3674</v>
      </c>
      <c r="S1345">
        <v>1</v>
      </c>
    </row>
    <row r="1346" spans="1:19" x14ac:dyDescent="0.3">
      <c r="A1346" t="s">
        <v>0</v>
      </c>
      <c r="B1346" s="1">
        <v>45578</v>
      </c>
      <c r="C1346" t="str">
        <f t="shared" si="290"/>
        <v>73083</v>
      </c>
      <c r="D1346" t="s">
        <v>13</v>
      </c>
      <c r="E1346" t="str">
        <f t="shared" si="293"/>
        <v>7</v>
      </c>
      <c r="F1346">
        <v>140772</v>
      </c>
      <c r="G1346">
        <v>91118</v>
      </c>
      <c r="H1346">
        <v>4498</v>
      </c>
      <c r="I1346" t="str">
        <f t="shared" ref="I1346:I1352" si="300">("5")</f>
        <v>5</v>
      </c>
      <c r="J1346" t="str">
        <f t="shared" ref="J1346:J1352" si="301">("N-VA")</f>
        <v>N-VA</v>
      </c>
      <c r="K1346">
        <v>5979</v>
      </c>
      <c r="L1346">
        <v>9691</v>
      </c>
      <c r="M1346">
        <v>15670</v>
      </c>
      <c r="N1346">
        <v>1</v>
      </c>
      <c r="O1346" t="str">
        <f>("1")</f>
        <v>1</v>
      </c>
      <c r="P1346" t="str">
        <f>("Moors Rita")</f>
        <v>Moors Rita</v>
      </c>
      <c r="Q1346">
        <v>3003</v>
      </c>
      <c r="S1346">
        <v>1</v>
      </c>
    </row>
    <row r="1347" spans="1:19" x14ac:dyDescent="0.3">
      <c r="A1347" t="s">
        <v>0</v>
      </c>
      <c r="B1347" s="1">
        <v>45578</v>
      </c>
      <c r="C1347" t="str">
        <f t="shared" si="290"/>
        <v>73083</v>
      </c>
      <c r="D1347" t="s">
        <v>13</v>
      </c>
      <c r="E1347" t="str">
        <f t="shared" si="293"/>
        <v>7</v>
      </c>
      <c r="F1347">
        <v>140772</v>
      </c>
      <c r="G1347">
        <v>91118</v>
      </c>
      <c r="H1347">
        <v>4498</v>
      </c>
      <c r="I1347" t="str">
        <f t="shared" si="300"/>
        <v>5</v>
      </c>
      <c r="J1347" t="str">
        <f t="shared" si="301"/>
        <v>N-VA</v>
      </c>
      <c r="K1347">
        <v>5979</v>
      </c>
      <c r="L1347">
        <v>9691</v>
      </c>
      <c r="M1347">
        <v>15670</v>
      </c>
      <c r="N1347">
        <v>1</v>
      </c>
      <c r="O1347" t="str">
        <f>("2")</f>
        <v>2</v>
      </c>
      <c r="P1347" t="str">
        <f>("Vossen Guido")</f>
        <v>Vossen Guido</v>
      </c>
      <c r="Q1347">
        <v>2360</v>
      </c>
      <c r="S1347">
        <v>3</v>
      </c>
    </row>
    <row r="1348" spans="1:19" x14ac:dyDescent="0.3">
      <c r="A1348" t="s">
        <v>0</v>
      </c>
      <c r="B1348" s="1">
        <v>45578</v>
      </c>
      <c r="C1348" t="str">
        <f t="shared" si="290"/>
        <v>73083</v>
      </c>
      <c r="D1348" t="s">
        <v>13</v>
      </c>
      <c r="E1348" t="str">
        <f t="shared" si="293"/>
        <v>7</v>
      </c>
      <c r="F1348">
        <v>140772</v>
      </c>
      <c r="G1348">
        <v>91118</v>
      </c>
      <c r="H1348">
        <v>4498</v>
      </c>
      <c r="I1348" t="str">
        <f t="shared" si="300"/>
        <v>5</v>
      </c>
      <c r="J1348" t="str">
        <f t="shared" si="301"/>
        <v>N-VA</v>
      </c>
      <c r="K1348">
        <v>5979</v>
      </c>
      <c r="L1348">
        <v>9691</v>
      </c>
      <c r="M1348">
        <v>15670</v>
      </c>
      <c r="N1348">
        <v>1</v>
      </c>
      <c r="O1348" t="str">
        <f>("3")</f>
        <v>3</v>
      </c>
      <c r="P1348" t="str">
        <f>("Hamers Nathalie")</f>
        <v>Hamers Nathalie</v>
      </c>
      <c r="Q1348">
        <v>2206</v>
      </c>
      <c r="S1348">
        <v>4</v>
      </c>
    </row>
    <row r="1349" spans="1:19" x14ac:dyDescent="0.3">
      <c r="A1349" t="s">
        <v>0</v>
      </c>
      <c r="B1349" s="1">
        <v>45578</v>
      </c>
      <c r="C1349" t="str">
        <f t="shared" si="290"/>
        <v>73083</v>
      </c>
      <c r="D1349" t="s">
        <v>13</v>
      </c>
      <c r="E1349" t="str">
        <f t="shared" si="293"/>
        <v>7</v>
      </c>
      <c r="F1349">
        <v>140772</v>
      </c>
      <c r="G1349">
        <v>91118</v>
      </c>
      <c r="H1349">
        <v>4498</v>
      </c>
      <c r="I1349" t="str">
        <f t="shared" si="300"/>
        <v>5</v>
      </c>
      <c r="J1349" t="str">
        <f t="shared" si="301"/>
        <v>N-VA</v>
      </c>
      <c r="K1349">
        <v>5979</v>
      </c>
      <c r="L1349">
        <v>9691</v>
      </c>
      <c r="M1349">
        <v>15670</v>
      </c>
      <c r="N1349">
        <v>1</v>
      </c>
      <c r="O1349" t="str">
        <f>("4")</f>
        <v>4</v>
      </c>
      <c r="P1349" t="str">
        <f>("Stulens Jan")</f>
        <v>Stulens Jan</v>
      </c>
      <c r="Q1349">
        <v>2172</v>
      </c>
      <c r="S1349">
        <v>5</v>
      </c>
    </row>
    <row r="1350" spans="1:19" x14ac:dyDescent="0.3">
      <c r="A1350" t="s">
        <v>0</v>
      </c>
      <c r="B1350" s="1">
        <v>45578</v>
      </c>
      <c r="C1350" t="str">
        <f t="shared" ref="C1350:C1367" si="302">("73083")</f>
        <v>73083</v>
      </c>
      <c r="D1350" t="s">
        <v>13</v>
      </c>
      <c r="E1350" t="str">
        <f t="shared" si="293"/>
        <v>7</v>
      </c>
      <c r="F1350">
        <v>140772</v>
      </c>
      <c r="G1350">
        <v>91118</v>
      </c>
      <c r="H1350">
        <v>4498</v>
      </c>
      <c r="I1350" t="str">
        <f t="shared" si="300"/>
        <v>5</v>
      </c>
      <c r="J1350" t="str">
        <f t="shared" si="301"/>
        <v>N-VA</v>
      </c>
      <c r="K1350">
        <v>5979</v>
      </c>
      <c r="L1350">
        <v>9691</v>
      </c>
      <c r="M1350">
        <v>15670</v>
      </c>
      <c r="N1350">
        <v>1</v>
      </c>
      <c r="O1350" t="str">
        <f>("5")</f>
        <v>5</v>
      </c>
      <c r="P1350" t="str">
        <f>("Joris Patricia")</f>
        <v>Joris Patricia</v>
      </c>
      <c r="Q1350">
        <v>1878</v>
      </c>
      <c r="S1350">
        <v>6</v>
      </c>
    </row>
    <row r="1351" spans="1:19" x14ac:dyDescent="0.3">
      <c r="A1351" t="s">
        <v>0</v>
      </c>
      <c r="B1351" s="1">
        <v>45578</v>
      </c>
      <c r="C1351" t="str">
        <f t="shared" si="302"/>
        <v>73083</v>
      </c>
      <c r="D1351" t="s">
        <v>13</v>
      </c>
      <c r="E1351" t="str">
        <f t="shared" ref="E1351:E1367" si="303">("7")</f>
        <v>7</v>
      </c>
      <c r="F1351">
        <v>140772</v>
      </c>
      <c r="G1351">
        <v>91118</v>
      </c>
      <c r="H1351">
        <v>4498</v>
      </c>
      <c r="I1351" t="str">
        <f t="shared" si="300"/>
        <v>5</v>
      </c>
      <c r="J1351" t="str">
        <f t="shared" si="301"/>
        <v>N-VA</v>
      </c>
      <c r="K1351">
        <v>5979</v>
      </c>
      <c r="L1351">
        <v>9691</v>
      </c>
      <c r="M1351">
        <v>15670</v>
      </c>
      <c r="N1351">
        <v>1</v>
      </c>
      <c r="O1351" t="str">
        <f>("6")</f>
        <v>6</v>
      </c>
      <c r="P1351" t="str">
        <f>("Broers Huub")</f>
        <v>Broers Huub</v>
      </c>
      <c r="Q1351">
        <v>2942</v>
      </c>
      <c r="S1351">
        <v>2</v>
      </c>
    </row>
    <row r="1352" spans="1:19" x14ac:dyDescent="0.3">
      <c r="A1352" t="s">
        <v>0</v>
      </c>
      <c r="B1352" s="1">
        <v>45578</v>
      </c>
      <c r="C1352" t="str">
        <f t="shared" si="302"/>
        <v>73083</v>
      </c>
      <c r="D1352" t="s">
        <v>13</v>
      </c>
      <c r="E1352" t="str">
        <f t="shared" si="303"/>
        <v>7</v>
      </c>
      <c r="F1352">
        <v>140772</v>
      </c>
      <c r="G1352">
        <v>91118</v>
      </c>
      <c r="H1352">
        <v>4498</v>
      </c>
      <c r="I1352" t="str">
        <f t="shared" si="300"/>
        <v>5</v>
      </c>
      <c r="J1352" t="str">
        <f t="shared" si="301"/>
        <v>N-VA</v>
      </c>
      <c r="K1352">
        <v>5979</v>
      </c>
      <c r="L1352">
        <v>9691</v>
      </c>
      <c r="M1352">
        <v>15670</v>
      </c>
      <c r="N1352">
        <v>1</v>
      </c>
      <c r="O1352" t="str">
        <f>("7")</f>
        <v>7</v>
      </c>
      <c r="P1352" t="str">
        <f>("Demir Zuhal")</f>
        <v>Demir Zuhal</v>
      </c>
      <c r="Q1352">
        <v>6981</v>
      </c>
      <c r="R1352">
        <v>1</v>
      </c>
    </row>
    <row r="1353" spans="1:19" x14ac:dyDescent="0.3">
      <c r="A1353" t="s">
        <v>0</v>
      </c>
      <c r="B1353" s="1">
        <v>45578</v>
      </c>
      <c r="C1353" t="str">
        <f t="shared" si="302"/>
        <v>73083</v>
      </c>
      <c r="D1353" t="s">
        <v>13</v>
      </c>
      <c r="E1353" t="str">
        <f t="shared" si="303"/>
        <v>7</v>
      </c>
      <c r="F1353">
        <v>140772</v>
      </c>
      <c r="G1353">
        <v>91118</v>
      </c>
      <c r="H1353">
        <v>4498</v>
      </c>
      <c r="I1353" t="str">
        <f t="shared" ref="I1353:I1359" si="304">("6")</f>
        <v>6</v>
      </c>
      <c r="J1353" t="str">
        <f t="shared" ref="J1353:J1359" si="305">("Open Vld Limburg")</f>
        <v>Open Vld Limburg</v>
      </c>
      <c r="K1353">
        <v>2455</v>
      </c>
      <c r="L1353">
        <v>15643</v>
      </c>
      <c r="M1353">
        <v>18098</v>
      </c>
      <c r="N1353">
        <v>2</v>
      </c>
      <c r="O1353" t="str">
        <f>("1")</f>
        <v>1</v>
      </c>
      <c r="P1353" t="str">
        <f>("Philtjens Igor")</f>
        <v>Philtjens Igor</v>
      </c>
      <c r="Q1353">
        <v>8548</v>
      </c>
      <c r="R1353">
        <v>1</v>
      </c>
    </row>
    <row r="1354" spans="1:19" x14ac:dyDescent="0.3">
      <c r="A1354" t="s">
        <v>0</v>
      </c>
      <c r="B1354" s="1">
        <v>45578</v>
      </c>
      <c r="C1354" t="str">
        <f t="shared" si="302"/>
        <v>73083</v>
      </c>
      <c r="D1354" t="s">
        <v>13</v>
      </c>
      <c r="E1354" t="str">
        <f t="shared" si="303"/>
        <v>7</v>
      </c>
      <c r="F1354">
        <v>140772</v>
      </c>
      <c r="G1354">
        <v>91118</v>
      </c>
      <c r="H1354">
        <v>4498</v>
      </c>
      <c r="I1354" t="str">
        <f t="shared" si="304"/>
        <v>6</v>
      </c>
      <c r="J1354" t="str">
        <f t="shared" si="305"/>
        <v>Open Vld Limburg</v>
      </c>
      <c r="K1354">
        <v>2455</v>
      </c>
      <c r="L1354">
        <v>15643</v>
      </c>
      <c r="M1354">
        <v>18098</v>
      </c>
      <c r="N1354">
        <v>2</v>
      </c>
      <c r="O1354" t="str">
        <f>("2")</f>
        <v>2</v>
      </c>
      <c r="P1354" t="str">
        <f>("Bruninx Marijke")</f>
        <v>Bruninx Marijke</v>
      </c>
      <c r="Q1354">
        <v>3195</v>
      </c>
      <c r="S1354">
        <v>3</v>
      </c>
    </row>
    <row r="1355" spans="1:19" x14ac:dyDescent="0.3">
      <c r="A1355" t="s">
        <v>0</v>
      </c>
      <c r="B1355" s="1">
        <v>45578</v>
      </c>
      <c r="C1355" t="str">
        <f t="shared" si="302"/>
        <v>73083</v>
      </c>
      <c r="D1355" t="s">
        <v>13</v>
      </c>
      <c r="E1355" t="str">
        <f t="shared" si="303"/>
        <v>7</v>
      </c>
      <c r="F1355">
        <v>140772</v>
      </c>
      <c r="G1355">
        <v>91118</v>
      </c>
      <c r="H1355">
        <v>4498</v>
      </c>
      <c r="I1355" t="str">
        <f t="shared" si="304"/>
        <v>6</v>
      </c>
      <c r="J1355" t="str">
        <f t="shared" si="305"/>
        <v>Open Vld Limburg</v>
      </c>
      <c r="K1355">
        <v>2455</v>
      </c>
      <c r="L1355">
        <v>15643</v>
      </c>
      <c r="M1355">
        <v>18098</v>
      </c>
      <c r="N1355">
        <v>2</v>
      </c>
      <c r="O1355" t="str">
        <f>("3")</f>
        <v>3</v>
      </c>
      <c r="P1355" t="str">
        <f>("Coenegrachts Steven")</f>
        <v>Coenegrachts Steven</v>
      </c>
      <c r="Q1355">
        <v>4010</v>
      </c>
      <c r="S1355">
        <v>1</v>
      </c>
    </row>
    <row r="1356" spans="1:19" x14ac:dyDescent="0.3">
      <c r="A1356" t="s">
        <v>0</v>
      </c>
      <c r="B1356" s="1">
        <v>45578</v>
      </c>
      <c r="C1356" t="str">
        <f t="shared" si="302"/>
        <v>73083</v>
      </c>
      <c r="D1356" t="s">
        <v>13</v>
      </c>
      <c r="E1356" t="str">
        <f t="shared" si="303"/>
        <v>7</v>
      </c>
      <c r="F1356">
        <v>140772</v>
      </c>
      <c r="G1356">
        <v>91118</v>
      </c>
      <c r="H1356">
        <v>4498</v>
      </c>
      <c r="I1356" t="str">
        <f t="shared" si="304"/>
        <v>6</v>
      </c>
      <c r="J1356" t="str">
        <f t="shared" si="305"/>
        <v>Open Vld Limburg</v>
      </c>
      <c r="K1356">
        <v>2455</v>
      </c>
      <c r="L1356">
        <v>15643</v>
      </c>
      <c r="M1356">
        <v>18098</v>
      </c>
      <c r="N1356">
        <v>2</v>
      </c>
      <c r="O1356" t="str">
        <f>("4")</f>
        <v>4</v>
      </c>
      <c r="P1356" t="str">
        <f>("Kortleven Marleen")</f>
        <v>Kortleven Marleen</v>
      </c>
      <c r="Q1356">
        <v>2208</v>
      </c>
      <c r="S1356">
        <v>5</v>
      </c>
    </row>
    <row r="1357" spans="1:19" x14ac:dyDescent="0.3">
      <c r="A1357" t="s">
        <v>0</v>
      </c>
      <c r="B1357" s="1">
        <v>45578</v>
      </c>
      <c r="C1357" t="str">
        <f t="shared" si="302"/>
        <v>73083</v>
      </c>
      <c r="D1357" t="s">
        <v>13</v>
      </c>
      <c r="E1357" t="str">
        <f t="shared" si="303"/>
        <v>7</v>
      </c>
      <c r="F1357">
        <v>140772</v>
      </c>
      <c r="G1357">
        <v>91118</v>
      </c>
      <c r="H1357">
        <v>4498</v>
      </c>
      <c r="I1357" t="str">
        <f t="shared" si="304"/>
        <v>6</v>
      </c>
      <c r="J1357" t="str">
        <f t="shared" si="305"/>
        <v>Open Vld Limburg</v>
      </c>
      <c r="K1357">
        <v>2455</v>
      </c>
      <c r="L1357">
        <v>15643</v>
      </c>
      <c r="M1357">
        <v>18098</v>
      </c>
      <c r="N1357">
        <v>2</v>
      </c>
      <c r="O1357" t="str">
        <f>("5")</f>
        <v>5</v>
      </c>
      <c r="P1357" t="str">
        <f>("Feytons Jo")</f>
        <v>Feytons Jo</v>
      </c>
      <c r="Q1357">
        <v>3852</v>
      </c>
      <c r="S1357">
        <v>2</v>
      </c>
    </row>
    <row r="1358" spans="1:19" x14ac:dyDescent="0.3">
      <c r="A1358" t="s">
        <v>0</v>
      </c>
      <c r="B1358" s="1">
        <v>45578</v>
      </c>
      <c r="C1358" t="str">
        <f t="shared" si="302"/>
        <v>73083</v>
      </c>
      <c r="D1358" t="s">
        <v>13</v>
      </c>
      <c r="E1358" t="str">
        <f t="shared" si="303"/>
        <v>7</v>
      </c>
      <c r="F1358">
        <v>140772</v>
      </c>
      <c r="G1358">
        <v>91118</v>
      </c>
      <c r="H1358">
        <v>4498</v>
      </c>
      <c r="I1358" t="str">
        <f t="shared" si="304"/>
        <v>6</v>
      </c>
      <c r="J1358" t="str">
        <f t="shared" si="305"/>
        <v>Open Vld Limburg</v>
      </c>
      <c r="K1358">
        <v>2455</v>
      </c>
      <c r="L1358">
        <v>15643</v>
      </c>
      <c r="M1358">
        <v>18098</v>
      </c>
      <c r="N1358">
        <v>2</v>
      </c>
      <c r="O1358" t="str">
        <f>("6")</f>
        <v>6</v>
      </c>
      <c r="P1358" t="str">
        <f>("Vautmans Hilde")</f>
        <v>Vautmans Hilde</v>
      </c>
      <c r="Q1358">
        <v>3155</v>
      </c>
      <c r="S1358">
        <v>4</v>
      </c>
    </row>
    <row r="1359" spans="1:19" x14ac:dyDescent="0.3">
      <c r="A1359" t="s">
        <v>0</v>
      </c>
      <c r="B1359" s="1">
        <v>45578</v>
      </c>
      <c r="C1359" t="str">
        <f t="shared" si="302"/>
        <v>73083</v>
      </c>
      <c r="D1359" t="s">
        <v>13</v>
      </c>
      <c r="E1359" t="str">
        <f t="shared" si="303"/>
        <v>7</v>
      </c>
      <c r="F1359">
        <v>140772</v>
      </c>
      <c r="G1359">
        <v>91118</v>
      </c>
      <c r="H1359">
        <v>4498</v>
      </c>
      <c r="I1359" t="str">
        <f t="shared" si="304"/>
        <v>6</v>
      </c>
      <c r="J1359" t="str">
        <f t="shared" si="305"/>
        <v>Open Vld Limburg</v>
      </c>
      <c r="K1359">
        <v>2455</v>
      </c>
      <c r="L1359">
        <v>15643</v>
      </c>
      <c r="M1359">
        <v>18098</v>
      </c>
      <c r="N1359">
        <v>2</v>
      </c>
      <c r="O1359" t="str">
        <f>("7")</f>
        <v>7</v>
      </c>
      <c r="P1359" t="str">
        <f>("Keulen Marino")</f>
        <v>Keulen Marino</v>
      </c>
      <c r="Q1359">
        <v>6186</v>
      </c>
      <c r="R1359">
        <v>2</v>
      </c>
    </row>
    <row r="1360" spans="1:19" x14ac:dyDescent="0.3">
      <c r="A1360" t="s">
        <v>0</v>
      </c>
      <c r="B1360" s="1">
        <v>45578</v>
      </c>
      <c r="C1360" t="str">
        <f t="shared" si="302"/>
        <v>73083</v>
      </c>
      <c r="D1360" t="s">
        <v>13</v>
      </c>
      <c r="E1360" t="str">
        <f t="shared" si="303"/>
        <v>7</v>
      </c>
      <c r="F1360">
        <v>140772</v>
      </c>
      <c r="G1360">
        <v>91118</v>
      </c>
      <c r="H1360">
        <v>4498</v>
      </c>
      <c r="I1360" t="str">
        <f t="shared" ref="I1360:I1366" si="306">("7")</f>
        <v>7</v>
      </c>
      <c r="J1360" t="str">
        <f t="shared" ref="J1360:J1366" si="307">("GROEN")</f>
        <v>GROEN</v>
      </c>
      <c r="K1360">
        <v>2326</v>
      </c>
      <c r="L1360">
        <v>1864</v>
      </c>
      <c r="M1360">
        <v>4190</v>
      </c>
      <c r="N1360">
        <v>0</v>
      </c>
      <c r="O1360" t="str">
        <f>("1")</f>
        <v>1</v>
      </c>
      <c r="P1360" t="str">
        <f>("Mariotti Antonio")</f>
        <v>Mariotti Antonio</v>
      </c>
      <c r="Q1360">
        <v>850</v>
      </c>
    </row>
    <row r="1361" spans="1:19" x14ac:dyDescent="0.3">
      <c r="A1361" t="s">
        <v>0</v>
      </c>
      <c r="B1361" s="1">
        <v>45578</v>
      </c>
      <c r="C1361" t="str">
        <f t="shared" si="302"/>
        <v>73083</v>
      </c>
      <c r="D1361" t="s">
        <v>13</v>
      </c>
      <c r="E1361" t="str">
        <f t="shared" si="303"/>
        <v>7</v>
      </c>
      <c r="F1361">
        <v>140772</v>
      </c>
      <c r="G1361">
        <v>91118</v>
      </c>
      <c r="H1361">
        <v>4498</v>
      </c>
      <c r="I1361" t="str">
        <f t="shared" si="306"/>
        <v>7</v>
      </c>
      <c r="J1361" t="str">
        <f t="shared" si="307"/>
        <v>GROEN</v>
      </c>
      <c r="K1361">
        <v>2326</v>
      </c>
      <c r="L1361">
        <v>1864</v>
      </c>
      <c r="M1361">
        <v>4190</v>
      </c>
      <c r="N1361">
        <v>0</v>
      </c>
      <c r="O1361" t="str">
        <f>("2")</f>
        <v>2</v>
      </c>
      <c r="P1361" t="str">
        <f>("Claesen Mieke")</f>
        <v>Claesen Mieke</v>
      </c>
      <c r="Q1361">
        <v>1113</v>
      </c>
    </row>
    <row r="1362" spans="1:19" x14ac:dyDescent="0.3">
      <c r="A1362" t="s">
        <v>0</v>
      </c>
      <c r="B1362" s="1">
        <v>45578</v>
      </c>
      <c r="C1362" t="str">
        <f t="shared" si="302"/>
        <v>73083</v>
      </c>
      <c r="D1362" t="s">
        <v>13</v>
      </c>
      <c r="E1362" t="str">
        <f t="shared" si="303"/>
        <v>7</v>
      </c>
      <c r="F1362">
        <v>140772</v>
      </c>
      <c r="G1362">
        <v>91118</v>
      </c>
      <c r="H1362">
        <v>4498</v>
      </c>
      <c r="I1362" t="str">
        <f t="shared" si="306"/>
        <v>7</v>
      </c>
      <c r="J1362" t="str">
        <f t="shared" si="307"/>
        <v>GROEN</v>
      </c>
      <c r="K1362">
        <v>2326</v>
      </c>
      <c r="L1362">
        <v>1864</v>
      </c>
      <c r="M1362">
        <v>4190</v>
      </c>
      <c r="N1362">
        <v>0</v>
      </c>
      <c r="O1362" t="str">
        <f>("3")</f>
        <v>3</v>
      </c>
      <c r="P1362" t="str">
        <f>("Uitdebroeks Kris")</f>
        <v>Uitdebroeks Kris</v>
      </c>
      <c r="Q1362">
        <v>612</v>
      </c>
    </row>
    <row r="1363" spans="1:19" x14ac:dyDescent="0.3">
      <c r="A1363" t="s">
        <v>0</v>
      </c>
      <c r="B1363" s="1">
        <v>45578</v>
      </c>
      <c r="C1363" t="str">
        <f t="shared" si="302"/>
        <v>73083</v>
      </c>
      <c r="D1363" t="s">
        <v>13</v>
      </c>
      <c r="E1363" t="str">
        <f t="shared" si="303"/>
        <v>7</v>
      </c>
      <c r="F1363">
        <v>140772</v>
      </c>
      <c r="G1363">
        <v>91118</v>
      </c>
      <c r="H1363">
        <v>4498</v>
      </c>
      <c r="I1363" t="str">
        <f t="shared" si="306"/>
        <v>7</v>
      </c>
      <c r="J1363" t="str">
        <f t="shared" si="307"/>
        <v>GROEN</v>
      </c>
      <c r="K1363">
        <v>2326</v>
      </c>
      <c r="L1363">
        <v>1864</v>
      </c>
      <c r="M1363">
        <v>4190</v>
      </c>
      <c r="N1363">
        <v>0</v>
      </c>
      <c r="O1363" t="str">
        <f>("4")</f>
        <v>4</v>
      </c>
      <c r="P1363" t="str">
        <f>("Michalik Tamara")</f>
        <v>Michalik Tamara</v>
      </c>
      <c r="Q1363">
        <v>666</v>
      </c>
    </row>
    <row r="1364" spans="1:19" x14ac:dyDescent="0.3">
      <c r="A1364" t="s">
        <v>0</v>
      </c>
      <c r="B1364" s="1">
        <v>45578</v>
      </c>
      <c r="C1364" t="str">
        <f t="shared" si="302"/>
        <v>73083</v>
      </c>
      <c r="D1364" t="s">
        <v>13</v>
      </c>
      <c r="E1364" t="str">
        <f t="shared" si="303"/>
        <v>7</v>
      </c>
      <c r="F1364">
        <v>140772</v>
      </c>
      <c r="G1364">
        <v>91118</v>
      </c>
      <c r="H1364">
        <v>4498</v>
      </c>
      <c r="I1364" t="str">
        <f t="shared" si="306"/>
        <v>7</v>
      </c>
      <c r="J1364" t="str">
        <f t="shared" si="307"/>
        <v>GROEN</v>
      </c>
      <c r="K1364">
        <v>2326</v>
      </c>
      <c r="L1364">
        <v>1864</v>
      </c>
      <c r="M1364">
        <v>4190</v>
      </c>
      <c r="N1364">
        <v>0</v>
      </c>
      <c r="O1364" t="str">
        <f>("5")</f>
        <v>5</v>
      </c>
      <c r="P1364" t="str">
        <f>("Vandendriessche Pascal")</f>
        <v>Vandendriessche Pascal</v>
      </c>
      <c r="Q1364">
        <v>505</v>
      </c>
    </row>
    <row r="1365" spans="1:19" x14ac:dyDescent="0.3">
      <c r="A1365" t="s">
        <v>0</v>
      </c>
      <c r="B1365" s="1">
        <v>45578</v>
      </c>
      <c r="C1365" t="str">
        <f t="shared" si="302"/>
        <v>73083</v>
      </c>
      <c r="D1365" t="s">
        <v>13</v>
      </c>
      <c r="E1365" t="str">
        <f t="shared" si="303"/>
        <v>7</v>
      </c>
      <c r="F1365">
        <v>140772</v>
      </c>
      <c r="G1365">
        <v>91118</v>
      </c>
      <c r="H1365">
        <v>4498</v>
      </c>
      <c r="I1365" t="str">
        <f t="shared" si="306"/>
        <v>7</v>
      </c>
      <c r="J1365" t="str">
        <f t="shared" si="307"/>
        <v>GROEN</v>
      </c>
      <c r="K1365">
        <v>2326</v>
      </c>
      <c r="L1365">
        <v>1864</v>
      </c>
      <c r="M1365">
        <v>4190</v>
      </c>
      <c r="N1365">
        <v>0</v>
      </c>
      <c r="O1365" t="str">
        <f>("6")</f>
        <v>6</v>
      </c>
      <c r="P1365" t="str">
        <f>("Claesen Marie")</f>
        <v>Claesen Marie</v>
      </c>
      <c r="Q1365">
        <v>777</v>
      </c>
    </row>
    <row r="1366" spans="1:19" x14ac:dyDescent="0.3">
      <c r="A1366" t="s">
        <v>0</v>
      </c>
      <c r="B1366" s="1">
        <v>45578</v>
      </c>
      <c r="C1366" t="str">
        <f t="shared" si="302"/>
        <v>73083</v>
      </c>
      <c r="D1366" t="s">
        <v>13</v>
      </c>
      <c r="E1366" t="str">
        <f t="shared" si="303"/>
        <v>7</v>
      </c>
      <c r="F1366">
        <v>140772</v>
      </c>
      <c r="G1366">
        <v>91118</v>
      </c>
      <c r="H1366">
        <v>4498</v>
      </c>
      <c r="I1366" t="str">
        <f t="shared" si="306"/>
        <v>7</v>
      </c>
      <c r="J1366" t="str">
        <f t="shared" si="307"/>
        <v>GROEN</v>
      </c>
      <c r="K1366">
        <v>2326</v>
      </c>
      <c r="L1366">
        <v>1864</v>
      </c>
      <c r="M1366">
        <v>4190</v>
      </c>
      <c r="N1366">
        <v>0</v>
      </c>
      <c r="O1366" t="str">
        <f>("7")</f>
        <v>7</v>
      </c>
      <c r="P1366" t="str">
        <f>("De Ryck Gunter")</f>
        <v>De Ryck Gunter</v>
      </c>
      <c r="Q1366">
        <v>544</v>
      </c>
    </row>
    <row r="1367" spans="1:19" x14ac:dyDescent="0.3">
      <c r="A1367" t="s">
        <v>0</v>
      </c>
      <c r="B1367" s="1">
        <v>45578</v>
      </c>
      <c r="C1367" t="str">
        <f t="shared" si="302"/>
        <v>73083</v>
      </c>
      <c r="D1367" t="s">
        <v>13</v>
      </c>
      <c r="E1367" t="str">
        <f t="shared" si="303"/>
        <v>7</v>
      </c>
      <c r="F1367">
        <v>140772</v>
      </c>
      <c r="G1367">
        <v>91118</v>
      </c>
      <c r="H1367">
        <v>4498</v>
      </c>
      <c r="I1367" t="str">
        <f>("8")</f>
        <v>8</v>
      </c>
      <c r="J1367" t="str">
        <f>("Volt")</f>
        <v>Volt</v>
      </c>
      <c r="K1367">
        <v>133</v>
      </c>
      <c r="L1367">
        <v>168</v>
      </c>
      <c r="M1367">
        <v>301</v>
      </c>
      <c r="N1367">
        <v>0</v>
      </c>
      <c r="O1367" t="str">
        <f>("1")</f>
        <v>1</v>
      </c>
      <c r="P1367" t="str">
        <f>("Budé Jenna")</f>
        <v>Budé Jenna</v>
      </c>
      <c r="Q1367">
        <v>168</v>
      </c>
    </row>
    <row r="1368" spans="1:19" x14ac:dyDescent="0.3">
      <c r="A1368" t="s">
        <v>0</v>
      </c>
      <c r="B1368" s="1">
        <v>45578</v>
      </c>
      <c r="C1368" t="str">
        <f t="shared" ref="C1368:C1399" si="308">("13040")</f>
        <v>13040</v>
      </c>
      <c r="D1368" t="s">
        <v>14</v>
      </c>
      <c r="E1368" t="str">
        <f t="shared" ref="E1368:E1399" si="309">("9")</f>
        <v>9</v>
      </c>
      <c r="F1368">
        <v>346855</v>
      </c>
      <c r="G1368">
        <v>220759</v>
      </c>
      <c r="H1368">
        <v>8311</v>
      </c>
      <c r="I1368" t="str">
        <f t="shared" ref="I1368:I1376" si="310">("1")</f>
        <v>1</v>
      </c>
      <c r="J1368" t="str">
        <f t="shared" ref="J1368:J1376" si="311">("Vooruit")</f>
        <v>Vooruit</v>
      </c>
      <c r="K1368">
        <v>11627</v>
      </c>
      <c r="L1368">
        <v>15115</v>
      </c>
      <c r="M1368">
        <v>26742</v>
      </c>
      <c r="N1368">
        <v>1</v>
      </c>
      <c r="O1368" t="str">
        <f>("1")</f>
        <v>1</v>
      </c>
      <c r="P1368" t="str">
        <f>("Beels Jinnih")</f>
        <v>Beels Jinnih</v>
      </c>
      <c r="Q1368">
        <v>9296</v>
      </c>
      <c r="R1368">
        <v>1</v>
      </c>
    </row>
    <row r="1369" spans="1:19" x14ac:dyDescent="0.3">
      <c r="A1369" t="s">
        <v>0</v>
      </c>
      <c r="B1369" s="1">
        <v>45578</v>
      </c>
      <c r="C1369" t="str">
        <f t="shared" si="308"/>
        <v>13040</v>
      </c>
      <c r="D1369" t="s">
        <v>14</v>
      </c>
      <c r="E1369" t="str">
        <f t="shared" si="309"/>
        <v>9</v>
      </c>
      <c r="F1369">
        <v>346855</v>
      </c>
      <c r="G1369">
        <v>220759</v>
      </c>
      <c r="H1369">
        <v>8311</v>
      </c>
      <c r="I1369" t="str">
        <f t="shared" si="310"/>
        <v>1</v>
      </c>
      <c r="J1369" t="str">
        <f t="shared" si="311"/>
        <v>Vooruit</v>
      </c>
      <c r="K1369">
        <v>11627</v>
      </c>
      <c r="L1369">
        <v>15115</v>
      </c>
      <c r="M1369">
        <v>26742</v>
      </c>
      <c r="N1369">
        <v>1</v>
      </c>
      <c r="O1369" t="str">
        <f>("2")</f>
        <v>2</v>
      </c>
      <c r="P1369" t="str">
        <f>("De Peuter Thomas")</f>
        <v>De Peuter Thomas</v>
      </c>
      <c r="Q1369">
        <v>2559</v>
      </c>
      <c r="S1369">
        <v>3</v>
      </c>
    </row>
    <row r="1370" spans="1:19" x14ac:dyDescent="0.3">
      <c r="A1370" t="s">
        <v>0</v>
      </c>
      <c r="B1370" s="1">
        <v>45578</v>
      </c>
      <c r="C1370" t="str">
        <f t="shared" si="308"/>
        <v>13040</v>
      </c>
      <c r="D1370" t="s">
        <v>14</v>
      </c>
      <c r="E1370" t="str">
        <f t="shared" si="309"/>
        <v>9</v>
      </c>
      <c r="F1370">
        <v>346855</v>
      </c>
      <c r="G1370">
        <v>220759</v>
      </c>
      <c r="H1370">
        <v>8311</v>
      </c>
      <c r="I1370" t="str">
        <f t="shared" si="310"/>
        <v>1</v>
      </c>
      <c r="J1370" t="str">
        <f t="shared" si="311"/>
        <v>Vooruit</v>
      </c>
      <c r="K1370">
        <v>11627</v>
      </c>
      <c r="L1370">
        <v>15115</v>
      </c>
      <c r="M1370">
        <v>26742</v>
      </c>
      <c r="N1370">
        <v>1</v>
      </c>
      <c r="O1370" t="str">
        <f>("3")</f>
        <v>3</v>
      </c>
      <c r="P1370" t="str">
        <f>("Kenzeler Andrea")</f>
        <v>Kenzeler Andrea</v>
      </c>
      <c r="Q1370">
        <v>2145</v>
      </c>
      <c r="S1370">
        <v>4</v>
      </c>
    </row>
    <row r="1371" spans="1:19" x14ac:dyDescent="0.3">
      <c r="A1371" t="s">
        <v>0</v>
      </c>
      <c r="B1371" s="1">
        <v>45578</v>
      </c>
      <c r="C1371" t="str">
        <f t="shared" si="308"/>
        <v>13040</v>
      </c>
      <c r="D1371" t="s">
        <v>14</v>
      </c>
      <c r="E1371" t="str">
        <f t="shared" si="309"/>
        <v>9</v>
      </c>
      <c r="F1371">
        <v>346855</v>
      </c>
      <c r="G1371">
        <v>220759</v>
      </c>
      <c r="H1371">
        <v>8311</v>
      </c>
      <c r="I1371" t="str">
        <f t="shared" si="310"/>
        <v>1</v>
      </c>
      <c r="J1371" t="str">
        <f t="shared" si="311"/>
        <v>Vooruit</v>
      </c>
      <c r="K1371">
        <v>11627</v>
      </c>
      <c r="L1371">
        <v>15115</v>
      </c>
      <c r="M1371">
        <v>26742</v>
      </c>
      <c r="N1371">
        <v>1</v>
      </c>
      <c r="O1371" t="str">
        <f>("4")</f>
        <v>4</v>
      </c>
      <c r="P1371" t="str">
        <f>("Gorremans Ronny")</f>
        <v>Gorremans Ronny</v>
      </c>
      <c r="Q1371">
        <v>1731</v>
      </c>
      <c r="S1371">
        <v>7</v>
      </c>
    </row>
    <row r="1372" spans="1:19" x14ac:dyDescent="0.3">
      <c r="A1372" t="s">
        <v>0</v>
      </c>
      <c r="B1372" s="1">
        <v>45578</v>
      </c>
      <c r="C1372" t="str">
        <f t="shared" si="308"/>
        <v>13040</v>
      </c>
      <c r="D1372" t="s">
        <v>14</v>
      </c>
      <c r="E1372" t="str">
        <f t="shared" si="309"/>
        <v>9</v>
      </c>
      <c r="F1372">
        <v>346855</v>
      </c>
      <c r="G1372">
        <v>220759</v>
      </c>
      <c r="H1372">
        <v>8311</v>
      </c>
      <c r="I1372" t="str">
        <f t="shared" si="310"/>
        <v>1</v>
      </c>
      <c r="J1372" t="str">
        <f t="shared" si="311"/>
        <v>Vooruit</v>
      </c>
      <c r="K1372">
        <v>11627</v>
      </c>
      <c r="L1372">
        <v>15115</v>
      </c>
      <c r="M1372">
        <v>26742</v>
      </c>
      <c r="N1372">
        <v>1</v>
      </c>
      <c r="O1372" t="str">
        <f>("5")</f>
        <v>5</v>
      </c>
      <c r="P1372" t="str">
        <f>("El Yakhloufi Achraf")</f>
        <v>El Yakhloufi Achraf</v>
      </c>
      <c r="Q1372">
        <v>3393</v>
      </c>
      <c r="S1372">
        <v>1</v>
      </c>
    </row>
    <row r="1373" spans="1:19" x14ac:dyDescent="0.3">
      <c r="A1373" t="s">
        <v>0</v>
      </c>
      <c r="B1373" s="1">
        <v>45578</v>
      </c>
      <c r="C1373" t="str">
        <f t="shared" si="308"/>
        <v>13040</v>
      </c>
      <c r="D1373" t="s">
        <v>14</v>
      </c>
      <c r="E1373" t="str">
        <f t="shared" si="309"/>
        <v>9</v>
      </c>
      <c r="F1373">
        <v>346855</v>
      </c>
      <c r="G1373">
        <v>220759</v>
      </c>
      <c r="H1373">
        <v>8311</v>
      </c>
      <c r="I1373" t="str">
        <f t="shared" si="310"/>
        <v>1</v>
      </c>
      <c r="J1373" t="str">
        <f t="shared" si="311"/>
        <v>Vooruit</v>
      </c>
      <c r="K1373">
        <v>11627</v>
      </c>
      <c r="L1373">
        <v>15115</v>
      </c>
      <c r="M1373">
        <v>26742</v>
      </c>
      <c r="N1373">
        <v>1</v>
      </c>
      <c r="O1373" t="str">
        <f>("6")</f>
        <v>6</v>
      </c>
      <c r="P1373" t="str">
        <f>("Rutten Cris")</f>
        <v>Rutten Cris</v>
      </c>
      <c r="Q1373">
        <v>1837</v>
      </c>
      <c r="S1373">
        <v>6</v>
      </c>
    </row>
    <row r="1374" spans="1:19" x14ac:dyDescent="0.3">
      <c r="A1374" t="s">
        <v>0</v>
      </c>
      <c r="B1374" s="1">
        <v>45578</v>
      </c>
      <c r="C1374" t="str">
        <f t="shared" si="308"/>
        <v>13040</v>
      </c>
      <c r="D1374" t="s">
        <v>14</v>
      </c>
      <c r="E1374" t="str">
        <f t="shared" si="309"/>
        <v>9</v>
      </c>
      <c r="F1374">
        <v>346855</v>
      </c>
      <c r="G1374">
        <v>220759</v>
      </c>
      <c r="H1374">
        <v>8311</v>
      </c>
      <c r="I1374" t="str">
        <f t="shared" si="310"/>
        <v>1</v>
      </c>
      <c r="J1374" t="str">
        <f t="shared" si="311"/>
        <v>Vooruit</v>
      </c>
      <c r="K1374">
        <v>11627</v>
      </c>
      <c r="L1374">
        <v>15115</v>
      </c>
      <c r="M1374">
        <v>26742</v>
      </c>
      <c r="N1374">
        <v>1</v>
      </c>
      <c r="O1374" t="str">
        <f>("7")</f>
        <v>7</v>
      </c>
      <c r="P1374" t="str">
        <f>("Reynders Zjeen")</f>
        <v>Reynders Zjeen</v>
      </c>
      <c r="Q1374">
        <v>1893</v>
      </c>
      <c r="S1374">
        <v>5</v>
      </c>
    </row>
    <row r="1375" spans="1:19" x14ac:dyDescent="0.3">
      <c r="A1375" t="s">
        <v>0</v>
      </c>
      <c r="B1375" s="1">
        <v>45578</v>
      </c>
      <c r="C1375" t="str">
        <f t="shared" si="308"/>
        <v>13040</v>
      </c>
      <c r="D1375" t="s">
        <v>14</v>
      </c>
      <c r="E1375" t="str">
        <f t="shared" si="309"/>
        <v>9</v>
      </c>
      <c r="F1375">
        <v>346855</v>
      </c>
      <c r="G1375">
        <v>220759</v>
      </c>
      <c r="H1375">
        <v>8311</v>
      </c>
      <c r="I1375" t="str">
        <f t="shared" si="310"/>
        <v>1</v>
      </c>
      <c r="J1375" t="str">
        <f t="shared" si="311"/>
        <v>Vooruit</v>
      </c>
      <c r="K1375">
        <v>11627</v>
      </c>
      <c r="L1375">
        <v>15115</v>
      </c>
      <c r="M1375">
        <v>26742</v>
      </c>
      <c r="N1375">
        <v>1</v>
      </c>
      <c r="O1375" t="str">
        <f>("8")</f>
        <v>8</v>
      </c>
      <c r="P1375" t="str">
        <f>("van den Boogaert Nico")</f>
        <v>van den Boogaert Nico</v>
      </c>
      <c r="Q1375">
        <v>1575</v>
      </c>
      <c r="S1375">
        <v>8</v>
      </c>
    </row>
    <row r="1376" spans="1:19" x14ac:dyDescent="0.3">
      <c r="A1376" t="s">
        <v>0</v>
      </c>
      <c r="B1376" s="1">
        <v>45578</v>
      </c>
      <c r="C1376" t="str">
        <f t="shared" si="308"/>
        <v>13040</v>
      </c>
      <c r="D1376" t="s">
        <v>14</v>
      </c>
      <c r="E1376" t="str">
        <f t="shared" si="309"/>
        <v>9</v>
      </c>
      <c r="F1376">
        <v>346855</v>
      </c>
      <c r="G1376">
        <v>220759</v>
      </c>
      <c r="H1376">
        <v>8311</v>
      </c>
      <c r="I1376" t="str">
        <f t="shared" si="310"/>
        <v>1</v>
      </c>
      <c r="J1376" t="str">
        <f t="shared" si="311"/>
        <v>Vooruit</v>
      </c>
      <c r="K1376">
        <v>11627</v>
      </c>
      <c r="L1376">
        <v>15115</v>
      </c>
      <c r="M1376">
        <v>26742</v>
      </c>
      <c r="N1376">
        <v>1</v>
      </c>
      <c r="O1376" t="str">
        <f>("9")</f>
        <v>9</v>
      </c>
      <c r="P1376" t="str">
        <f>("Van Tendeloo Kelly")</f>
        <v>Van Tendeloo Kelly</v>
      </c>
      <c r="Q1376">
        <v>3225</v>
      </c>
      <c r="S1376">
        <v>2</v>
      </c>
    </row>
    <row r="1377" spans="1:19" x14ac:dyDescent="0.3">
      <c r="A1377" t="s">
        <v>0</v>
      </c>
      <c r="B1377" s="1">
        <v>45578</v>
      </c>
      <c r="C1377" t="str">
        <f t="shared" si="308"/>
        <v>13040</v>
      </c>
      <c r="D1377" t="s">
        <v>14</v>
      </c>
      <c r="E1377" t="str">
        <f t="shared" si="309"/>
        <v>9</v>
      </c>
      <c r="F1377">
        <v>346855</v>
      </c>
      <c r="G1377">
        <v>220759</v>
      </c>
      <c r="H1377">
        <v>8311</v>
      </c>
      <c r="I1377" t="str">
        <f t="shared" ref="I1377:I1385" si="312">("2")</f>
        <v>2</v>
      </c>
      <c r="J1377" t="str">
        <f t="shared" ref="J1377:J1385" si="313">("PVDA")</f>
        <v>PVDA</v>
      </c>
      <c r="K1377">
        <v>3346</v>
      </c>
      <c r="L1377">
        <v>3923</v>
      </c>
      <c r="M1377">
        <v>7269</v>
      </c>
      <c r="N1377">
        <v>0</v>
      </c>
      <c r="O1377" t="str">
        <f>("1")</f>
        <v>1</v>
      </c>
      <c r="P1377" t="str">
        <f>("Allaerts Peter")</f>
        <v>Allaerts Peter</v>
      </c>
      <c r="Q1377">
        <v>2272</v>
      </c>
    </row>
    <row r="1378" spans="1:19" x14ac:dyDescent="0.3">
      <c r="A1378" t="s">
        <v>0</v>
      </c>
      <c r="B1378" s="1">
        <v>45578</v>
      </c>
      <c r="C1378" t="str">
        <f t="shared" si="308"/>
        <v>13040</v>
      </c>
      <c r="D1378" t="s">
        <v>14</v>
      </c>
      <c r="E1378" t="str">
        <f t="shared" si="309"/>
        <v>9</v>
      </c>
      <c r="F1378">
        <v>346855</v>
      </c>
      <c r="G1378">
        <v>220759</v>
      </c>
      <c r="H1378">
        <v>8311</v>
      </c>
      <c r="I1378" t="str">
        <f t="shared" si="312"/>
        <v>2</v>
      </c>
      <c r="J1378" t="str">
        <f t="shared" si="313"/>
        <v>PVDA</v>
      </c>
      <c r="K1378">
        <v>3346</v>
      </c>
      <c r="L1378">
        <v>3923</v>
      </c>
      <c r="M1378">
        <v>7269</v>
      </c>
      <c r="N1378">
        <v>0</v>
      </c>
      <c r="O1378" t="str">
        <f>("2")</f>
        <v>2</v>
      </c>
      <c r="P1378" t="str">
        <f>("Vereecken Charline")</f>
        <v>Vereecken Charline</v>
      </c>
      <c r="Q1378">
        <v>1086</v>
      </c>
    </row>
    <row r="1379" spans="1:19" x14ac:dyDescent="0.3">
      <c r="A1379" t="s">
        <v>0</v>
      </c>
      <c r="B1379" s="1">
        <v>45578</v>
      </c>
      <c r="C1379" t="str">
        <f t="shared" si="308"/>
        <v>13040</v>
      </c>
      <c r="D1379" t="s">
        <v>14</v>
      </c>
      <c r="E1379" t="str">
        <f t="shared" si="309"/>
        <v>9</v>
      </c>
      <c r="F1379">
        <v>346855</v>
      </c>
      <c r="G1379">
        <v>220759</v>
      </c>
      <c r="H1379">
        <v>8311</v>
      </c>
      <c r="I1379" t="str">
        <f t="shared" si="312"/>
        <v>2</v>
      </c>
      <c r="J1379" t="str">
        <f t="shared" si="313"/>
        <v>PVDA</v>
      </c>
      <c r="K1379">
        <v>3346</v>
      </c>
      <c r="L1379">
        <v>3923</v>
      </c>
      <c r="M1379">
        <v>7269</v>
      </c>
      <c r="N1379">
        <v>0</v>
      </c>
      <c r="O1379" t="str">
        <f>("3")</f>
        <v>3</v>
      </c>
      <c r="P1379" t="str">
        <f>("Vansina Maarten")</f>
        <v>Vansina Maarten</v>
      </c>
      <c r="Q1379">
        <v>858</v>
      </c>
    </row>
    <row r="1380" spans="1:19" x14ac:dyDescent="0.3">
      <c r="A1380" t="s">
        <v>0</v>
      </c>
      <c r="B1380" s="1">
        <v>45578</v>
      </c>
      <c r="C1380" t="str">
        <f t="shared" si="308"/>
        <v>13040</v>
      </c>
      <c r="D1380" t="s">
        <v>14</v>
      </c>
      <c r="E1380" t="str">
        <f t="shared" si="309"/>
        <v>9</v>
      </c>
      <c r="F1380">
        <v>346855</v>
      </c>
      <c r="G1380">
        <v>220759</v>
      </c>
      <c r="H1380">
        <v>8311</v>
      </c>
      <c r="I1380" t="str">
        <f t="shared" si="312"/>
        <v>2</v>
      </c>
      <c r="J1380" t="str">
        <f t="shared" si="313"/>
        <v>PVDA</v>
      </c>
      <c r="K1380">
        <v>3346</v>
      </c>
      <c r="L1380">
        <v>3923</v>
      </c>
      <c r="M1380">
        <v>7269</v>
      </c>
      <c r="N1380">
        <v>0</v>
      </c>
      <c r="O1380" t="str">
        <f>("4")</f>
        <v>4</v>
      </c>
      <c r="P1380" t="str">
        <f>("Michielssen Naomi")</f>
        <v>Michielssen Naomi</v>
      </c>
      <c r="Q1380">
        <v>916</v>
      </c>
    </row>
    <row r="1381" spans="1:19" x14ac:dyDescent="0.3">
      <c r="A1381" t="s">
        <v>0</v>
      </c>
      <c r="B1381" s="1">
        <v>45578</v>
      </c>
      <c r="C1381" t="str">
        <f t="shared" si="308"/>
        <v>13040</v>
      </c>
      <c r="D1381" t="s">
        <v>14</v>
      </c>
      <c r="E1381" t="str">
        <f t="shared" si="309"/>
        <v>9</v>
      </c>
      <c r="F1381">
        <v>346855</v>
      </c>
      <c r="G1381">
        <v>220759</v>
      </c>
      <c r="H1381">
        <v>8311</v>
      </c>
      <c r="I1381" t="str">
        <f t="shared" si="312"/>
        <v>2</v>
      </c>
      <c r="J1381" t="str">
        <f t="shared" si="313"/>
        <v>PVDA</v>
      </c>
      <c r="K1381">
        <v>3346</v>
      </c>
      <c r="L1381">
        <v>3923</v>
      </c>
      <c r="M1381">
        <v>7269</v>
      </c>
      <c r="N1381">
        <v>0</v>
      </c>
      <c r="O1381" t="str">
        <f>("5")</f>
        <v>5</v>
      </c>
      <c r="P1381" t="str">
        <f>("Hendrickx Eva")</f>
        <v>Hendrickx Eva</v>
      </c>
      <c r="Q1381">
        <v>908</v>
      </c>
    </row>
    <row r="1382" spans="1:19" x14ac:dyDescent="0.3">
      <c r="A1382" t="s">
        <v>0</v>
      </c>
      <c r="B1382" s="1">
        <v>45578</v>
      </c>
      <c r="C1382" t="str">
        <f t="shared" si="308"/>
        <v>13040</v>
      </c>
      <c r="D1382" t="s">
        <v>14</v>
      </c>
      <c r="E1382" t="str">
        <f t="shared" si="309"/>
        <v>9</v>
      </c>
      <c r="F1382">
        <v>346855</v>
      </c>
      <c r="G1382">
        <v>220759</v>
      </c>
      <c r="H1382">
        <v>8311</v>
      </c>
      <c r="I1382" t="str">
        <f t="shared" si="312"/>
        <v>2</v>
      </c>
      <c r="J1382" t="str">
        <f t="shared" si="313"/>
        <v>PVDA</v>
      </c>
      <c r="K1382">
        <v>3346</v>
      </c>
      <c r="L1382">
        <v>3923</v>
      </c>
      <c r="M1382">
        <v>7269</v>
      </c>
      <c r="N1382">
        <v>0</v>
      </c>
      <c r="O1382" t="str">
        <f>("6")</f>
        <v>6</v>
      </c>
      <c r="P1382" t="str">
        <f>("De Ruysscher Ivan")</f>
        <v>De Ruysscher Ivan</v>
      </c>
      <c r="Q1382">
        <v>547</v>
      </c>
    </row>
    <row r="1383" spans="1:19" x14ac:dyDescent="0.3">
      <c r="A1383" t="s">
        <v>0</v>
      </c>
      <c r="B1383" s="1">
        <v>45578</v>
      </c>
      <c r="C1383" t="str">
        <f t="shared" si="308"/>
        <v>13040</v>
      </c>
      <c r="D1383" t="s">
        <v>14</v>
      </c>
      <c r="E1383" t="str">
        <f t="shared" si="309"/>
        <v>9</v>
      </c>
      <c r="F1383">
        <v>346855</v>
      </c>
      <c r="G1383">
        <v>220759</v>
      </c>
      <c r="H1383">
        <v>8311</v>
      </c>
      <c r="I1383" t="str">
        <f t="shared" si="312"/>
        <v>2</v>
      </c>
      <c r="J1383" t="str">
        <f t="shared" si="313"/>
        <v>PVDA</v>
      </c>
      <c r="K1383">
        <v>3346</v>
      </c>
      <c r="L1383">
        <v>3923</v>
      </c>
      <c r="M1383">
        <v>7269</v>
      </c>
      <c r="N1383">
        <v>0</v>
      </c>
      <c r="O1383" t="str">
        <f>("7")</f>
        <v>7</v>
      </c>
      <c r="P1383" t="str">
        <f>("Gashi Ana")</f>
        <v>Gashi Ana</v>
      </c>
      <c r="Q1383">
        <v>791</v>
      </c>
    </row>
    <row r="1384" spans="1:19" x14ac:dyDescent="0.3">
      <c r="A1384" t="s">
        <v>0</v>
      </c>
      <c r="B1384" s="1">
        <v>45578</v>
      </c>
      <c r="C1384" t="str">
        <f t="shared" si="308"/>
        <v>13040</v>
      </c>
      <c r="D1384" t="s">
        <v>14</v>
      </c>
      <c r="E1384" t="str">
        <f t="shared" si="309"/>
        <v>9</v>
      </c>
      <c r="F1384">
        <v>346855</v>
      </c>
      <c r="G1384">
        <v>220759</v>
      </c>
      <c r="H1384">
        <v>8311</v>
      </c>
      <c r="I1384" t="str">
        <f t="shared" si="312"/>
        <v>2</v>
      </c>
      <c r="J1384" t="str">
        <f t="shared" si="313"/>
        <v>PVDA</v>
      </c>
      <c r="K1384">
        <v>3346</v>
      </c>
      <c r="L1384">
        <v>3923</v>
      </c>
      <c r="M1384">
        <v>7269</v>
      </c>
      <c r="N1384">
        <v>0</v>
      </c>
      <c r="O1384" t="str">
        <f>("8")</f>
        <v>8</v>
      </c>
      <c r="P1384" t="str">
        <f>("Verschueren Nick")</f>
        <v>Verschueren Nick</v>
      </c>
      <c r="Q1384">
        <v>601</v>
      </c>
    </row>
    <row r="1385" spans="1:19" x14ac:dyDescent="0.3">
      <c r="A1385" t="s">
        <v>0</v>
      </c>
      <c r="B1385" s="1">
        <v>45578</v>
      </c>
      <c r="C1385" t="str">
        <f t="shared" si="308"/>
        <v>13040</v>
      </c>
      <c r="D1385" t="s">
        <v>14</v>
      </c>
      <c r="E1385" t="str">
        <f t="shared" si="309"/>
        <v>9</v>
      </c>
      <c r="F1385">
        <v>346855</v>
      </c>
      <c r="G1385">
        <v>220759</v>
      </c>
      <c r="H1385">
        <v>8311</v>
      </c>
      <c r="I1385" t="str">
        <f t="shared" si="312"/>
        <v>2</v>
      </c>
      <c r="J1385" t="str">
        <f t="shared" si="313"/>
        <v>PVDA</v>
      </c>
      <c r="K1385">
        <v>3346</v>
      </c>
      <c r="L1385">
        <v>3923</v>
      </c>
      <c r="M1385">
        <v>7269</v>
      </c>
      <c r="N1385">
        <v>0</v>
      </c>
      <c r="O1385" t="str">
        <f>("9")</f>
        <v>9</v>
      </c>
      <c r="P1385" t="str">
        <f>("Tibos Annemie")</f>
        <v>Tibos Annemie</v>
      </c>
      <c r="Q1385">
        <v>866</v>
      </c>
    </row>
    <row r="1386" spans="1:19" x14ac:dyDescent="0.3">
      <c r="A1386" t="s">
        <v>0</v>
      </c>
      <c r="B1386" s="1">
        <v>45578</v>
      </c>
      <c r="C1386" t="str">
        <f t="shared" si="308"/>
        <v>13040</v>
      </c>
      <c r="D1386" t="s">
        <v>14</v>
      </c>
      <c r="E1386" t="str">
        <f t="shared" si="309"/>
        <v>9</v>
      </c>
      <c r="F1386">
        <v>346855</v>
      </c>
      <c r="G1386">
        <v>220759</v>
      </c>
      <c r="H1386">
        <v>8311</v>
      </c>
      <c r="I1386" t="str">
        <f t="shared" ref="I1386:I1394" si="314">("3")</f>
        <v>3</v>
      </c>
      <c r="J1386" t="str">
        <f t="shared" ref="J1386:J1394" si="315">("cd&amp;v")</f>
        <v>cd&amp;v</v>
      </c>
      <c r="K1386">
        <v>16112</v>
      </c>
      <c r="L1386">
        <v>31264</v>
      </c>
      <c r="M1386">
        <v>47376</v>
      </c>
      <c r="N1386">
        <v>2</v>
      </c>
      <c r="O1386" t="str">
        <f>("1")</f>
        <v>1</v>
      </c>
      <c r="P1386" t="str">
        <f>("Helsen Kathleen")</f>
        <v>Helsen Kathleen</v>
      </c>
      <c r="Q1386">
        <v>19810</v>
      </c>
      <c r="R1386">
        <v>1</v>
      </c>
    </row>
    <row r="1387" spans="1:19" x14ac:dyDescent="0.3">
      <c r="A1387" t="s">
        <v>0</v>
      </c>
      <c r="B1387" s="1">
        <v>45578</v>
      </c>
      <c r="C1387" t="str">
        <f t="shared" si="308"/>
        <v>13040</v>
      </c>
      <c r="D1387" t="s">
        <v>14</v>
      </c>
      <c r="E1387" t="str">
        <f t="shared" si="309"/>
        <v>9</v>
      </c>
      <c r="F1387">
        <v>346855</v>
      </c>
      <c r="G1387">
        <v>220759</v>
      </c>
      <c r="H1387">
        <v>8311</v>
      </c>
      <c r="I1387" t="str">
        <f t="shared" si="314"/>
        <v>3</v>
      </c>
      <c r="J1387" t="str">
        <f t="shared" si="315"/>
        <v>cd&amp;v</v>
      </c>
      <c r="K1387">
        <v>16112</v>
      </c>
      <c r="L1387">
        <v>31264</v>
      </c>
      <c r="M1387">
        <v>47376</v>
      </c>
      <c r="N1387">
        <v>2</v>
      </c>
      <c r="O1387" t="str">
        <f>("2")</f>
        <v>2</v>
      </c>
      <c r="P1387" t="str">
        <f>("Segers Filip")</f>
        <v>Segers Filip</v>
      </c>
      <c r="Q1387">
        <v>4675</v>
      </c>
      <c r="S1387">
        <v>2</v>
      </c>
    </row>
    <row r="1388" spans="1:19" x14ac:dyDescent="0.3">
      <c r="A1388" t="s">
        <v>0</v>
      </c>
      <c r="B1388" s="1">
        <v>45578</v>
      </c>
      <c r="C1388" t="str">
        <f t="shared" si="308"/>
        <v>13040</v>
      </c>
      <c r="D1388" t="s">
        <v>14</v>
      </c>
      <c r="E1388" t="str">
        <f t="shared" si="309"/>
        <v>9</v>
      </c>
      <c r="F1388">
        <v>346855</v>
      </c>
      <c r="G1388">
        <v>220759</v>
      </c>
      <c r="H1388">
        <v>8311</v>
      </c>
      <c r="I1388" t="str">
        <f t="shared" si="314"/>
        <v>3</v>
      </c>
      <c r="J1388" t="str">
        <f t="shared" si="315"/>
        <v>cd&amp;v</v>
      </c>
      <c r="K1388">
        <v>16112</v>
      </c>
      <c r="L1388">
        <v>31264</v>
      </c>
      <c r="M1388">
        <v>47376</v>
      </c>
      <c r="N1388">
        <v>2</v>
      </c>
      <c r="O1388" t="str">
        <f>("3")</f>
        <v>3</v>
      </c>
      <c r="P1388" t="str">
        <f>("Heurckmans Lieve")</f>
        <v>Heurckmans Lieve</v>
      </c>
      <c r="Q1388">
        <v>4840</v>
      </c>
      <c r="S1388">
        <v>1</v>
      </c>
    </row>
    <row r="1389" spans="1:19" x14ac:dyDescent="0.3">
      <c r="A1389" t="s">
        <v>0</v>
      </c>
      <c r="B1389" s="1">
        <v>45578</v>
      </c>
      <c r="C1389" t="str">
        <f t="shared" si="308"/>
        <v>13040</v>
      </c>
      <c r="D1389" t="s">
        <v>14</v>
      </c>
      <c r="E1389" t="str">
        <f t="shared" si="309"/>
        <v>9</v>
      </c>
      <c r="F1389">
        <v>346855</v>
      </c>
      <c r="G1389">
        <v>220759</v>
      </c>
      <c r="H1389">
        <v>8311</v>
      </c>
      <c r="I1389" t="str">
        <f t="shared" si="314"/>
        <v>3</v>
      </c>
      <c r="J1389" t="str">
        <f t="shared" si="315"/>
        <v>cd&amp;v</v>
      </c>
      <c r="K1389">
        <v>16112</v>
      </c>
      <c r="L1389">
        <v>31264</v>
      </c>
      <c r="M1389">
        <v>47376</v>
      </c>
      <c r="N1389">
        <v>2</v>
      </c>
      <c r="O1389" t="str">
        <f>("4")</f>
        <v>4</v>
      </c>
      <c r="P1389" t="str">
        <f>("Vermeiren Hilde")</f>
        <v>Vermeiren Hilde</v>
      </c>
      <c r="Q1389">
        <v>4637</v>
      </c>
      <c r="S1389">
        <v>3</v>
      </c>
    </row>
    <row r="1390" spans="1:19" x14ac:dyDescent="0.3">
      <c r="A1390" t="s">
        <v>0</v>
      </c>
      <c r="B1390" s="1">
        <v>45578</v>
      </c>
      <c r="C1390" t="str">
        <f t="shared" si="308"/>
        <v>13040</v>
      </c>
      <c r="D1390" t="s">
        <v>14</v>
      </c>
      <c r="E1390" t="str">
        <f t="shared" si="309"/>
        <v>9</v>
      </c>
      <c r="F1390">
        <v>346855</v>
      </c>
      <c r="G1390">
        <v>220759</v>
      </c>
      <c r="H1390">
        <v>8311</v>
      </c>
      <c r="I1390" t="str">
        <f t="shared" si="314"/>
        <v>3</v>
      </c>
      <c r="J1390" t="str">
        <f t="shared" si="315"/>
        <v>cd&amp;v</v>
      </c>
      <c r="K1390">
        <v>16112</v>
      </c>
      <c r="L1390">
        <v>31264</v>
      </c>
      <c r="M1390">
        <v>47376</v>
      </c>
      <c r="N1390">
        <v>2</v>
      </c>
      <c r="O1390" t="str">
        <f>("5")</f>
        <v>5</v>
      </c>
      <c r="P1390" t="str">
        <f>("Taverniers Bram")</f>
        <v>Taverniers Bram</v>
      </c>
      <c r="Q1390">
        <v>2146</v>
      </c>
      <c r="S1390">
        <v>7</v>
      </c>
    </row>
    <row r="1391" spans="1:19" x14ac:dyDescent="0.3">
      <c r="A1391" t="s">
        <v>0</v>
      </c>
      <c r="B1391" s="1">
        <v>45578</v>
      </c>
      <c r="C1391" t="str">
        <f t="shared" si="308"/>
        <v>13040</v>
      </c>
      <c r="D1391" t="s">
        <v>14</v>
      </c>
      <c r="E1391" t="str">
        <f t="shared" si="309"/>
        <v>9</v>
      </c>
      <c r="F1391">
        <v>346855</v>
      </c>
      <c r="G1391">
        <v>220759</v>
      </c>
      <c r="H1391">
        <v>8311</v>
      </c>
      <c r="I1391" t="str">
        <f t="shared" si="314"/>
        <v>3</v>
      </c>
      <c r="J1391" t="str">
        <f t="shared" si="315"/>
        <v>cd&amp;v</v>
      </c>
      <c r="K1391">
        <v>16112</v>
      </c>
      <c r="L1391">
        <v>31264</v>
      </c>
      <c r="M1391">
        <v>47376</v>
      </c>
      <c r="N1391">
        <v>2</v>
      </c>
      <c r="O1391" t="str">
        <f>("6")</f>
        <v>6</v>
      </c>
      <c r="P1391" t="str">
        <f>("Der Kinderen Annemie")</f>
        <v>Der Kinderen Annemie</v>
      </c>
      <c r="Q1391">
        <v>3538</v>
      </c>
      <c r="S1391">
        <v>5</v>
      </c>
    </row>
    <row r="1392" spans="1:19" x14ac:dyDescent="0.3">
      <c r="A1392" t="s">
        <v>0</v>
      </c>
      <c r="B1392" s="1">
        <v>45578</v>
      </c>
      <c r="C1392" t="str">
        <f t="shared" si="308"/>
        <v>13040</v>
      </c>
      <c r="D1392" t="s">
        <v>14</v>
      </c>
      <c r="E1392" t="str">
        <f t="shared" si="309"/>
        <v>9</v>
      </c>
      <c r="F1392">
        <v>346855</v>
      </c>
      <c r="G1392">
        <v>220759</v>
      </c>
      <c r="H1392">
        <v>8311</v>
      </c>
      <c r="I1392" t="str">
        <f t="shared" si="314"/>
        <v>3</v>
      </c>
      <c r="J1392" t="str">
        <f t="shared" si="315"/>
        <v>cd&amp;v</v>
      </c>
      <c r="K1392">
        <v>16112</v>
      </c>
      <c r="L1392">
        <v>31264</v>
      </c>
      <c r="M1392">
        <v>47376</v>
      </c>
      <c r="N1392">
        <v>2</v>
      </c>
      <c r="O1392" t="str">
        <f>("7")</f>
        <v>7</v>
      </c>
      <c r="P1392" t="str">
        <f>("Van Braband Mathias")</f>
        <v>Van Braband Mathias</v>
      </c>
      <c r="Q1392">
        <v>2679</v>
      </c>
      <c r="S1392">
        <v>6</v>
      </c>
    </row>
    <row r="1393" spans="1:19" x14ac:dyDescent="0.3">
      <c r="A1393" t="s">
        <v>0</v>
      </c>
      <c r="B1393" s="1">
        <v>45578</v>
      </c>
      <c r="C1393" t="str">
        <f t="shared" si="308"/>
        <v>13040</v>
      </c>
      <c r="D1393" t="s">
        <v>14</v>
      </c>
      <c r="E1393" t="str">
        <f t="shared" si="309"/>
        <v>9</v>
      </c>
      <c r="F1393">
        <v>346855</v>
      </c>
      <c r="G1393">
        <v>220759</v>
      </c>
      <c r="H1393">
        <v>8311</v>
      </c>
      <c r="I1393" t="str">
        <f t="shared" si="314"/>
        <v>3</v>
      </c>
      <c r="J1393" t="str">
        <f t="shared" si="315"/>
        <v>cd&amp;v</v>
      </c>
      <c r="K1393">
        <v>16112</v>
      </c>
      <c r="L1393">
        <v>31264</v>
      </c>
      <c r="M1393">
        <v>47376</v>
      </c>
      <c r="N1393">
        <v>2</v>
      </c>
      <c r="O1393" t="str">
        <f>("8")</f>
        <v>8</v>
      </c>
      <c r="P1393" t="str">
        <f>("Kennes Ward")</f>
        <v>Kennes Ward</v>
      </c>
      <c r="Q1393">
        <v>7213</v>
      </c>
      <c r="R1393">
        <v>2</v>
      </c>
    </row>
    <row r="1394" spans="1:19" x14ac:dyDescent="0.3">
      <c r="A1394" t="s">
        <v>0</v>
      </c>
      <c r="B1394" s="1">
        <v>45578</v>
      </c>
      <c r="C1394" t="str">
        <f t="shared" si="308"/>
        <v>13040</v>
      </c>
      <c r="D1394" t="s">
        <v>14</v>
      </c>
      <c r="E1394" t="str">
        <f t="shared" si="309"/>
        <v>9</v>
      </c>
      <c r="F1394">
        <v>346855</v>
      </c>
      <c r="G1394">
        <v>220759</v>
      </c>
      <c r="H1394">
        <v>8311</v>
      </c>
      <c r="I1394" t="str">
        <f t="shared" si="314"/>
        <v>3</v>
      </c>
      <c r="J1394" t="str">
        <f t="shared" si="315"/>
        <v>cd&amp;v</v>
      </c>
      <c r="K1394">
        <v>16112</v>
      </c>
      <c r="L1394">
        <v>31264</v>
      </c>
      <c r="M1394">
        <v>47376</v>
      </c>
      <c r="N1394">
        <v>2</v>
      </c>
      <c r="O1394" t="str">
        <f>("9")</f>
        <v>9</v>
      </c>
      <c r="P1394" t="str">
        <f>("Michiels Bart")</f>
        <v>Michiels Bart</v>
      </c>
      <c r="Q1394">
        <v>4261</v>
      </c>
      <c r="S1394">
        <v>4</v>
      </c>
    </row>
    <row r="1395" spans="1:19" x14ac:dyDescent="0.3">
      <c r="A1395" t="s">
        <v>0</v>
      </c>
      <c r="B1395" s="1">
        <v>45578</v>
      </c>
      <c r="C1395" t="str">
        <f t="shared" si="308"/>
        <v>13040</v>
      </c>
      <c r="D1395" t="s">
        <v>14</v>
      </c>
      <c r="E1395" t="str">
        <f t="shared" si="309"/>
        <v>9</v>
      </c>
      <c r="F1395">
        <v>346855</v>
      </c>
      <c r="G1395">
        <v>220759</v>
      </c>
      <c r="H1395">
        <v>8311</v>
      </c>
      <c r="I1395" t="str">
        <f t="shared" ref="I1395:I1403" si="316">("4")</f>
        <v>4</v>
      </c>
      <c r="J1395" t="str">
        <f t="shared" ref="J1395:J1403" si="317">("VLAAMS BELANG")</f>
        <v>VLAAMS BELANG</v>
      </c>
      <c r="K1395">
        <v>22997</v>
      </c>
      <c r="L1395">
        <v>25095</v>
      </c>
      <c r="M1395">
        <v>48092</v>
      </c>
      <c r="N1395">
        <v>3</v>
      </c>
      <c r="O1395" t="str">
        <f>("1")</f>
        <v>1</v>
      </c>
      <c r="P1395" t="str">
        <f>("De Quick Erik")</f>
        <v>De Quick Erik</v>
      </c>
      <c r="Q1395">
        <v>13634</v>
      </c>
      <c r="R1395">
        <v>1</v>
      </c>
    </row>
    <row r="1396" spans="1:19" x14ac:dyDescent="0.3">
      <c r="A1396" t="s">
        <v>0</v>
      </c>
      <c r="B1396" s="1">
        <v>45578</v>
      </c>
      <c r="C1396" t="str">
        <f t="shared" si="308"/>
        <v>13040</v>
      </c>
      <c r="D1396" t="s">
        <v>14</v>
      </c>
      <c r="E1396" t="str">
        <f t="shared" si="309"/>
        <v>9</v>
      </c>
      <c r="F1396">
        <v>346855</v>
      </c>
      <c r="G1396">
        <v>220759</v>
      </c>
      <c r="H1396">
        <v>8311</v>
      </c>
      <c r="I1396" t="str">
        <f t="shared" si="316"/>
        <v>4</v>
      </c>
      <c r="J1396" t="str">
        <f t="shared" si="317"/>
        <v>VLAAMS BELANG</v>
      </c>
      <c r="K1396">
        <v>22997</v>
      </c>
      <c r="L1396">
        <v>25095</v>
      </c>
      <c r="M1396">
        <v>48092</v>
      </c>
      <c r="N1396">
        <v>3</v>
      </c>
      <c r="O1396" t="str">
        <f>("2")</f>
        <v>2</v>
      </c>
      <c r="P1396" t="str">
        <f>("De Vrij Yana")</f>
        <v>De Vrij Yana</v>
      </c>
      <c r="Q1396">
        <v>7247</v>
      </c>
      <c r="R1396">
        <v>3</v>
      </c>
    </row>
    <row r="1397" spans="1:19" x14ac:dyDescent="0.3">
      <c r="A1397" t="s">
        <v>0</v>
      </c>
      <c r="B1397" s="1">
        <v>45578</v>
      </c>
      <c r="C1397" t="str">
        <f t="shared" si="308"/>
        <v>13040</v>
      </c>
      <c r="D1397" t="s">
        <v>14</v>
      </c>
      <c r="E1397" t="str">
        <f t="shared" si="309"/>
        <v>9</v>
      </c>
      <c r="F1397">
        <v>346855</v>
      </c>
      <c r="G1397">
        <v>220759</v>
      </c>
      <c r="H1397">
        <v>8311</v>
      </c>
      <c r="I1397" t="str">
        <f t="shared" si="316"/>
        <v>4</v>
      </c>
      <c r="J1397" t="str">
        <f t="shared" si="317"/>
        <v>VLAAMS BELANG</v>
      </c>
      <c r="K1397">
        <v>22997</v>
      </c>
      <c r="L1397">
        <v>25095</v>
      </c>
      <c r="M1397">
        <v>48092</v>
      </c>
      <c r="N1397">
        <v>3</v>
      </c>
      <c r="O1397" t="str">
        <f>("3")</f>
        <v>3</v>
      </c>
      <c r="P1397" t="str">
        <f>("De Keyser Stef")</f>
        <v>De Keyser Stef</v>
      </c>
      <c r="Q1397">
        <v>5244</v>
      </c>
      <c r="S1397">
        <v>1</v>
      </c>
    </row>
    <row r="1398" spans="1:19" x14ac:dyDescent="0.3">
      <c r="A1398" t="s">
        <v>0</v>
      </c>
      <c r="B1398" s="1">
        <v>45578</v>
      </c>
      <c r="C1398" t="str">
        <f t="shared" si="308"/>
        <v>13040</v>
      </c>
      <c r="D1398" t="s">
        <v>14</v>
      </c>
      <c r="E1398" t="str">
        <f t="shared" si="309"/>
        <v>9</v>
      </c>
      <c r="F1398">
        <v>346855</v>
      </c>
      <c r="G1398">
        <v>220759</v>
      </c>
      <c r="H1398">
        <v>8311</v>
      </c>
      <c r="I1398" t="str">
        <f t="shared" si="316"/>
        <v>4</v>
      </c>
      <c r="J1398" t="str">
        <f t="shared" si="317"/>
        <v>VLAAMS BELANG</v>
      </c>
      <c r="K1398">
        <v>22997</v>
      </c>
      <c r="L1398">
        <v>25095</v>
      </c>
      <c r="M1398">
        <v>48092</v>
      </c>
      <c r="N1398">
        <v>3</v>
      </c>
      <c r="O1398" t="str">
        <f>("4")</f>
        <v>4</v>
      </c>
      <c r="P1398" t="str">
        <f>("Van Brusselen Hedvig")</f>
        <v>Van Brusselen Hedvig</v>
      </c>
      <c r="Q1398">
        <v>3983</v>
      </c>
      <c r="S1398">
        <v>5</v>
      </c>
    </row>
    <row r="1399" spans="1:19" x14ac:dyDescent="0.3">
      <c r="A1399" t="s">
        <v>0</v>
      </c>
      <c r="B1399" s="1">
        <v>45578</v>
      </c>
      <c r="C1399" t="str">
        <f t="shared" si="308"/>
        <v>13040</v>
      </c>
      <c r="D1399" t="s">
        <v>14</v>
      </c>
      <c r="E1399" t="str">
        <f t="shared" si="309"/>
        <v>9</v>
      </c>
      <c r="F1399">
        <v>346855</v>
      </c>
      <c r="G1399">
        <v>220759</v>
      </c>
      <c r="H1399">
        <v>8311</v>
      </c>
      <c r="I1399" t="str">
        <f t="shared" si="316"/>
        <v>4</v>
      </c>
      <c r="J1399" t="str">
        <f t="shared" si="317"/>
        <v>VLAAMS BELANG</v>
      </c>
      <c r="K1399">
        <v>22997</v>
      </c>
      <c r="L1399">
        <v>25095</v>
      </c>
      <c r="M1399">
        <v>48092</v>
      </c>
      <c r="N1399">
        <v>3</v>
      </c>
      <c r="O1399" t="str">
        <f>("5")</f>
        <v>5</v>
      </c>
      <c r="P1399" t="str">
        <f>("Van den Wyngaert Erik")</f>
        <v>Van den Wyngaert Erik</v>
      </c>
      <c r="Q1399">
        <v>4057</v>
      </c>
      <c r="S1399">
        <v>4</v>
      </c>
    </row>
    <row r="1400" spans="1:19" x14ac:dyDescent="0.3">
      <c r="A1400" t="s">
        <v>0</v>
      </c>
      <c r="B1400" s="1">
        <v>45578</v>
      </c>
      <c r="C1400" t="str">
        <f t="shared" ref="C1400:C1430" si="318">("13040")</f>
        <v>13040</v>
      </c>
      <c r="D1400" t="s">
        <v>14</v>
      </c>
      <c r="E1400" t="str">
        <f t="shared" ref="E1400:E1430" si="319">("9")</f>
        <v>9</v>
      </c>
      <c r="F1400">
        <v>346855</v>
      </c>
      <c r="G1400">
        <v>220759</v>
      </c>
      <c r="H1400">
        <v>8311</v>
      </c>
      <c r="I1400" t="str">
        <f t="shared" si="316"/>
        <v>4</v>
      </c>
      <c r="J1400" t="str">
        <f t="shared" si="317"/>
        <v>VLAAMS BELANG</v>
      </c>
      <c r="K1400">
        <v>22997</v>
      </c>
      <c r="L1400">
        <v>25095</v>
      </c>
      <c r="M1400">
        <v>48092</v>
      </c>
      <c r="N1400">
        <v>3</v>
      </c>
      <c r="O1400" t="str">
        <f>("6")</f>
        <v>6</v>
      </c>
      <c r="P1400" t="str">
        <f>("Dekelver Jana")</f>
        <v>Dekelver Jana</v>
      </c>
      <c r="Q1400">
        <v>4631</v>
      </c>
      <c r="S1400">
        <v>3</v>
      </c>
    </row>
    <row r="1401" spans="1:19" x14ac:dyDescent="0.3">
      <c r="A1401" t="s">
        <v>0</v>
      </c>
      <c r="B1401" s="1">
        <v>45578</v>
      </c>
      <c r="C1401" t="str">
        <f t="shared" si="318"/>
        <v>13040</v>
      </c>
      <c r="D1401" t="s">
        <v>14</v>
      </c>
      <c r="E1401" t="str">
        <f t="shared" si="319"/>
        <v>9</v>
      </c>
      <c r="F1401">
        <v>346855</v>
      </c>
      <c r="G1401">
        <v>220759</v>
      </c>
      <c r="H1401">
        <v>8311</v>
      </c>
      <c r="I1401" t="str">
        <f t="shared" si="316"/>
        <v>4</v>
      </c>
      <c r="J1401" t="str">
        <f t="shared" si="317"/>
        <v>VLAAMS BELANG</v>
      </c>
      <c r="K1401">
        <v>22997</v>
      </c>
      <c r="L1401">
        <v>25095</v>
      </c>
      <c r="M1401">
        <v>48092</v>
      </c>
      <c r="N1401">
        <v>3</v>
      </c>
      <c r="O1401" t="str">
        <f>("7")</f>
        <v>7</v>
      </c>
      <c r="P1401" t="str">
        <f>("Verboven Heidi")</f>
        <v>Verboven Heidi</v>
      </c>
      <c r="Q1401">
        <v>5137</v>
      </c>
      <c r="S1401">
        <v>2</v>
      </c>
    </row>
    <row r="1402" spans="1:19" x14ac:dyDescent="0.3">
      <c r="A1402" t="s">
        <v>0</v>
      </c>
      <c r="B1402" s="1">
        <v>45578</v>
      </c>
      <c r="C1402" t="str">
        <f t="shared" si="318"/>
        <v>13040</v>
      </c>
      <c r="D1402" t="s">
        <v>14</v>
      </c>
      <c r="E1402" t="str">
        <f t="shared" si="319"/>
        <v>9</v>
      </c>
      <c r="F1402">
        <v>346855</v>
      </c>
      <c r="G1402">
        <v>220759</v>
      </c>
      <c r="H1402">
        <v>8311</v>
      </c>
      <c r="I1402" t="str">
        <f t="shared" si="316"/>
        <v>4</v>
      </c>
      <c r="J1402" t="str">
        <f t="shared" si="317"/>
        <v>VLAAMS BELANG</v>
      </c>
      <c r="K1402">
        <v>22997</v>
      </c>
      <c r="L1402">
        <v>25095</v>
      </c>
      <c r="M1402">
        <v>48092</v>
      </c>
      <c r="N1402">
        <v>3</v>
      </c>
      <c r="O1402" t="str">
        <f>("8")</f>
        <v>8</v>
      </c>
      <c r="P1402" t="str">
        <f>("Berghmans Hans")</f>
        <v>Berghmans Hans</v>
      </c>
      <c r="Q1402">
        <v>3891</v>
      </c>
      <c r="S1402">
        <v>6</v>
      </c>
    </row>
    <row r="1403" spans="1:19" x14ac:dyDescent="0.3">
      <c r="A1403" t="s">
        <v>0</v>
      </c>
      <c r="B1403" s="1">
        <v>45578</v>
      </c>
      <c r="C1403" t="str">
        <f t="shared" si="318"/>
        <v>13040</v>
      </c>
      <c r="D1403" t="s">
        <v>14</v>
      </c>
      <c r="E1403" t="str">
        <f t="shared" si="319"/>
        <v>9</v>
      </c>
      <c r="F1403">
        <v>346855</v>
      </c>
      <c r="G1403">
        <v>220759</v>
      </c>
      <c r="H1403">
        <v>8311</v>
      </c>
      <c r="I1403" t="str">
        <f t="shared" si="316"/>
        <v>4</v>
      </c>
      <c r="J1403" t="str">
        <f t="shared" si="317"/>
        <v>VLAAMS BELANG</v>
      </c>
      <c r="K1403">
        <v>22997</v>
      </c>
      <c r="L1403">
        <v>25095</v>
      </c>
      <c r="M1403">
        <v>48092</v>
      </c>
      <c r="N1403">
        <v>3</v>
      </c>
      <c r="O1403" t="str">
        <f>("9")</f>
        <v>9</v>
      </c>
      <c r="P1403" t="str">
        <f>("Van Opstal Bart")</f>
        <v>Van Opstal Bart</v>
      </c>
      <c r="Q1403">
        <v>8407</v>
      </c>
      <c r="R1403">
        <v>2</v>
      </c>
    </row>
    <row r="1404" spans="1:19" x14ac:dyDescent="0.3">
      <c r="A1404" t="s">
        <v>0</v>
      </c>
      <c r="B1404" s="1">
        <v>45578</v>
      </c>
      <c r="C1404" t="str">
        <f t="shared" si="318"/>
        <v>13040</v>
      </c>
      <c r="D1404" t="s">
        <v>14</v>
      </c>
      <c r="E1404" t="str">
        <f t="shared" si="319"/>
        <v>9</v>
      </c>
      <c r="F1404">
        <v>346855</v>
      </c>
      <c r="G1404">
        <v>220759</v>
      </c>
      <c r="H1404">
        <v>8311</v>
      </c>
      <c r="I1404" t="str">
        <f t="shared" ref="I1404:I1412" si="320">("5")</f>
        <v>5</v>
      </c>
      <c r="J1404" t="str">
        <f t="shared" ref="J1404:J1412" si="321">("N-VA")</f>
        <v>N-VA</v>
      </c>
      <c r="K1404">
        <v>27899</v>
      </c>
      <c r="L1404">
        <v>31778</v>
      </c>
      <c r="M1404">
        <v>59677</v>
      </c>
      <c r="N1404">
        <v>3</v>
      </c>
      <c r="O1404" t="str">
        <f>("1")</f>
        <v>1</v>
      </c>
      <c r="P1404" t="str">
        <f>("Colson Mireille")</f>
        <v>Colson Mireille</v>
      </c>
      <c r="Q1404">
        <v>15142</v>
      </c>
      <c r="R1404">
        <v>1</v>
      </c>
    </row>
    <row r="1405" spans="1:19" x14ac:dyDescent="0.3">
      <c r="A1405" t="s">
        <v>0</v>
      </c>
      <c r="B1405" s="1">
        <v>45578</v>
      </c>
      <c r="C1405" t="str">
        <f t="shared" si="318"/>
        <v>13040</v>
      </c>
      <c r="D1405" t="s">
        <v>14</v>
      </c>
      <c r="E1405" t="str">
        <f t="shared" si="319"/>
        <v>9</v>
      </c>
      <c r="F1405">
        <v>346855</v>
      </c>
      <c r="G1405">
        <v>220759</v>
      </c>
      <c r="H1405">
        <v>8311</v>
      </c>
      <c r="I1405" t="str">
        <f t="shared" si="320"/>
        <v>5</v>
      </c>
      <c r="J1405" t="str">
        <f t="shared" si="321"/>
        <v>N-VA</v>
      </c>
      <c r="K1405">
        <v>27899</v>
      </c>
      <c r="L1405">
        <v>31778</v>
      </c>
      <c r="M1405">
        <v>59677</v>
      </c>
      <c r="N1405">
        <v>3</v>
      </c>
      <c r="O1405" t="str">
        <f>("2")</f>
        <v>2</v>
      </c>
      <c r="P1405" t="str">
        <f>("Adriaensens Stijn")</f>
        <v>Adriaensens Stijn</v>
      </c>
      <c r="Q1405">
        <v>5223</v>
      </c>
      <c r="S1405">
        <v>2</v>
      </c>
    </row>
    <row r="1406" spans="1:19" x14ac:dyDescent="0.3">
      <c r="A1406" t="s">
        <v>0</v>
      </c>
      <c r="B1406" s="1">
        <v>45578</v>
      </c>
      <c r="C1406" t="str">
        <f t="shared" si="318"/>
        <v>13040</v>
      </c>
      <c r="D1406" t="s">
        <v>14</v>
      </c>
      <c r="E1406" t="str">
        <f t="shared" si="319"/>
        <v>9</v>
      </c>
      <c r="F1406">
        <v>346855</v>
      </c>
      <c r="G1406">
        <v>220759</v>
      </c>
      <c r="H1406">
        <v>8311</v>
      </c>
      <c r="I1406" t="str">
        <f t="shared" si="320"/>
        <v>5</v>
      </c>
      <c r="J1406" t="str">
        <f t="shared" si="321"/>
        <v>N-VA</v>
      </c>
      <c r="K1406">
        <v>27899</v>
      </c>
      <c r="L1406">
        <v>31778</v>
      </c>
      <c r="M1406">
        <v>59677</v>
      </c>
      <c r="N1406">
        <v>3</v>
      </c>
      <c r="O1406" t="str">
        <f>("3")</f>
        <v>3</v>
      </c>
      <c r="P1406" t="str">
        <f>("Cuylaerts Nathalie")</f>
        <v>Cuylaerts Nathalie</v>
      </c>
      <c r="Q1406">
        <v>6022</v>
      </c>
      <c r="R1406">
        <v>3</v>
      </c>
    </row>
    <row r="1407" spans="1:19" x14ac:dyDescent="0.3">
      <c r="A1407" t="s">
        <v>0</v>
      </c>
      <c r="B1407" s="1">
        <v>45578</v>
      </c>
      <c r="C1407" t="str">
        <f t="shared" si="318"/>
        <v>13040</v>
      </c>
      <c r="D1407" t="s">
        <v>14</v>
      </c>
      <c r="E1407" t="str">
        <f t="shared" si="319"/>
        <v>9</v>
      </c>
      <c r="F1407">
        <v>346855</v>
      </c>
      <c r="G1407">
        <v>220759</v>
      </c>
      <c r="H1407">
        <v>8311</v>
      </c>
      <c r="I1407" t="str">
        <f t="shared" si="320"/>
        <v>5</v>
      </c>
      <c r="J1407" t="str">
        <f t="shared" si="321"/>
        <v>N-VA</v>
      </c>
      <c r="K1407">
        <v>27899</v>
      </c>
      <c r="L1407">
        <v>31778</v>
      </c>
      <c r="M1407">
        <v>59677</v>
      </c>
      <c r="N1407">
        <v>3</v>
      </c>
      <c r="O1407" t="str">
        <f>("4")</f>
        <v>4</v>
      </c>
      <c r="P1407" t="str">
        <f>("Renders Steve")</f>
        <v>Renders Steve</v>
      </c>
      <c r="Q1407">
        <v>3259</v>
      </c>
      <c r="S1407">
        <v>6</v>
      </c>
    </row>
    <row r="1408" spans="1:19" x14ac:dyDescent="0.3">
      <c r="A1408" t="s">
        <v>0</v>
      </c>
      <c r="B1408" s="1">
        <v>45578</v>
      </c>
      <c r="C1408" t="str">
        <f t="shared" si="318"/>
        <v>13040</v>
      </c>
      <c r="D1408" t="s">
        <v>14</v>
      </c>
      <c r="E1408" t="str">
        <f t="shared" si="319"/>
        <v>9</v>
      </c>
      <c r="F1408">
        <v>346855</v>
      </c>
      <c r="G1408">
        <v>220759</v>
      </c>
      <c r="H1408">
        <v>8311</v>
      </c>
      <c r="I1408" t="str">
        <f t="shared" si="320"/>
        <v>5</v>
      </c>
      <c r="J1408" t="str">
        <f t="shared" si="321"/>
        <v>N-VA</v>
      </c>
      <c r="K1408">
        <v>27899</v>
      </c>
      <c r="L1408">
        <v>31778</v>
      </c>
      <c r="M1408">
        <v>59677</v>
      </c>
      <c r="N1408">
        <v>3</v>
      </c>
      <c r="O1408" t="str">
        <f>("5")</f>
        <v>5</v>
      </c>
      <c r="P1408" t="str">
        <f>("Brandwijk Eva")</f>
        <v>Brandwijk Eva</v>
      </c>
      <c r="Q1408">
        <v>4066</v>
      </c>
      <c r="S1408">
        <v>4</v>
      </c>
    </row>
    <row r="1409" spans="1:19" x14ac:dyDescent="0.3">
      <c r="A1409" t="s">
        <v>0</v>
      </c>
      <c r="B1409" s="1">
        <v>45578</v>
      </c>
      <c r="C1409" t="str">
        <f t="shared" si="318"/>
        <v>13040</v>
      </c>
      <c r="D1409" t="s">
        <v>14</v>
      </c>
      <c r="E1409" t="str">
        <f t="shared" si="319"/>
        <v>9</v>
      </c>
      <c r="F1409">
        <v>346855</v>
      </c>
      <c r="G1409">
        <v>220759</v>
      </c>
      <c r="H1409">
        <v>8311</v>
      </c>
      <c r="I1409" t="str">
        <f t="shared" si="320"/>
        <v>5</v>
      </c>
      <c r="J1409" t="str">
        <f t="shared" si="321"/>
        <v>N-VA</v>
      </c>
      <c r="K1409">
        <v>27899</v>
      </c>
      <c r="L1409">
        <v>31778</v>
      </c>
      <c r="M1409">
        <v>59677</v>
      </c>
      <c r="N1409">
        <v>3</v>
      </c>
      <c r="O1409" t="str">
        <f>("6")</f>
        <v>6</v>
      </c>
      <c r="P1409" t="str">
        <f>("Corstjens Tom")</f>
        <v>Corstjens Tom</v>
      </c>
      <c r="Q1409">
        <v>4301</v>
      </c>
      <c r="S1409">
        <v>3</v>
      </c>
    </row>
    <row r="1410" spans="1:19" x14ac:dyDescent="0.3">
      <c r="A1410" t="s">
        <v>0</v>
      </c>
      <c r="B1410" s="1">
        <v>45578</v>
      </c>
      <c r="C1410" t="str">
        <f t="shared" si="318"/>
        <v>13040</v>
      </c>
      <c r="D1410" t="s">
        <v>14</v>
      </c>
      <c r="E1410" t="str">
        <f t="shared" si="319"/>
        <v>9</v>
      </c>
      <c r="F1410">
        <v>346855</v>
      </c>
      <c r="G1410">
        <v>220759</v>
      </c>
      <c r="H1410">
        <v>8311</v>
      </c>
      <c r="I1410" t="str">
        <f t="shared" si="320"/>
        <v>5</v>
      </c>
      <c r="J1410" t="str">
        <f t="shared" si="321"/>
        <v>N-VA</v>
      </c>
      <c r="K1410">
        <v>27899</v>
      </c>
      <c r="L1410">
        <v>31778</v>
      </c>
      <c r="M1410">
        <v>59677</v>
      </c>
      <c r="N1410">
        <v>3</v>
      </c>
      <c r="O1410" t="str">
        <f>("7")</f>
        <v>7</v>
      </c>
      <c r="P1410" t="str">
        <f>("Ommegang Anne-Mie")</f>
        <v>Ommegang Anne-Mie</v>
      </c>
      <c r="Q1410">
        <v>3412</v>
      </c>
      <c r="S1410">
        <v>5</v>
      </c>
    </row>
    <row r="1411" spans="1:19" x14ac:dyDescent="0.3">
      <c r="A1411" t="s">
        <v>0</v>
      </c>
      <c r="B1411" s="1">
        <v>45578</v>
      </c>
      <c r="C1411" t="str">
        <f t="shared" si="318"/>
        <v>13040</v>
      </c>
      <c r="D1411" t="s">
        <v>14</v>
      </c>
      <c r="E1411" t="str">
        <f t="shared" si="319"/>
        <v>9</v>
      </c>
      <c r="F1411">
        <v>346855</v>
      </c>
      <c r="G1411">
        <v>220759</v>
      </c>
      <c r="H1411">
        <v>8311</v>
      </c>
      <c r="I1411" t="str">
        <f t="shared" si="320"/>
        <v>5</v>
      </c>
      <c r="J1411" t="str">
        <f t="shared" si="321"/>
        <v>N-VA</v>
      </c>
      <c r="K1411">
        <v>27899</v>
      </c>
      <c r="L1411">
        <v>31778</v>
      </c>
      <c r="M1411">
        <v>59677</v>
      </c>
      <c r="N1411">
        <v>3</v>
      </c>
      <c r="O1411" t="str">
        <f>("8")</f>
        <v>8</v>
      </c>
      <c r="P1411" t="str">
        <f>("Van Dijck Kris")</f>
        <v>Van Dijck Kris</v>
      </c>
      <c r="Q1411">
        <v>8385</v>
      </c>
      <c r="R1411">
        <v>2</v>
      </c>
    </row>
    <row r="1412" spans="1:19" x14ac:dyDescent="0.3">
      <c r="A1412" t="s">
        <v>0</v>
      </c>
      <c r="B1412" s="1">
        <v>45578</v>
      </c>
      <c r="C1412" t="str">
        <f t="shared" si="318"/>
        <v>13040</v>
      </c>
      <c r="D1412" t="s">
        <v>14</v>
      </c>
      <c r="E1412" t="str">
        <f t="shared" si="319"/>
        <v>9</v>
      </c>
      <c r="F1412">
        <v>346855</v>
      </c>
      <c r="G1412">
        <v>220759</v>
      </c>
      <c r="H1412">
        <v>8311</v>
      </c>
      <c r="I1412" t="str">
        <f t="shared" si="320"/>
        <v>5</v>
      </c>
      <c r="J1412" t="str">
        <f t="shared" si="321"/>
        <v>N-VA</v>
      </c>
      <c r="K1412">
        <v>27899</v>
      </c>
      <c r="L1412">
        <v>31778</v>
      </c>
      <c r="M1412">
        <v>59677</v>
      </c>
      <c r="N1412">
        <v>3</v>
      </c>
      <c r="O1412" t="str">
        <f>("9")</f>
        <v>9</v>
      </c>
      <c r="P1412" t="str">
        <f>("Peeters Marleen")</f>
        <v>Peeters Marleen</v>
      </c>
      <c r="Q1412">
        <v>6003</v>
      </c>
      <c r="S1412">
        <v>1</v>
      </c>
    </row>
    <row r="1413" spans="1:19" x14ac:dyDescent="0.3">
      <c r="A1413" t="s">
        <v>0</v>
      </c>
      <c r="B1413" s="1">
        <v>45578</v>
      </c>
      <c r="C1413" t="str">
        <f t="shared" si="318"/>
        <v>13040</v>
      </c>
      <c r="D1413" t="s">
        <v>14</v>
      </c>
      <c r="E1413" t="str">
        <f t="shared" si="319"/>
        <v>9</v>
      </c>
      <c r="F1413">
        <v>346855</v>
      </c>
      <c r="G1413">
        <v>220759</v>
      </c>
      <c r="H1413">
        <v>8311</v>
      </c>
      <c r="I1413" t="str">
        <f t="shared" ref="I1413:I1421" si="322">("6")</f>
        <v>6</v>
      </c>
      <c r="J1413" t="str">
        <f t="shared" ref="J1413:J1421" si="323">("Open Vld")</f>
        <v>Open Vld</v>
      </c>
      <c r="K1413">
        <v>2657</v>
      </c>
      <c r="L1413">
        <v>5685</v>
      </c>
      <c r="M1413">
        <v>8342</v>
      </c>
      <c r="N1413">
        <v>0</v>
      </c>
      <c r="O1413" t="str">
        <f>("1")</f>
        <v>1</v>
      </c>
      <c r="P1413" t="str">
        <f>("Van Aperen Marc")</f>
        <v>Van Aperen Marc</v>
      </c>
      <c r="Q1413">
        <v>2915</v>
      </c>
    </row>
    <row r="1414" spans="1:19" x14ac:dyDescent="0.3">
      <c r="A1414" t="s">
        <v>0</v>
      </c>
      <c r="B1414" s="1">
        <v>45578</v>
      </c>
      <c r="C1414" t="str">
        <f t="shared" si="318"/>
        <v>13040</v>
      </c>
      <c r="D1414" t="s">
        <v>14</v>
      </c>
      <c r="E1414" t="str">
        <f t="shared" si="319"/>
        <v>9</v>
      </c>
      <c r="F1414">
        <v>346855</v>
      </c>
      <c r="G1414">
        <v>220759</v>
      </c>
      <c r="H1414">
        <v>8311</v>
      </c>
      <c r="I1414" t="str">
        <f t="shared" si="322"/>
        <v>6</v>
      </c>
      <c r="J1414" t="str">
        <f t="shared" si="323"/>
        <v>Open Vld</v>
      </c>
      <c r="K1414">
        <v>2657</v>
      </c>
      <c r="L1414">
        <v>5685</v>
      </c>
      <c r="M1414">
        <v>8342</v>
      </c>
      <c r="N1414">
        <v>0</v>
      </c>
      <c r="O1414" t="str">
        <f>("2")</f>
        <v>2</v>
      </c>
      <c r="P1414" t="str">
        <f>("Vangenechten Jasmine")</f>
        <v>Vangenechten Jasmine</v>
      </c>
      <c r="Q1414">
        <v>1006</v>
      </c>
    </row>
    <row r="1415" spans="1:19" x14ac:dyDescent="0.3">
      <c r="A1415" t="s">
        <v>0</v>
      </c>
      <c r="B1415" s="1">
        <v>45578</v>
      </c>
      <c r="C1415" t="str">
        <f t="shared" si="318"/>
        <v>13040</v>
      </c>
      <c r="D1415" t="s">
        <v>14</v>
      </c>
      <c r="E1415" t="str">
        <f t="shared" si="319"/>
        <v>9</v>
      </c>
      <c r="F1415">
        <v>346855</v>
      </c>
      <c r="G1415">
        <v>220759</v>
      </c>
      <c r="H1415">
        <v>8311</v>
      </c>
      <c r="I1415" t="str">
        <f t="shared" si="322"/>
        <v>6</v>
      </c>
      <c r="J1415" t="str">
        <f t="shared" si="323"/>
        <v>Open Vld</v>
      </c>
      <c r="K1415">
        <v>2657</v>
      </c>
      <c r="L1415">
        <v>5685</v>
      </c>
      <c r="M1415">
        <v>8342</v>
      </c>
      <c r="N1415">
        <v>0</v>
      </c>
      <c r="O1415" t="str">
        <f>("3")</f>
        <v>3</v>
      </c>
      <c r="P1415" t="str">
        <f>("Vantorre Maxim")</f>
        <v>Vantorre Maxim</v>
      </c>
      <c r="Q1415">
        <v>587</v>
      </c>
    </row>
    <row r="1416" spans="1:19" x14ac:dyDescent="0.3">
      <c r="A1416" t="s">
        <v>0</v>
      </c>
      <c r="B1416" s="1">
        <v>45578</v>
      </c>
      <c r="C1416" t="str">
        <f t="shared" si="318"/>
        <v>13040</v>
      </c>
      <c r="D1416" t="s">
        <v>14</v>
      </c>
      <c r="E1416" t="str">
        <f t="shared" si="319"/>
        <v>9</v>
      </c>
      <c r="F1416">
        <v>346855</v>
      </c>
      <c r="G1416">
        <v>220759</v>
      </c>
      <c r="H1416">
        <v>8311</v>
      </c>
      <c r="I1416" t="str">
        <f t="shared" si="322"/>
        <v>6</v>
      </c>
      <c r="J1416" t="str">
        <f t="shared" si="323"/>
        <v>Open Vld</v>
      </c>
      <c r="K1416">
        <v>2657</v>
      </c>
      <c r="L1416">
        <v>5685</v>
      </c>
      <c r="M1416">
        <v>8342</v>
      </c>
      <c r="N1416">
        <v>0</v>
      </c>
      <c r="O1416" t="str">
        <f>("4")</f>
        <v>4</v>
      </c>
      <c r="P1416" t="str">
        <f>("Pelckmans Stef")</f>
        <v>Pelckmans Stef</v>
      </c>
      <c r="Q1416">
        <v>583</v>
      </c>
    </row>
    <row r="1417" spans="1:19" x14ac:dyDescent="0.3">
      <c r="A1417" t="s">
        <v>0</v>
      </c>
      <c r="B1417" s="1">
        <v>45578</v>
      </c>
      <c r="C1417" t="str">
        <f t="shared" si="318"/>
        <v>13040</v>
      </c>
      <c r="D1417" t="s">
        <v>14</v>
      </c>
      <c r="E1417" t="str">
        <f t="shared" si="319"/>
        <v>9</v>
      </c>
      <c r="F1417">
        <v>346855</v>
      </c>
      <c r="G1417">
        <v>220759</v>
      </c>
      <c r="H1417">
        <v>8311</v>
      </c>
      <c r="I1417" t="str">
        <f t="shared" si="322"/>
        <v>6</v>
      </c>
      <c r="J1417" t="str">
        <f t="shared" si="323"/>
        <v>Open Vld</v>
      </c>
      <c r="K1417">
        <v>2657</v>
      </c>
      <c r="L1417">
        <v>5685</v>
      </c>
      <c r="M1417">
        <v>8342</v>
      </c>
      <c r="N1417">
        <v>0</v>
      </c>
      <c r="O1417" t="str">
        <f>("5")</f>
        <v>5</v>
      </c>
      <c r="P1417" t="str">
        <f>("Van Dooren Anneke")</f>
        <v>Van Dooren Anneke</v>
      </c>
      <c r="Q1417">
        <v>675</v>
      </c>
    </row>
    <row r="1418" spans="1:19" x14ac:dyDescent="0.3">
      <c r="A1418" t="s">
        <v>0</v>
      </c>
      <c r="B1418" s="1">
        <v>45578</v>
      </c>
      <c r="C1418" t="str">
        <f t="shared" si="318"/>
        <v>13040</v>
      </c>
      <c r="D1418" t="s">
        <v>14</v>
      </c>
      <c r="E1418" t="str">
        <f t="shared" si="319"/>
        <v>9</v>
      </c>
      <c r="F1418">
        <v>346855</v>
      </c>
      <c r="G1418">
        <v>220759</v>
      </c>
      <c r="H1418">
        <v>8311</v>
      </c>
      <c r="I1418" t="str">
        <f t="shared" si="322"/>
        <v>6</v>
      </c>
      <c r="J1418" t="str">
        <f t="shared" si="323"/>
        <v>Open Vld</v>
      </c>
      <c r="K1418">
        <v>2657</v>
      </c>
      <c r="L1418">
        <v>5685</v>
      </c>
      <c r="M1418">
        <v>8342</v>
      </c>
      <c r="N1418">
        <v>0</v>
      </c>
      <c r="O1418" t="str">
        <f>("6")</f>
        <v>6</v>
      </c>
      <c r="P1418" t="str">
        <f>("Segers Luc")</f>
        <v>Segers Luc</v>
      </c>
      <c r="Q1418">
        <v>464</v>
      </c>
    </row>
    <row r="1419" spans="1:19" x14ac:dyDescent="0.3">
      <c r="A1419" t="s">
        <v>0</v>
      </c>
      <c r="B1419" s="1">
        <v>45578</v>
      </c>
      <c r="C1419" t="str">
        <f t="shared" si="318"/>
        <v>13040</v>
      </c>
      <c r="D1419" t="s">
        <v>14</v>
      </c>
      <c r="E1419" t="str">
        <f t="shared" si="319"/>
        <v>9</v>
      </c>
      <c r="F1419">
        <v>346855</v>
      </c>
      <c r="G1419">
        <v>220759</v>
      </c>
      <c r="H1419">
        <v>8311</v>
      </c>
      <c r="I1419" t="str">
        <f t="shared" si="322"/>
        <v>6</v>
      </c>
      <c r="J1419" t="str">
        <f t="shared" si="323"/>
        <v>Open Vld</v>
      </c>
      <c r="K1419">
        <v>2657</v>
      </c>
      <c r="L1419">
        <v>5685</v>
      </c>
      <c r="M1419">
        <v>8342</v>
      </c>
      <c r="N1419">
        <v>0</v>
      </c>
      <c r="O1419" t="str">
        <f>("7")</f>
        <v>7</v>
      </c>
      <c r="P1419" t="str">
        <f>("Kleynen Chantal")</f>
        <v>Kleynen Chantal</v>
      </c>
      <c r="Q1419">
        <v>576</v>
      </c>
    </row>
    <row r="1420" spans="1:19" x14ac:dyDescent="0.3">
      <c r="A1420" t="s">
        <v>0</v>
      </c>
      <c r="B1420" s="1">
        <v>45578</v>
      </c>
      <c r="C1420" t="str">
        <f t="shared" si="318"/>
        <v>13040</v>
      </c>
      <c r="D1420" t="s">
        <v>14</v>
      </c>
      <c r="E1420" t="str">
        <f t="shared" si="319"/>
        <v>9</v>
      </c>
      <c r="F1420">
        <v>346855</v>
      </c>
      <c r="G1420">
        <v>220759</v>
      </c>
      <c r="H1420">
        <v>8311</v>
      </c>
      <c r="I1420" t="str">
        <f t="shared" si="322"/>
        <v>6</v>
      </c>
      <c r="J1420" t="str">
        <f t="shared" si="323"/>
        <v>Open Vld</v>
      </c>
      <c r="K1420">
        <v>2657</v>
      </c>
      <c r="L1420">
        <v>5685</v>
      </c>
      <c r="M1420">
        <v>8342</v>
      </c>
      <c r="N1420">
        <v>0</v>
      </c>
      <c r="O1420" t="str">
        <f>("8")</f>
        <v>8</v>
      </c>
      <c r="P1420" t="str">
        <f>("Janssens Steve")</f>
        <v>Janssens Steve</v>
      </c>
      <c r="Q1420">
        <v>512</v>
      </c>
    </row>
    <row r="1421" spans="1:19" x14ac:dyDescent="0.3">
      <c r="A1421" t="s">
        <v>0</v>
      </c>
      <c r="B1421" s="1">
        <v>45578</v>
      </c>
      <c r="C1421" t="str">
        <f t="shared" si="318"/>
        <v>13040</v>
      </c>
      <c r="D1421" t="s">
        <v>14</v>
      </c>
      <c r="E1421" t="str">
        <f t="shared" si="319"/>
        <v>9</v>
      </c>
      <c r="F1421">
        <v>346855</v>
      </c>
      <c r="G1421">
        <v>220759</v>
      </c>
      <c r="H1421">
        <v>8311</v>
      </c>
      <c r="I1421" t="str">
        <f t="shared" si="322"/>
        <v>6</v>
      </c>
      <c r="J1421" t="str">
        <f t="shared" si="323"/>
        <v>Open Vld</v>
      </c>
      <c r="K1421">
        <v>2657</v>
      </c>
      <c r="L1421">
        <v>5685</v>
      </c>
      <c r="M1421">
        <v>8342</v>
      </c>
      <c r="N1421">
        <v>0</v>
      </c>
      <c r="O1421" t="str">
        <f>("9")</f>
        <v>9</v>
      </c>
      <c r="P1421" t="str">
        <f>("Verhaert Marianne")</f>
        <v>Verhaert Marianne</v>
      </c>
      <c r="Q1421">
        <v>2414</v>
      </c>
    </row>
    <row r="1422" spans="1:19" x14ac:dyDescent="0.3">
      <c r="A1422" t="s">
        <v>0</v>
      </c>
      <c r="B1422" s="1">
        <v>45578</v>
      </c>
      <c r="C1422" t="str">
        <f t="shared" si="318"/>
        <v>13040</v>
      </c>
      <c r="D1422" t="s">
        <v>14</v>
      </c>
      <c r="E1422" t="str">
        <f t="shared" si="319"/>
        <v>9</v>
      </c>
      <c r="F1422">
        <v>346855</v>
      </c>
      <c r="G1422">
        <v>220759</v>
      </c>
      <c r="H1422">
        <v>8311</v>
      </c>
      <c r="I1422" t="str">
        <f t="shared" ref="I1422:I1430" si="324">("7")</f>
        <v>7</v>
      </c>
      <c r="J1422" t="str">
        <f t="shared" ref="J1422:J1430" si="325">("GROEN")</f>
        <v>GROEN</v>
      </c>
      <c r="K1422">
        <v>7593</v>
      </c>
      <c r="L1422">
        <v>7357</v>
      </c>
      <c r="M1422">
        <v>14950</v>
      </c>
      <c r="N1422">
        <v>0</v>
      </c>
      <c r="O1422" t="str">
        <f>("1")</f>
        <v>1</v>
      </c>
      <c r="P1422" t="str">
        <f>("Claessen Tom")</f>
        <v>Claessen Tom</v>
      </c>
      <c r="Q1422">
        <v>3430</v>
      </c>
    </row>
    <row r="1423" spans="1:19" x14ac:dyDescent="0.3">
      <c r="A1423" t="s">
        <v>0</v>
      </c>
      <c r="B1423" s="1">
        <v>45578</v>
      </c>
      <c r="C1423" t="str">
        <f t="shared" si="318"/>
        <v>13040</v>
      </c>
      <c r="D1423" t="s">
        <v>14</v>
      </c>
      <c r="E1423" t="str">
        <f t="shared" si="319"/>
        <v>9</v>
      </c>
      <c r="F1423">
        <v>346855</v>
      </c>
      <c r="G1423">
        <v>220759</v>
      </c>
      <c r="H1423">
        <v>8311</v>
      </c>
      <c r="I1423" t="str">
        <f t="shared" si="324"/>
        <v>7</v>
      </c>
      <c r="J1423" t="str">
        <f t="shared" si="325"/>
        <v>GROEN</v>
      </c>
      <c r="K1423">
        <v>7593</v>
      </c>
      <c r="L1423">
        <v>7357</v>
      </c>
      <c r="M1423">
        <v>14950</v>
      </c>
      <c r="N1423">
        <v>0</v>
      </c>
      <c r="O1423" t="str">
        <f>("2")</f>
        <v>2</v>
      </c>
      <c r="P1423" t="str">
        <f>("Van der Vloedt Yolande")</f>
        <v>Van der Vloedt Yolande</v>
      </c>
      <c r="Q1423">
        <v>3025</v>
      </c>
    </row>
    <row r="1424" spans="1:19" x14ac:dyDescent="0.3">
      <c r="A1424" t="s">
        <v>0</v>
      </c>
      <c r="B1424" s="1">
        <v>45578</v>
      </c>
      <c r="C1424" t="str">
        <f t="shared" si="318"/>
        <v>13040</v>
      </c>
      <c r="D1424" t="s">
        <v>14</v>
      </c>
      <c r="E1424" t="str">
        <f t="shared" si="319"/>
        <v>9</v>
      </c>
      <c r="F1424">
        <v>346855</v>
      </c>
      <c r="G1424">
        <v>220759</v>
      </c>
      <c r="H1424">
        <v>8311</v>
      </c>
      <c r="I1424" t="str">
        <f t="shared" si="324"/>
        <v>7</v>
      </c>
      <c r="J1424" t="str">
        <f t="shared" si="325"/>
        <v>GROEN</v>
      </c>
      <c r="K1424">
        <v>7593</v>
      </c>
      <c r="L1424">
        <v>7357</v>
      </c>
      <c r="M1424">
        <v>14950</v>
      </c>
      <c r="N1424">
        <v>0</v>
      </c>
      <c r="O1424" t="str">
        <f>("3")</f>
        <v>3</v>
      </c>
      <c r="P1424" t="str">
        <f>("Setta Amber")</f>
        <v>Setta Amber</v>
      </c>
      <c r="Q1424">
        <v>2140</v>
      </c>
    </row>
    <row r="1425" spans="1:17" x14ac:dyDescent="0.3">
      <c r="A1425" t="s">
        <v>0</v>
      </c>
      <c r="B1425" s="1">
        <v>45578</v>
      </c>
      <c r="C1425" t="str">
        <f t="shared" si="318"/>
        <v>13040</v>
      </c>
      <c r="D1425" t="s">
        <v>14</v>
      </c>
      <c r="E1425" t="str">
        <f t="shared" si="319"/>
        <v>9</v>
      </c>
      <c r="F1425">
        <v>346855</v>
      </c>
      <c r="G1425">
        <v>220759</v>
      </c>
      <c r="H1425">
        <v>8311</v>
      </c>
      <c r="I1425" t="str">
        <f t="shared" si="324"/>
        <v>7</v>
      </c>
      <c r="J1425" t="str">
        <f t="shared" si="325"/>
        <v>GROEN</v>
      </c>
      <c r="K1425">
        <v>7593</v>
      </c>
      <c r="L1425">
        <v>7357</v>
      </c>
      <c r="M1425">
        <v>14950</v>
      </c>
      <c r="N1425">
        <v>0</v>
      </c>
      <c r="O1425" t="str">
        <f>("4")</f>
        <v>4</v>
      </c>
      <c r="P1425" t="str">
        <f>("Boogers Marc")</f>
        <v>Boogers Marc</v>
      </c>
      <c r="Q1425">
        <v>1949</v>
      </c>
    </row>
    <row r="1426" spans="1:17" x14ac:dyDescent="0.3">
      <c r="A1426" t="s">
        <v>0</v>
      </c>
      <c r="B1426" s="1">
        <v>45578</v>
      </c>
      <c r="C1426" t="str">
        <f t="shared" si="318"/>
        <v>13040</v>
      </c>
      <c r="D1426" t="s">
        <v>14</v>
      </c>
      <c r="E1426" t="str">
        <f t="shared" si="319"/>
        <v>9</v>
      </c>
      <c r="F1426">
        <v>346855</v>
      </c>
      <c r="G1426">
        <v>220759</v>
      </c>
      <c r="H1426">
        <v>8311</v>
      </c>
      <c r="I1426" t="str">
        <f t="shared" si="324"/>
        <v>7</v>
      </c>
      <c r="J1426" t="str">
        <f t="shared" si="325"/>
        <v>GROEN</v>
      </c>
      <c r="K1426">
        <v>7593</v>
      </c>
      <c r="L1426">
        <v>7357</v>
      </c>
      <c r="M1426">
        <v>14950</v>
      </c>
      <c r="N1426">
        <v>0</v>
      </c>
      <c r="O1426" t="str">
        <f>("5")</f>
        <v>5</v>
      </c>
      <c r="P1426" t="str">
        <f>("Van Gelder Tinne")</f>
        <v>Van Gelder Tinne</v>
      </c>
      <c r="Q1426">
        <v>2600</v>
      </c>
    </row>
    <row r="1427" spans="1:17" x14ac:dyDescent="0.3">
      <c r="A1427" t="s">
        <v>0</v>
      </c>
      <c r="B1427" s="1">
        <v>45578</v>
      </c>
      <c r="C1427" t="str">
        <f t="shared" si="318"/>
        <v>13040</v>
      </c>
      <c r="D1427" t="s">
        <v>14</v>
      </c>
      <c r="E1427" t="str">
        <f t="shared" si="319"/>
        <v>9</v>
      </c>
      <c r="F1427">
        <v>346855</v>
      </c>
      <c r="G1427">
        <v>220759</v>
      </c>
      <c r="H1427">
        <v>8311</v>
      </c>
      <c r="I1427" t="str">
        <f t="shared" si="324"/>
        <v>7</v>
      </c>
      <c r="J1427" t="str">
        <f t="shared" si="325"/>
        <v>GROEN</v>
      </c>
      <c r="K1427">
        <v>7593</v>
      </c>
      <c r="L1427">
        <v>7357</v>
      </c>
      <c r="M1427">
        <v>14950</v>
      </c>
      <c r="N1427">
        <v>0</v>
      </c>
      <c r="O1427" t="str">
        <f>("6")</f>
        <v>6</v>
      </c>
      <c r="P1427" t="str">
        <f>("Mertens Christiaan")</f>
        <v>Mertens Christiaan</v>
      </c>
      <c r="Q1427">
        <v>1452</v>
      </c>
    </row>
    <row r="1428" spans="1:17" x14ac:dyDescent="0.3">
      <c r="A1428" t="s">
        <v>0</v>
      </c>
      <c r="B1428" s="1">
        <v>45578</v>
      </c>
      <c r="C1428" t="str">
        <f t="shared" si="318"/>
        <v>13040</v>
      </c>
      <c r="D1428" t="s">
        <v>14</v>
      </c>
      <c r="E1428" t="str">
        <f t="shared" si="319"/>
        <v>9</v>
      </c>
      <c r="F1428">
        <v>346855</v>
      </c>
      <c r="G1428">
        <v>220759</v>
      </c>
      <c r="H1428">
        <v>8311</v>
      </c>
      <c r="I1428" t="str">
        <f t="shared" si="324"/>
        <v>7</v>
      </c>
      <c r="J1428" t="str">
        <f t="shared" si="325"/>
        <v>GROEN</v>
      </c>
      <c r="K1428">
        <v>7593</v>
      </c>
      <c r="L1428">
        <v>7357</v>
      </c>
      <c r="M1428">
        <v>14950</v>
      </c>
      <c r="N1428">
        <v>0</v>
      </c>
      <c r="O1428" t="str">
        <f>("7")</f>
        <v>7</v>
      </c>
      <c r="P1428" t="str">
        <f>("Broes Karen")</f>
        <v>Broes Karen</v>
      </c>
      <c r="Q1428">
        <v>1967</v>
      </c>
    </row>
    <row r="1429" spans="1:17" x14ac:dyDescent="0.3">
      <c r="A1429" t="s">
        <v>0</v>
      </c>
      <c r="B1429" s="1">
        <v>45578</v>
      </c>
      <c r="C1429" t="str">
        <f t="shared" si="318"/>
        <v>13040</v>
      </c>
      <c r="D1429" t="s">
        <v>14</v>
      </c>
      <c r="E1429" t="str">
        <f t="shared" si="319"/>
        <v>9</v>
      </c>
      <c r="F1429">
        <v>346855</v>
      </c>
      <c r="G1429">
        <v>220759</v>
      </c>
      <c r="H1429">
        <v>8311</v>
      </c>
      <c r="I1429" t="str">
        <f t="shared" si="324"/>
        <v>7</v>
      </c>
      <c r="J1429" t="str">
        <f t="shared" si="325"/>
        <v>GROEN</v>
      </c>
      <c r="K1429">
        <v>7593</v>
      </c>
      <c r="L1429">
        <v>7357</v>
      </c>
      <c r="M1429">
        <v>14950</v>
      </c>
      <c r="N1429">
        <v>0</v>
      </c>
      <c r="O1429" t="str">
        <f>("8")</f>
        <v>8</v>
      </c>
      <c r="P1429" t="str">
        <f>("Van de Loo Veronique")</f>
        <v>Van de Loo Veronique</v>
      </c>
      <c r="Q1429">
        <v>1866</v>
      </c>
    </row>
    <row r="1430" spans="1:17" x14ac:dyDescent="0.3">
      <c r="A1430" t="s">
        <v>0</v>
      </c>
      <c r="B1430" s="1">
        <v>45578</v>
      </c>
      <c r="C1430" t="str">
        <f t="shared" si="318"/>
        <v>13040</v>
      </c>
      <c r="D1430" t="s">
        <v>14</v>
      </c>
      <c r="E1430" t="str">
        <f t="shared" si="319"/>
        <v>9</v>
      </c>
      <c r="F1430">
        <v>346855</v>
      </c>
      <c r="G1430">
        <v>220759</v>
      </c>
      <c r="H1430">
        <v>8311</v>
      </c>
      <c r="I1430" t="str">
        <f t="shared" si="324"/>
        <v>7</v>
      </c>
      <c r="J1430" t="str">
        <f t="shared" si="325"/>
        <v>GROEN</v>
      </c>
      <c r="K1430">
        <v>7593</v>
      </c>
      <c r="L1430">
        <v>7357</v>
      </c>
      <c r="M1430">
        <v>14950</v>
      </c>
      <c r="N1430">
        <v>0</v>
      </c>
      <c r="O1430" t="str">
        <f>("9")</f>
        <v>9</v>
      </c>
      <c r="P1430" t="str">
        <f>("Öztürk Erkan")</f>
        <v>Öztürk Erkan</v>
      </c>
      <c r="Q1430">
        <v>1635</v>
      </c>
    </row>
  </sheetData>
  <autoFilter ref="A1:S1" xr:uid="{FDE8D836-4E82-4728-B06C-114081AF1A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algemeen</vt:lpstr>
      <vt:lpstr>lijsten</vt:lpstr>
      <vt:lpstr>kandidaten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Coudron Jan</cp:lastModifiedBy>
  <dcterms:created xsi:type="dcterms:W3CDTF">2024-10-15T11:59:52Z</dcterms:created>
  <dcterms:modified xsi:type="dcterms:W3CDTF">2024-10-16T14:36:35Z</dcterms:modified>
</cp:coreProperties>
</file>